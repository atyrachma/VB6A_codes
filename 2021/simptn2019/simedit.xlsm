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IDM VIDEO\"/>
    </mc:Choice>
  </mc:AlternateContent>
  <bookViews>
    <workbookView xWindow="0" yWindow="0" windowWidth="20490" windowHeight="7545" tabRatio="905"/>
  </bookViews>
  <sheets>
    <sheet name="MAIN_PROGRAM" sheetId="1" r:id="rId1"/>
    <sheet name="BAMAN" sheetId="9" r:id="rId2"/>
    <sheet name="PTN" sheetId="16" r:id="rId3"/>
    <sheet name="PRODI_LTMPT19" sheetId="5" r:id="rId4"/>
    <sheet name="sain+baman+" sheetId="11" r:id="rId5"/>
    <sheet name="sos+baman+" sheetId="12" r:id="rId6"/>
    <sheet name="++bamangab" sheetId="15" r:id="rId7"/>
    <sheet name="supporting data" sheetId="13" r:id="rId8"/>
    <sheet name="kode" sheetId="14" r:id="rId9"/>
  </sheets>
  <definedNames>
    <definedName name="_115" localSheetId="1">BAMAN!$A$1:$F$11</definedName>
    <definedName name="_xlnm._FilterDatabase" localSheetId="1" hidden="1">BAMAN!$A$1:$F$3159</definedName>
    <definedName name="_xlnm._FilterDatabase" localSheetId="8" hidden="1">kode!$A$1:$A$3168</definedName>
    <definedName name="_xlnm._FilterDatabase" localSheetId="3" hidden="1">PRODI_LTMPT19!$A$1:$F$1067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9" l="1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P267" i="9"/>
  <c r="P268" i="9"/>
  <c r="P269" i="9"/>
  <c r="P270" i="9"/>
  <c r="P271" i="9"/>
  <c r="P272" i="9"/>
  <c r="P273" i="9"/>
  <c r="P274" i="9"/>
  <c r="P275" i="9"/>
  <c r="P276" i="9"/>
  <c r="P277" i="9"/>
  <c r="P278" i="9"/>
  <c r="P279" i="9"/>
  <c r="P280" i="9"/>
  <c r="P281" i="9"/>
  <c r="P282" i="9"/>
  <c r="P283" i="9"/>
  <c r="P284" i="9"/>
  <c r="P285" i="9"/>
  <c r="P286" i="9"/>
  <c r="P287" i="9"/>
  <c r="P288" i="9"/>
  <c r="P289" i="9"/>
  <c r="P290" i="9"/>
  <c r="P291" i="9"/>
  <c r="P292" i="9"/>
  <c r="P293" i="9"/>
  <c r="P294" i="9"/>
  <c r="P295" i="9"/>
  <c r="P296" i="9"/>
  <c r="P297" i="9"/>
  <c r="P298" i="9"/>
  <c r="P299" i="9"/>
  <c r="P300" i="9"/>
  <c r="P301" i="9"/>
  <c r="P302" i="9"/>
  <c r="P303" i="9"/>
  <c r="P304" i="9"/>
  <c r="P305" i="9"/>
  <c r="P306" i="9"/>
  <c r="P307" i="9"/>
  <c r="P308" i="9"/>
  <c r="P309" i="9"/>
  <c r="P310" i="9"/>
  <c r="P311" i="9"/>
  <c r="P312" i="9"/>
  <c r="P313" i="9"/>
  <c r="P314" i="9"/>
  <c r="P315" i="9"/>
  <c r="P316" i="9"/>
  <c r="P317" i="9"/>
  <c r="P318" i="9"/>
  <c r="P319" i="9"/>
  <c r="P320" i="9"/>
  <c r="P321" i="9"/>
  <c r="P322" i="9"/>
  <c r="P323" i="9"/>
  <c r="P324" i="9"/>
  <c r="P325" i="9"/>
  <c r="P326" i="9"/>
  <c r="P327" i="9"/>
  <c r="P328" i="9"/>
  <c r="P329" i="9"/>
  <c r="P330" i="9"/>
  <c r="P331" i="9"/>
  <c r="P332" i="9"/>
  <c r="P333" i="9"/>
  <c r="P334" i="9"/>
  <c r="P335" i="9"/>
  <c r="P336" i="9"/>
  <c r="P337" i="9"/>
  <c r="P338" i="9"/>
  <c r="P339" i="9"/>
  <c r="P340" i="9"/>
  <c r="P341" i="9"/>
  <c r="P342" i="9"/>
  <c r="P343" i="9"/>
  <c r="P344" i="9"/>
  <c r="P345" i="9"/>
  <c r="P346" i="9"/>
  <c r="P347" i="9"/>
  <c r="P348" i="9"/>
  <c r="P349" i="9"/>
  <c r="P350" i="9"/>
  <c r="P351" i="9"/>
  <c r="P352" i="9"/>
  <c r="P353" i="9"/>
  <c r="P354" i="9"/>
  <c r="P355" i="9"/>
  <c r="P356" i="9"/>
  <c r="P357" i="9"/>
  <c r="P358" i="9"/>
  <c r="P359" i="9"/>
  <c r="P360" i="9"/>
  <c r="P361" i="9"/>
  <c r="P362" i="9"/>
  <c r="P363" i="9"/>
  <c r="P364" i="9"/>
  <c r="P365" i="9"/>
  <c r="P366" i="9"/>
  <c r="P367" i="9"/>
  <c r="P368" i="9"/>
  <c r="P369" i="9"/>
  <c r="P370" i="9"/>
  <c r="P371" i="9"/>
  <c r="P372" i="9"/>
  <c r="P373" i="9"/>
  <c r="P374" i="9"/>
  <c r="P375" i="9"/>
  <c r="P376" i="9"/>
  <c r="P377" i="9"/>
  <c r="P378" i="9"/>
  <c r="P379" i="9"/>
  <c r="P380" i="9"/>
  <c r="P381" i="9"/>
  <c r="P382" i="9"/>
  <c r="P383" i="9"/>
  <c r="P384" i="9"/>
  <c r="P385" i="9"/>
  <c r="P386" i="9"/>
  <c r="P387" i="9"/>
  <c r="P388" i="9"/>
  <c r="P389" i="9"/>
  <c r="P390" i="9"/>
  <c r="P391" i="9"/>
  <c r="P392" i="9"/>
  <c r="P393" i="9"/>
  <c r="P394" i="9"/>
  <c r="P395" i="9"/>
  <c r="P396" i="9"/>
  <c r="P397" i="9"/>
  <c r="P398" i="9"/>
  <c r="P399" i="9"/>
  <c r="P400" i="9"/>
  <c r="P401" i="9"/>
  <c r="P402" i="9"/>
  <c r="P403" i="9"/>
  <c r="P404" i="9"/>
  <c r="P405" i="9"/>
  <c r="P406" i="9"/>
  <c r="P407" i="9"/>
  <c r="P408" i="9"/>
  <c r="P409" i="9"/>
  <c r="P410" i="9"/>
  <c r="P411" i="9"/>
  <c r="P412" i="9"/>
  <c r="P413" i="9"/>
  <c r="P414" i="9"/>
  <c r="P415" i="9"/>
  <c r="P416" i="9"/>
  <c r="P417" i="9"/>
  <c r="P418" i="9"/>
  <c r="P419" i="9"/>
  <c r="P420" i="9"/>
  <c r="P421" i="9"/>
  <c r="P422" i="9"/>
  <c r="P423" i="9"/>
  <c r="P424" i="9"/>
  <c r="P425" i="9"/>
  <c r="P426" i="9"/>
  <c r="P427" i="9"/>
  <c r="P428" i="9"/>
  <c r="P429" i="9"/>
  <c r="P430" i="9"/>
  <c r="P431" i="9"/>
  <c r="P432" i="9"/>
  <c r="P433" i="9"/>
  <c r="P434" i="9"/>
  <c r="P435" i="9"/>
  <c r="P436" i="9"/>
  <c r="P437" i="9"/>
  <c r="P438" i="9"/>
  <c r="P439" i="9"/>
  <c r="P440" i="9"/>
  <c r="P441" i="9"/>
  <c r="P442" i="9"/>
  <c r="P443" i="9"/>
  <c r="P444" i="9"/>
  <c r="P445" i="9"/>
  <c r="P446" i="9"/>
  <c r="P447" i="9"/>
  <c r="P448" i="9"/>
  <c r="P449" i="9"/>
  <c r="P450" i="9"/>
  <c r="P451" i="9"/>
  <c r="P452" i="9"/>
  <c r="P453" i="9"/>
  <c r="P454" i="9"/>
  <c r="P455" i="9"/>
  <c r="P456" i="9"/>
  <c r="P457" i="9"/>
  <c r="P458" i="9"/>
  <c r="P459" i="9"/>
  <c r="P460" i="9"/>
  <c r="P461" i="9"/>
  <c r="P462" i="9"/>
  <c r="P463" i="9"/>
  <c r="P464" i="9"/>
  <c r="P465" i="9"/>
  <c r="P466" i="9"/>
  <c r="P467" i="9"/>
  <c r="P468" i="9"/>
  <c r="P469" i="9"/>
  <c r="P470" i="9"/>
  <c r="P471" i="9"/>
  <c r="P472" i="9"/>
  <c r="P473" i="9"/>
  <c r="P474" i="9"/>
  <c r="P475" i="9"/>
  <c r="P476" i="9"/>
  <c r="P477" i="9"/>
  <c r="P478" i="9"/>
  <c r="P479" i="9"/>
  <c r="P480" i="9"/>
  <c r="P481" i="9"/>
  <c r="P482" i="9"/>
  <c r="P483" i="9"/>
  <c r="P484" i="9"/>
  <c r="P485" i="9"/>
  <c r="P486" i="9"/>
  <c r="P487" i="9"/>
  <c r="P488" i="9"/>
  <c r="P489" i="9"/>
  <c r="P490" i="9"/>
  <c r="P491" i="9"/>
  <c r="P492" i="9"/>
  <c r="P493" i="9"/>
  <c r="P494" i="9"/>
  <c r="P495" i="9"/>
  <c r="P496" i="9"/>
  <c r="P497" i="9"/>
  <c r="P498" i="9"/>
  <c r="P499" i="9"/>
  <c r="P500" i="9"/>
  <c r="P501" i="9"/>
  <c r="P502" i="9"/>
  <c r="P503" i="9"/>
  <c r="P504" i="9"/>
  <c r="P505" i="9"/>
  <c r="P506" i="9"/>
  <c r="P507" i="9"/>
  <c r="P508" i="9"/>
  <c r="P509" i="9"/>
  <c r="P510" i="9"/>
  <c r="P511" i="9"/>
  <c r="P512" i="9"/>
  <c r="P513" i="9"/>
  <c r="P514" i="9"/>
  <c r="P515" i="9"/>
  <c r="P516" i="9"/>
  <c r="P517" i="9"/>
  <c r="P518" i="9"/>
  <c r="P519" i="9"/>
  <c r="P520" i="9"/>
  <c r="P521" i="9"/>
  <c r="P522" i="9"/>
  <c r="P523" i="9"/>
  <c r="P524" i="9"/>
  <c r="P525" i="9"/>
  <c r="P526" i="9"/>
  <c r="P527" i="9"/>
  <c r="P528" i="9"/>
  <c r="P529" i="9"/>
  <c r="P530" i="9"/>
  <c r="P531" i="9"/>
  <c r="P532" i="9"/>
  <c r="P533" i="9"/>
  <c r="P534" i="9"/>
  <c r="P535" i="9"/>
  <c r="P536" i="9"/>
  <c r="P537" i="9"/>
  <c r="P538" i="9"/>
  <c r="P539" i="9"/>
  <c r="P540" i="9"/>
  <c r="P541" i="9"/>
  <c r="P542" i="9"/>
  <c r="P543" i="9"/>
  <c r="P544" i="9"/>
  <c r="P545" i="9"/>
  <c r="P546" i="9"/>
  <c r="P547" i="9"/>
  <c r="P548" i="9"/>
  <c r="P549" i="9"/>
  <c r="P550" i="9"/>
  <c r="P551" i="9"/>
  <c r="P552" i="9"/>
  <c r="P553" i="9"/>
  <c r="P554" i="9"/>
  <c r="P555" i="9"/>
  <c r="P556" i="9"/>
  <c r="P557" i="9"/>
  <c r="P558" i="9"/>
  <c r="P559" i="9"/>
  <c r="P560" i="9"/>
  <c r="P561" i="9"/>
  <c r="P562" i="9"/>
  <c r="P563" i="9"/>
  <c r="P564" i="9"/>
  <c r="P565" i="9"/>
  <c r="P566" i="9"/>
  <c r="P567" i="9"/>
  <c r="P568" i="9"/>
  <c r="P569" i="9"/>
  <c r="P570" i="9"/>
  <c r="P571" i="9"/>
  <c r="P572" i="9"/>
  <c r="P573" i="9"/>
  <c r="P574" i="9"/>
  <c r="P575" i="9"/>
  <c r="P576" i="9"/>
  <c r="P577" i="9"/>
  <c r="P578" i="9"/>
  <c r="P579" i="9"/>
  <c r="P580" i="9"/>
  <c r="P581" i="9"/>
  <c r="P582" i="9"/>
  <c r="P583" i="9"/>
  <c r="P584" i="9"/>
  <c r="P585" i="9"/>
  <c r="P586" i="9"/>
  <c r="P587" i="9"/>
  <c r="P588" i="9"/>
  <c r="P589" i="9"/>
  <c r="P590" i="9"/>
  <c r="P591" i="9"/>
  <c r="P592" i="9"/>
  <c r="P593" i="9"/>
  <c r="P594" i="9"/>
  <c r="P595" i="9"/>
  <c r="P596" i="9"/>
  <c r="P597" i="9"/>
  <c r="P598" i="9"/>
  <c r="P599" i="9"/>
  <c r="P600" i="9"/>
  <c r="P601" i="9"/>
  <c r="P602" i="9"/>
  <c r="P603" i="9"/>
  <c r="P604" i="9"/>
  <c r="P605" i="9"/>
  <c r="P606" i="9"/>
  <c r="P607" i="9"/>
  <c r="P608" i="9"/>
  <c r="P609" i="9"/>
  <c r="P610" i="9"/>
  <c r="P611" i="9"/>
  <c r="P612" i="9"/>
  <c r="P613" i="9"/>
  <c r="P614" i="9"/>
  <c r="P615" i="9"/>
  <c r="P616" i="9"/>
  <c r="P617" i="9"/>
  <c r="P618" i="9"/>
  <c r="P619" i="9"/>
  <c r="P620" i="9"/>
  <c r="P621" i="9"/>
  <c r="P622" i="9"/>
  <c r="P623" i="9"/>
  <c r="P624" i="9"/>
  <c r="P625" i="9"/>
  <c r="P626" i="9"/>
  <c r="P627" i="9"/>
  <c r="P628" i="9"/>
  <c r="P629" i="9"/>
  <c r="P630" i="9"/>
  <c r="P631" i="9"/>
  <c r="P632" i="9"/>
  <c r="P633" i="9"/>
  <c r="P634" i="9"/>
  <c r="P635" i="9"/>
  <c r="P636" i="9"/>
  <c r="P637" i="9"/>
  <c r="P638" i="9"/>
  <c r="P639" i="9"/>
  <c r="P640" i="9"/>
  <c r="P641" i="9"/>
  <c r="P642" i="9"/>
  <c r="P643" i="9"/>
  <c r="P644" i="9"/>
  <c r="P645" i="9"/>
  <c r="P646" i="9"/>
  <c r="P647" i="9"/>
  <c r="P648" i="9"/>
  <c r="P649" i="9"/>
  <c r="P650" i="9"/>
  <c r="P651" i="9"/>
  <c r="P652" i="9"/>
  <c r="P653" i="9"/>
  <c r="P654" i="9"/>
  <c r="P655" i="9"/>
  <c r="P656" i="9"/>
  <c r="P657" i="9"/>
  <c r="P658" i="9"/>
  <c r="P659" i="9"/>
  <c r="P660" i="9"/>
  <c r="P661" i="9"/>
  <c r="P662" i="9"/>
  <c r="P663" i="9"/>
  <c r="P664" i="9"/>
  <c r="P665" i="9"/>
  <c r="P666" i="9"/>
  <c r="P667" i="9"/>
  <c r="P668" i="9"/>
  <c r="P669" i="9"/>
  <c r="P670" i="9"/>
  <c r="P671" i="9"/>
  <c r="P672" i="9"/>
  <c r="P673" i="9"/>
  <c r="P674" i="9"/>
  <c r="P675" i="9"/>
  <c r="P676" i="9"/>
  <c r="P677" i="9"/>
  <c r="P678" i="9"/>
  <c r="P679" i="9"/>
  <c r="P680" i="9"/>
  <c r="P681" i="9"/>
  <c r="P682" i="9"/>
  <c r="P683" i="9"/>
  <c r="P684" i="9"/>
  <c r="P685" i="9"/>
  <c r="P686" i="9"/>
  <c r="P687" i="9"/>
  <c r="P688" i="9"/>
  <c r="P689" i="9"/>
  <c r="P690" i="9"/>
  <c r="P691" i="9"/>
  <c r="P692" i="9"/>
  <c r="P693" i="9"/>
  <c r="P694" i="9"/>
  <c r="P695" i="9"/>
  <c r="P696" i="9"/>
  <c r="P697" i="9"/>
  <c r="P698" i="9"/>
  <c r="P699" i="9"/>
  <c r="P700" i="9"/>
  <c r="P701" i="9"/>
  <c r="P702" i="9"/>
  <c r="P703" i="9"/>
  <c r="P704" i="9"/>
  <c r="P705" i="9"/>
  <c r="P706" i="9"/>
  <c r="P707" i="9"/>
  <c r="P708" i="9"/>
  <c r="P709" i="9"/>
  <c r="P710" i="9"/>
  <c r="P711" i="9"/>
  <c r="P712" i="9"/>
  <c r="P713" i="9"/>
  <c r="P714" i="9"/>
  <c r="P715" i="9"/>
  <c r="P716" i="9"/>
  <c r="P717" i="9"/>
  <c r="P718" i="9"/>
  <c r="P719" i="9"/>
  <c r="P720" i="9"/>
  <c r="P721" i="9"/>
  <c r="P722" i="9"/>
  <c r="P723" i="9"/>
  <c r="P724" i="9"/>
  <c r="P725" i="9"/>
  <c r="P726" i="9"/>
  <c r="P727" i="9"/>
  <c r="P728" i="9"/>
  <c r="P729" i="9"/>
  <c r="P730" i="9"/>
  <c r="P731" i="9"/>
  <c r="P732" i="9"/>
  <c r="P733" i="9"/>
  <c r="P734" i="9"/>
  <c r="P735" i="9"/>
  <c r="P736" i="9"/>
  <c r="P737" i="9"/>
  <c r="P738" i="9"/>
  <c r="P739" i="9"/>
  <c r="P740" i="9"/>
  <c r="P741" i="9"/>
  <c r="P742" i="9"/>
  <c r="P743" i="9"/>
  <c r="P744" i="9"/>
  <c r="P745" i="9"/>
  <c r="P746" i="9"/>
  <c r="P747" i="9"/>
  <c r="P748" i="9"/>
  <c r="P749" i="9"/>
  <c r="P750" i="9"/>
  <c r="P751" i="9"/>
  <c r="P752" i="9"/>
  <c r="P753" i="9"/>
  <c r="P754" i="9"/>
  <c r="P755" i="9"/>
  <c r="P756" i="9"/>
  <c r="P757" i="9"/>
  <c r="P758" i="9"/>
  <c r="P759" i="9"/>
  <c r="P760" i="9"/>
  <c r="P761" i="9"/>
  <c r="P762" i="9"/>
  <c r="P763" i="9"/>
  <c r="P764" i="9"/>
  <c r="P765" i="9"/>
  <c r="P766" i="9"/>
  <c r="P767" i="9"/>
  <c r="P768" i="9"/>
  <c r="P769" i="9"/>
  <c r="P770" i="9"/>
  <c r="P771" i="9"/>
  <c r="P772" i="9"/>
  <c r="P773" i="9"/>
  <c r="P774" i="9"/>
  <c r="P775" i="9"/>
  <c r="P776" i="9"/>
  <c r="P777" i="9"/>
  <c r="P778" i="9"/>
  <c r="P779" i="9"/>
  <c r="P780" i="9"/>
  <c r="P781" i="9"/>
  <c r="P782" i="9"/>
  <c r="P783" i="9"/>
  <c r="P784" i="9"/>
  <c r="P785" i="9"/>
  <c r="P786" i="9"/>
  <c r="P787" i="9"/>
  <c r="P788" i="9"/>
  <c r="P789" i="9"/>
  <c r="P790" i="9"/>
  <c r="P791" i="9"/>
  <c r="P792" i="9"/>
  <c r="P793" i="9"/>
  <c r="P794" i="9"/>
  <c r="P795" i="9"/>
  <c r="P796" i="9"/>
  <c r="P797" i="9"/>
  <c r="P798" i="9"/>
  <c r="P799" i="9"/>
  <c r="P800" i="9"/>
  <c r="P801" i="9"/>
  <c r="P802" i="9"/>
  <c r="P803" i="9"/>
  <c r="P804" i="9"/>
  <c r="P805" i="9"/>
  <c r="P806" i="9"/>
  <c r="P807" i="9"/>
  <c r="P808" i="9"/>
  <c r="P809" i="9"/>
  <c r="P810" i="9"/>
  <c r="P811" i="9"/>
  <c r="P812" i="9"/>
  <c r="P813" i="9"/>
  <c r="P814" i="9"/>
  <c r="P815" i="9"/>
  <c r="P816" i="9"/>
  <c r="P817" i="9"/>
  <c r="P818" i="9"/>
  <c r="P819" i="9"/>
  <c r="P820" i="9"/>
  <c r="P821" i="9"/>
  <c r="P822" i="9"/>
  <c r="P823" i="9"/>
  <c r="P824" i="9"/>
  <c r="P825" i="9"/>
  <c r="P826" i="9"/>
  <c r="P827" i="9"/>
  <c r="P828" i="9"/>
  <c r="P829" i="9"/>
  <c r="P830" i="9"/>
  <c r="P831" i="9"/>
  <c r="P832" i="9"/>
  <c r="P833" i="9"/>
  <c r="P834" i="9"/>
  <c r="P835" i="9"/>
  <c r="P836" i="9"/>
  <c r="P837" i="9"/>
  <c r="P838" i="9"/>
  <c r="P839" i="9"/>
  <c r="P840" i="9"/>
  <c r="P841" i="9"/>
  <c r="P842" i="9"/>
  <c r="P843" i="9"/>
  <c r="P844" i="9"/>
  <c r="P845" i="9"/>
  <c r="P846" i="9"/>
  <c r="P847" i="9"/>
  <c r="P848" i="9"/>
  <c r="P849" i="9"/>
  <c r="P850" i="9"/>
  <c r="P851" i="9"/>
  <c r="P852" i="9"/>
  <c r="P853" i="9"/>
  <c r="P854" i="9"/>
  <c r="P855" i="9"/>
  <c r="P856" i="9"/>
  <c r="P857" i="9"/>
  <c r="P858" i="9"/>
  <c r="P859" i="9"/>
  <c r="P860" i="9"/>
  <c r="P861" i="9"/>
  <c r="P862" i="9"/>
  <c r="P863" i="9"/>
  <c r="P864" i="9"/>
  <c r="P865" i="9"/>
  <c r="P866" i="9"/>
  <c r="P867" i="9"/>
  <c r="P868" i="9"/>
  <c r="P869" i="9"/>
  <c r="P870" i="9"/>
  <c r="P871" i="9"/>
  <c r="P872" i="9"/>
  <c r="P873" i="9"/>
  <c r="P874" i="9"/>
  <c r="P875" i="9"/>
  <c r="P876" i="9"/>
  <c r="P877" i="9"/>
  <c r="P878" i="9"/>
  <c r="P879" i="9"/>
  <c r="P880" i="9"/>
  <c r="P881" i="9"/>
  <c r="P882" i="9"/>
  <c r="P883" i="9"/>
  <c r="P884" i="9"/>
  <c r="P885" i="9"/>
  <c r="P886" i="9"/>
  <c r="P887" i="9"/>
  <c r="P888" i="9"/>
  <c r="P889" i="9"/>
  <c r="P890" i="9"/>
  <c r="P891" i="9"/>
  <c r="P892" i="9"/>
  <c r="P893" i="9"/>
  <c r="P894" i="9"/>
  <c r="P895" i="9"/>
  <c r="P896" i="9"/>
  <c r="P897" i="9"/>
  <c r="P898" i="9"/>
  <c r="P899" i="9"/>
  <c r="P900" i="9"/>
  <c r="P901" i="9"/>
  <c r="P902" i="9"/>
  <c r="P903" i="9"/>
  <c r="P904" i="9"/>
  <c r="P905" i="9"/>
  <c r="P906" i="9"/>
  <c r="P907" i="9"/>
  <c r="P908" i="9"/>
  <c r="P909" i="9"/>
  <c r="P910" i="9"/>
  <c r="P911" i="9"/>
  <c r="P912" i="9"/>
  <c r="P913" i="9"/>
  <c r="P914" i="9"/>
  <c r="P915" i="9"/>
  <c r="P916" i="9"/>
  <c r="P917" i="9"/>
  <c r="P918" i="9"/>
  <c r="P919" i="9"/>
  <c r="P920" i="9"/>
  <c r="P921" i="9"/>
  <c r="P922" i="9"/>
  <c r="P923" i="9"/>
  <c r="P924" i="9"/>
  <c r="P925" i="9"/>
  <c r="P926" i="9"/>
  <c r="P927" i="9"/>
  <c r="P928" i="9"/>
  <c r="P929" i="9"/>
  <c r="P930" i="9"/>
  <c r="P931" i="9"/>
  <c r="P932" i="9"/>
  <c r="P933" i="9"/>
  <c r="P934" i="9"/>
  <c r="P935" i="9"/>
  <c r="P936" i="9"/>
  <c r="P937" i="9"/>
  <c r="P938" i="9"/>
  <c r="P939" i="9"/>
  <c r="P940" i="9"/>
  <c r="P941" i="9"/>
  <c r="P942" i="9"/>
  <c r="P943" i="9"/>
  <c r="P944" i="9"/>
  <c r="P945" i="9"/>
  <c r="P946" i="9"/>
  <c r="P947" i="9"/>
  <c r="P948" i="9"/>
  <c r="P949" i="9"/>
  <c r="P950" i="9"/>
  <c r="P951" i="9"/>
  <c r="P952" i="9"/>
  <c r="P953" i="9"/>
  <c r="P954" i="9"/>
  <c r="P955" i="9"/>
  <c r="P956" i="9"/>
  <c r="P957" i="9"/>
  <c r="P958" i="9"/>
  <c r="P959" i="9"/>
  <c r="P960" i="9"/>
  <c r="P961" i="9"/>
  <c r="P962" i="9"/>
  <c r="P963" i="9"/>
  <c r="P964" i="9"/>
  <c r="P965" i="9"/>
  <c r="P966" i="9"/>
  <c r="P967" i="9"/>
  <c r="P968" i="9"/>
  <c r="P969" i="9"/>
  <c r="P970" i="9"/>
  <c r="P971" i="9"/>
  <c r="P972" i="9"/>
  <c r="P973" i="9"/>
  <c r="P974" i="9"/>
  <c r="P975" i="9"/>
  <c r="P976" i="9"/>
  <c r="P977" i="9"/>
  <c r="P978" i="9"/>
  <c r="P979" i="9"/>
  <c r="P980" i="9"/>
  <c r="P981" i="9"/>
  <c r="P982" i="9"/>
  <c r="P983" i="9"/>
  <c r="P984" i="9"/>
  <c r="P985" i="9"/>
  <c r="P986" i="9"/>
  <c r="P987" i="9"/>
  <c r="P988" i="9"/>
  <c r="P989" i="9"/>
  <c r="P990" i="9"/>
  <c r="P991" i="9"/>
  <c r="P992" i="9"/>
  <c r="P993" i="9"/>
  <c r="P994" i="9"/>
  <c r="P995" i="9"/>
  <c r="P996" i="9"/>
  <c r="P997" i="9"/>
  <c r="P998" i="9"/>
  <c r="P999" i="9"/>
  <c r="P1000" i="9"/>
  <c r="P1001" i="9"/>
  <c r="P1002" i="9"/>
  <c r="P1003" i="9"/>
  <c r="P1004" i="9"/>
  <c r="P1005" i="9"/>
  <c r="P1006" i="9"/>
  <c r="P1007" i="9"/>
  <c r="P1008" i="9"/>
  <c r="P1009" i="9"/>
  <c r="P1010" i="9"/>
  <c r="P1011" i="9"/>
  <c r="P1012" i="9"/>
  <c r="P1013" i="9"/>
  <c r="P1014" i="9"/>
  <c r="P1015" i="9"/>
  <c r="P1016" i="9"/>
  <c r="P1017" i="9"/>
  <c r="P1018" i="9"/>
  <c r="P1019" i="9"/>
  <c r="P1020" i="9"/>
  <c r="P1021" i="9"/>
  <c r="P1022" i="9"/>
  <c r="P1023" i="9"/>
  <c r="P1024" i="9"/>
  <c r="P1025" i="9"/>
  <c r="P1026" i="9"/>
  <c r="P1027" i="9"/>
  <c r="P1028" i="9"/>
  <c r="P1029" i="9"/>
  <c r="P1030" i="9"/>
  <c r="P1031" i="9"/>
  <c r="P1032" i="9"/>
  <c r="P1033" i="9"/>
  <c r="P1034" i="9"/>
  <c r="P1035" i="9"/>
  <c r="P1036" i="9"/>
  <c r="P1037" i="9"/>
  <c r="P1038" i="9"/>
  <c r="P1039" i="9"/>
  <c r="P1040" i="9"/>
  <c r="P1041" i="9"/>
  <c r="P1042" i="9"/>
  <c r="P1043" i="9"/>
  <c r="P1044" i="9"/>
  <c r="P1045" i="9"/>
  <c r="P1046" i="9"/>
  <c r="P1047" i="9"/>
  <c r="P1048" i="9"/>
  <c r="P1049" i="9"/>
  <c r="P1050" i="9"/>
  <c r="P1051" i="9"/>
  <c r="P1052" i="9"/>
  <c r="P1053" i="9"/>
  <c r="P1054" i="9"/>
  <c r="P1055" i="9"/>
  <c r="P1056" i="9"/>
  <c r="P1057" i="9"/>
  <c r="P1058" i="9"/>
  <c r="P1059" i="9"/>
  <c r="P1060" i="9"/>
  <c r="P1061" i="9"/>
  <c r="P1062" i="9"/>
  <c r="P1063" i="9"/>
  <c r="P1064" i="9"/>
  <c r="P1065" i="9"/>
  <c r="P1066" i="9"/>
  <c r="P1067" i="9"/>
  <c r="P1068" i="9"/>
  <c r="P1069" i="9"/>
  <c r="P1070" i="9"/>
  <c r="P1071" i="9"/>
  <c r="P1072" i="9"/>
  <c r="P1073" i="9"/>
  <c r="P1074" i="9"/>
  <c r="P1075" i="9"/>
  <c r="P1076" i="9"/>
  <c r="P1077" i="9"/>
  <c r="P1078" i="9"/>
  <c r="P1079" i="9"/>
  <c r="P1080" i="9"/>
  <c r="P1081" i="9"/>
  <c r="P1082" i="9"/>
  <c r="P1083" i="9"/>
  <c r="P1084" i="9"/>
  <c r="P1085" i="9"/>
  <c r="P1086" i="9"/>
  <c r="P1087" i="9"/>
  <c r="P1088" i="9"/>
  <c r="P1089" i="9"/>
  <c r="P1090" i="9"/>
  <c r="P1091" i="9"/>
  <c r="P1092" i="9"/>
  <c r="P1093" i="9"/>
  <c r="P1094" i="9"/>
  <c r="P1095" i="9"/>
  <c r="P1096" i="9"/>
  <c r="P1097" i="9"/>
  <c r="P1098" i="9"/>
  <c r="P1099" i="9"/>
  <c r="P1100" i="9"/>
  <c r="P1101" i="9"/>
  <c r="P1102" i="9"/>
  <c r="P1103" i="9"/>
  <c r="P1104" i="9"/>
  <c r="P1105" i="9"/>
  <c r="P1106" i="9"/>
  <c r="P1107" i="9"/>
  <c r="P1108" i="9"/>
  <c r="P1109" i="9"/>
  <c r="P1110" i="9"/>
  <c r="P1111" i="9"/>
  <c r="P1112" i="9"/>
  <c r="P1113" i="9"/>
  <c r="P1114" i="9"/>
  <c r="P1115" i="9"/>
  <c r="P1116" i="9"/>
  <c r="P1117" i="9"/>
  <c r="P1118" i="9"/>
  <c r="P1119" i="9"/>
  <c r="P1120" i="9"/>
  <c r="P1121" i="9"/>
  <c r="P1122" i="9"/>
  <c r="P1123" i="9"/>
  <c r="P1124" i="9"/>
  <c r="P1125" i="9"/>
  <c r="P1126" i="9"/>
  <c r="P1127" i="9"/>
  <c r="P1128" i="9"/>
  <c r="P1129" i="9"/>
  <c r="P1130" i="9"/>
  <c r="P1131" i="9"/>
  <c r="P1132" i="9"/>
  <c r="P1133" i="9"/>
  <c r="P1134" i="9"/>
  <c r="P1135" i="9"/>
  <c r="P1136" i="9"/>
  <c r="P1137" i="9"/>
  <c r="P1138" i="9"/>
  <c r="P1139" i="9"/>
  <c r="P1140" i="9"/>
  <c r="P1141" i="9"/>
  <c r="P1142" i="9"/>
  <c r="P1143" i="9"/>
  <c r="P1144" i="9"/>
  <c r="P1145" i="9"/>
  <c r="P1146" i="9"/>
  <c r="P1147" i="9"/>
  <c r="P1148" i="9"/>
  <c r="P1149" i="9"/>
  <c r="P1150" i="9"/>
  <c r="P1151" i="9"/>
  <c r="P1152" i="9"/>
  <c r="P1153" i="9"/>
  <c r="P1154" i="9"/>
  <c r="P1155" i="9"/>
  <c r="P1156" i="9"/>
  <c r="P1157" i="9"/>
  <c r="P1158" i="9"/>
  <c r="P1159" i="9"/>
  <c r="P1160" i="9"/>
  <c r="P1161" i="9"/>
  <c r="P1162" i="9"/>
  <c r="P1163" i="9"/>
  <c r="P1164" i="9"/>
  <c r="P1165" i="9"/>
  <c r="P1166" i="9"/>
  <c r="P1167" i="9"/>
  <c r="P1168" i="9"/>
  <c r="P1169" i="9"/>
  <c r="P1170" i="9"/>
  <c r="P1171" i="9"/>
  <c r="P1172" i="9"/>
  <c r="P1173" i="9"/>
  <c r="P1174" i="9"/>
  <c r="P1175" i="9"/>
  <c r="P1176" i="9"/>
  <c r="P1177" i="9"/>
  <c r="P1178" i="9"/>
  <c r="P1179" i="9"/>
  <c r="P1180" i="9"/>
  <c r="P1181" i="9"/>
  <c r="P1182" i="9"/>
  <c r="P1183" i="9"/>
  <c r="P1184" i="9"/>
  <c r="P1185" i="9"/>
  <c r="P1186" i="9"/>
  <c r="P1187" i="9"/>
  <c r="P1188" i="9"/>
  <c r="P1189" i="9"/>
  <c r="P1190" i="9"/>
  <c r="P1191" i="9"/>
  <c r="P1192" i="9"/>
  <c r="P1193" i="9"/>
  <c r="P1194" i="9"/>
  <c r="P1195" i="9"/>
  <c r="P1196" i="9"/>
  <c r="P1197" i="9"/>
  <c r="P1198" i="9"/>
  <c r="P1199" i="9"/>
  <c r="P1200" i="9"/>
  <c r="P1201" i="9"/>
  <c r="P1202" i="9"/>
  <c r="P1203" i="9"/>
  <c r="P1204" i="9"/>
  <c r="P1205" i="9"/>
  <c r="P1206" i="9"/>
  <c r="P1207" i="9"/>
  <c r="P1208" i="9"/>
  <c r="P1209" i="9"/>
  <c r="P1210" i="9"/>
  <c r="P1211" i="9"/>
  <c r="P1212" i="9"/>
  <c r="P1213" i="9"/>
  <c r="P1214" i="9"/>
  <c r="P1215" i="9"/>
  <c r="P1216" i="9"/>
  <c r="P1217" i="9"/>
  <c r="P1218" i="9"/>
  <c r="P1219" i="9"/>
  <c r="P1220" i="9"/>
  <c r="P1221" i="9"/>
  <c r="P1222" i="9"/>
  <c r="P1223" i="9"/>
  <c r="P1224" i="9"/>
  <c r="P1225" i="9"/>
  <c r="P1226" i="9"/>
  <c r="P1227" i="9"/>
  <c r="P1228" i="9"/>
  <c r="P1229" i="9"/>
  <c r="P1230" i="9"/>
  <c r="P1231" i="9"/>
  <c r="P1232" i="9"/>
  <c r="P1233" i="9"/>
  <c r="P1234" i="9"/>
  <c r="P1235" i="9"/>
  <c r="P1236" i="9"/>
  <c r="P1237" i="9"/>
  <c r="P1238" i="9"/>
  <c r="P1239" i="9"/>
  <c r="P1240" i="9"/>
  <c r="P1241" i="9"/>
  <c r="P1242" i="9"/>
  <c r="P1243" i="9"/>
  <c r="P1244" i="9"/>
  <c r="P1245" i="9"/>
  <c r="P1246" i="9"/>
  <c r="P1247" i="9"/>
  <c r="P1248" i="9"/>
  <c r="P1249" i="9"/>
  <c r="P1250" i="9"/>
  <c r="P1251" i="9"/>
  <c r="P1252" i="9"/>
  <c r="P1253" i="9"/>
  <c r="P1254" i="9"/>
  <c r="P1255" i="9"/>
  <c r="P1256" i="9"/>
  <c r="P1257" i="9"/>
  <c r="P1258" i="9"/>
  <c r="P1259" i="9"/>
  <c r="P1260" i="9"/>
  <c r="P1261" i="9"/>
  <c r="P1262" i="9"/>
  <c r="P1263" i="9"/>
  <c r="P1264" i="9"/>
  <c r="P1265" i="9"/>
  <c r="P1266" i="9"/>
  <c r="P1267" i="9"/>
  <c r="P1268" i="9"/>
  <c r="P1269" i="9"/>
  <c r="P1270" i="9"/>
  <c r="P1271" i="9"/>
  <c r="P1272" i="9"/>
  <c r="P1273" i="9"/>
  <c r="P1274" i="9"/>
  <c r="P1275" i="9"/>
  <c r="P1276" i="9"/>
  <c r="P1277" i="9"/>
  <c r="P1278" i="9"/>
  <c r="P1279" i="9"/>
  <c r="P1280" i="9"/>
  <c r="P1281" i="9"/>
  <c r="P1282" i="9"/>
  <c r="P1283" i="9"/>
  <c r="P1284" i="9"/>
  <c r="P1285" i="9"/>
  <c r="P1286" i="9"/>
  <c r="P1287" i="9"/>
  <c r="P1288" i="9"/>
  <c r="P1289" i="9"/>
  <c r="P1290" i="9"/>
  <c r="P1291" i="9"/>
  <c r="P1292" i="9"/>
  <c r="P1293" i="9"/>
  <c r="P1294" i="9"/>
  <c r="P1295" i="9"/>
  <c r="P1296" i="9"/>
  <c r="P1297" i="9"/>
  <c r="P1298" i="9"/>
  <c r="P1299" i="9"/>
  <c r="P1300" i="9"/>
  <c r="P1301" i="9"/>
  <c r="P1302" i="9"/>
  <c r="P1303" i="9"/>
  <c r="P1304" i="9"/>
  <c r="P1305" i="9"/>
  <c r="P1306" i="9"/>
  <c r="P1307" i="9"/>
  <c r="P1308" i="9"/>
  <c r="P1309" i="9"/>
  <c r="P1310" i="9"/>
  <c r="P1311" i="9"/>
  <c r="P1312" i="9"/>
  <c r="P1313" i="9"/>
  <c r="P1314" i="9"/>
  <c r="P1315" i="9"/>
  <c r="P1316" i="9"/>
  <c r="P1317" i="9"/>
  <c r="P1318" i="9"/>
  <c r="P1319" i="9"/>
  <c r="P1320" i="9"/>
  <c r="P1321" i="9"/>
  <c r="P1322" i="9"/>
  <c r="P1323" i="9"/>
  <c r="P1324" i="9"/>
  <c r="P1325" i="9"/>
  <c r="P1326" i="9"/>
  <c r="P1327" i="9"/>
  <c r="P1328" i="9"/>
  <c r="P1329" i="9"/>
  <c r="P1330" i="9"/>
  <c r="P1331" i="9"/>
  <c r="P1332" i="9"/>
  <c r="P1333" i="9"/>
  <c r="P1334" i="9"/>
  <c r="P1335" i="9"/>
  <c r="P1336" i="9"/>
  <c r="P1337" i="9"/>
  <c r="P1338" i="9"/>
  <c r="P1339" i="9"/>
  <c r="P1340" i="9"/>
  <c r="P1341" i="9"/>
  <c r="P1342" i="9"/>
  <c r="P1343" i="9"/>
  <c r="P1344" i="9"/>
  <c r="P1345" i="9"/>
  <c r="P1346" i="9"/>
  <c r="P1347" i="9"/>
  <c r="P1348" i="9"/>
  <c r="P1349" i="9"/>
  <c r="P1350" i="9"/>
  <c r="P1351" i="9"/>
  <c r="P1352" i="9"/>
  <c r="P1353" i="9"/>
  <c r="P1354" i="9"/>
  <c r="P1355" i="9"/>
  <c r="P1356" i="9"/>
  <c r="P1357" i="9"/>
  <c r="P1358" i="9"/>
  <c r="P1359" i="9"/>
  <c r="P1360" i="9"/>
  <c r="P1361" i="9"/>
  <c r="P1362" i="9"/>
  <c r="P1363" i="9"/>
  <c r="P1364" i="9"/>
  <c r="P1365" i="9"/>
  <c r="P1366" i="9"/>
  <c r="P1367" i="9"/>
  <c r="P1368" i="9"/>
  <c r="P1369" i="9"/>
  <c r="P1370" i="9"/>
  <c r="P1371" i="9"/>
  <c r="P1372" i="9"/>
  <c r="P1373" i="9"/>
  <c r="P1374" i="9"/>
  <c r="P1375" i="9"/>
  <c r="P1376" i="9"/>
  <c r="P1377" i="9"/>
  <c r="P1378" i="9"/>
  <c r="P1379" i="9"/>
  <c r="P1380" i="9"/>
  <c r="P1381" i="9"/>
  <c r="P1382" i="9"/>
  <c r="P1383" i="9"/>
  <c r="P1384" i="9"/>
  <c r="P1385" i="9"/>
  <c r="P1386" i="9"/>
  <c r="P1387" i="9"/>
  <c r="P1388" i="9"/>
  <c r="P1389" i="9"/>
  <c r="P1390" i="9"/>
  <c r="P1391" i="9"/>
  <c r="P1392" i="9"/>
  <c r="P1393" i="9"/>
  <c r="P1394" i="9"/>
  <c r="P1395" i="9"/>
  <c r="P1396" i="9"/>
  <c r="P1397" i="9"/>
  <c r="P1398" i="9"/>
  <c r="P1399" i="9"/>
  <c r="P1400" i="9"/>
  <c r="P1401" i="9"/>
  <c r="P1402" i="9"/>
  <c r="P1403" i="9"/>
  <c r="P1404" i="9"/>
  <c r="P1405" i="9"/>
  <c r="P1406" i="9"/>
  <c r="P1407" i="9"/>
  <c r="P1408" i="9"/>
  <c r="P1409" i="9"/>
  <c r="P1410" i="9"/>
  <c r="P1411" i="9"/>
  <c r="P1412" i="9"/>
  <c r="P1413" i="9"/>
  <c r="P1414" i="9"/>
  <c r="P1415" i="9"/>
  <c r="P1416" i="9"/>
  <c r="P1417" i="9"/>
  <c r="P1418" i="9"/>
  <c r="P1419" i="9"/>
  <c r="P1420" i="9"/>
  <c r="P1421" i="9"/>
  <c r="P1422" i="9"/>
  <c r="P1423" i="9"/>
  <c r="P1424" i="9"/>
  <c r="P1425" i="9"/>
  <c r="P1426" i="9"/>
  <c r="P1427" i="9"/>
  <c r="P1428" i="9"/>
  <c r="P1429" i="9"/>
  <c r="P1430" i="9"/>
  <c r="P1431" i="9"/>
  <c r="P1432" i="9"/>
  <c r="P1433" i="9"/>
  <c r="P1434" i="9"/>
  <c r="P1435" i="9"/>
  <c r="P1436" i="9"/>
  <c r="P1437" i="9"/>
  <c r="P1438" i="9"/>
  <c r="P1439" i="9"/>
  <c r="P1440" i="9"/>
  <c r="P1441" i="9"/>
  <c r="P1442" i="9"/>
  <c r="P1443" i="9"/>
  <c r="P1444" i="9"/>
  <c r="P1445" i="9"/>
  <c r="P1446" i="9"/>
  <c r="P1447" i="9"/>
  <c r="P1448" i="9"/>
  <c r="P1449" i="9"/>
  <c r="P1450" i="9"/>
  <c r="P1451" i="9"/>
  <c r="P1452" i="9"/>
  <c r="P1453" i="9"/>
  <c r="P1454" i="9"/>
  <c r="P1455" i="9"/>
  <c r="P1456" i="9"/>
  <c r="P1457" i="9"/>
  <c r="P1458" i="9"/>
  <c r="P1459" i="9"/>
  <c r="P1460" i="9"/>
  <c r="P1461" i="9"/>
  <c r="P1462" i="9"/>
  <c r="P1463" i="9"/>
  <c r="P1464" i="9"/>
  <c r="P1465" i="9"/>
  <c r="P1466" i="9"/>
  <c r="P1467" i="9"/>
  <c r="P1468" i="9"/>
  <c r="P1469" i="9"/>
  <c r="P1470" i="9"/>
  <c r="P1471" i="9"/>
  <c r="P1472" i="9"/>
  <c r="P1473" i="9"/>
  <c r="P1474" i="9"/>
  <c r="P1475" i="9"/>
  <c r="P1476" i="9"/>
  <c r="P1477" i="9"/>
  <c r="P1478" i="9"/>
  <c r="P1479" i="9"/>
  <c r="P1480" i="9"/>
  <c r="P1481" i="9"/>
  <c r="P1482" i="9"/>
  <c r="P1483" i="9"/>
  <c r="P1484" i="9"/>
  <c r="P1485" i="9"/>
  <c r="P1486" i="9"/>
  <c r="P1487" i="9"/>
  <c r="P1488" i="9"/>
  <c r="P1489" i="9"/>
  <c r="P1490" i="9"/>
  <c r="P1491" i="9"/>
  <c r="P1492" i="9"/>
  <c r="P1493" i="9"/>
  <c r="P1494" i="9"/>
  <c r="P1495" i="9"/>
  <c r="P1496" i="9"/>
  <c r="P1497" i="9"/>
  <c r="P1498" i="9"/>
  <c r="P1499" i="9"/>
  <c r="P1500" i="9"/>
  <c r="P1501" i="9"/>
  <c r="P1502" i="9"/>
  <c r="P1503" i="9"/>
  <c r="P1504" i="9"/>
  <c r="P1505" i="9"/>
  <c r="P1506" i="9"/>
  <c r="P1507" i="9"/>
  <c r="P1508" i="9"/>
  <c r="P1509" i="9"/>
  <c r="P1510" i="9"/>
  <c r="P1511" i="9"/>
  <c r="P1512" i="9"/>
  <c r="P1513" i="9"/>
  <c r="P1514" i="9"/>
  <c r="P1515" i="9"/>
  <c r="P1516" i="9"/>
  <c r="P1517" i="9"/>
  <c r="P1518" i="9"/>
  <c r="P1519" i="9"/>
  <c r="P1520" i="9"/>
  <c r="P1521" i="9"/>
  <c r="P1522" i="9"/>
  <c r="P1523" i="9"/>
  <c r="P1524" i="9"/>
  <c r="P1525" i="9"/>
  <c r="P1526" i="9"/>
  <c r="P1527" i="9"/>
  <c r="P1528" i="9"/>
  <c r="P1529" i="9"/>
  <c r="P1530" i="9"/>
  <c r="P1531" i="9"/>
  <c r="P1532" i="9"/>
  <c r="P1533" i="9"/>
  <c r="P1534" i="9"/>
  <c r="P1535" i="9"/>
  <c r="P1536" i="9"/>
  <c r="P1537" i="9"/>
  <c r="P1538" i="9"/>
  <c r="P1539" i="9"/>
  <c r="P1540" i="9"/>
  <c r="P1541" i="9"/>
  <c r="P1542" i="9"/>
  <c r="P1543" i="9"/>
  <c r="P1544" i="9"/>
  <c r="P1545" i="9"/>
  <c r="P1546" i="9"/>
  <c r="P1547" i="9"/>
  <c r="P1548" i="9"/>
  <c r="P1549" i="9"/>
  <c r="P1550" i="9"/>
  <c r="P1551" i="9"/>
  <c r="P1552" i="9"/>
  <c r="P1553" i="9"/>
  <c r="P1554" i="9"/>
  <c r="P1555" i="9"/>
  <c r="P1556" i="9"/>
  <c r="P1557" i="9"/>
  <c r="P1558" i="9"/>
  <c r="P1559" i="9"/>
  <c r="P1560" i="9"/>
  <c r="P1561" i="9"/>
  <c r="P1562" i="9"/>
  <c r="P1563" i="9"/>
  <c r="P1564" i="9"/>
  <c r="P1565" i="9"/>
  <c r="P1566" i="9"/>
  <c r="P1567" i="9"/>
  <c r="P1568" i="9"/>
  <c r="P1569" i="9"/>
  <c r="P1570" i="9"/>
  <c r="P1571" i="9"/>
  <c r="P1572" i="9"/>
  <c r="P1573" i="9"/>
  <c r="P1574" i="9"/>
  <c r="P1575" i="9"/>
  <c r="P1576" i="9"/>
  <c r="P1577" i="9"/>
  <c r="P1578" i="9"/>
  <c r="P1579" i="9"/>
  <c r="P1580" i="9"/>
  <c r="P1581" i="9"/>
  <c r="P1582" i="9"/>
  <c r="P1583" i="9"/>
  <c r="P1584" i="9"/>
  <c r="P1585" i="9"/>
  <c r="P1586" i="9"/>
  <c r="P1587" i="9"/>
  <c r="P1588" i="9"/>
  <c r="P1589" i="9"/>
  <c r="P1590" i="9"/>
  <c r="P1591" i="9"/>
  <c r="P1592" i="9"/>
  <c r="P1593" i="9"/>
  <c r="P1594" i="9"/>
  <c r="P1595" i="9"/>
  <c r="P1596" i="9"/>
  <c r="P1597" i="9"/>
  <c r="P1598" i="9"/>
  <c r="P1599" i="9"/>
  <c r="P1600" i="9"/>
  <c r="P1601" i="9"/>
  <c r="P1602" i="9"/>
  <c r="P1603" i="9"/>
  <c r="P1604" i="9"/>
  <c r="P1605" i="9"/>
  <c r="P1606" i="9"/>
  <c r="P1607" i="9"/>
  <c r="P1608" i="9"/>
  <c r="P1609" i="9"/>
  <c r="P1610" i="9"/>
  <c r="P1611" i="9"/>
  <c r="P1612" i="9"/>
  <c r="P1613" i="9"/>
  <c r="P1614" i="9"/>
  <c r="P1615" i="9"/>
  <c r="P1616" i="9"/>
  <c r="P1617" i="9"/>
  <c r="P1618" i="9"/>
  <c r="P1619" i="9"/>
  <c r="P1620" i="9"/>
  <c r="P1621" i="9"/>
  <c r="P1622" i="9"/>
  <c r="P1623" i="9"/>
  <c r="P1624" i="9"/>
  <c r="P1625" i="9"/>
  <c r="P1626" i="9"/>
  <c r="P1627" i="9"/>
  <c r="P1628" i="9"/>
  <c r="P1629" i="9"/>
  <c r="P1630" i="9"/>
  <c r="P1631" i="9"/>
  <c r="P1632" i="9"/>
  <c r="P1633" i="9"/>
  <c r="P1634" i="9"/>
  <c r="P1635" i="9"/>
  <c r="P1636" i="9"/>
  <c r="P1637" i="9"/>
  <c r="P1638" i="9"/>
  <c r="P1639" i="9"/>
  <c r="P1640" i="9"/>
  <c r="P1641" i="9"/>
  <c r="P1642" i="9"/>
  <c r="P1643" i="9"/>
  <c r="P1644" i="9"/>
  <c r="P1645" i="9"/>
  <c r="P1646" i="9"/>
  <c r="P1647" i="9"/>
  <c r="P1648" i="9"/>
  <c r="P1649" i="9"/>
  <c r="P1650" i="9"/>
  <c r="P1651" i="9"/>
  <c r="P1652" i="9"/>
  <c r="P1653" i="9"/>
  <c r="P1654" i="9"/>
  <c r="P1655" i="9"/>
  <c r="P1656" i="9"/>
  <c r="P1657" i="9"/>
  <c r="P1658" i="9"/>
  <c r="P1659" i="9"/>
  <c r="P1660" i="9"/>
  <c r="P1661" i="9"/>
  <c r="P1662" i="9"/>
  <c r="P1663" i="9"/>
  <c r="P1664" i="9"/>
  <c r="P1665" i="9"/>
  <c r="P1666" i="9"/>
  <c r="P1667" i="9"/>
  <c r="P1668" i="9"/>
  <c r="P1669" i="9"/>
  <c r="P1670" i="9"/>
  <c r="P1671" i="9"/>
  <c r="P1672" i="9"/>
  <c r="P1673" i="9"/>
  <c r="P1674" i="9"/>
  <c r="P1675" i="9"/>
  <c r="P1676" i="9"/>
  <c r="P1677" i="9"/>
  <c r="P1678" i="9"/>
  <c r="P1679" i="9"/>
  <c r="P1680" i="9"/>
  <c r="P1681" i="9"/>
  <c r="P1682" i="9"/>
  <c r="P1683" i="9"/>
  <c r="P1684" i="9"/>
  <c r="P1685" i="9"/>
  <c r="P1686" i="9"/>
  <c r="P1687" i="9"/>
  <c r="P1688" i="9"/>
  <c r="P1689" i="9"/>
  <c r="P1690" i="9"/>
  <c r="P1691" i="9"/>
  <c r="P1692" i="9"/>
  <c r="P1693" i="9"/>
  <c r="P1694" i="9"/>
  <c r="P1695" i="9"/>
  <c r="P1696" i="9"/>
  <c r="P1697" i="9"/>
  <c r="P1698" i="9"/>
  <c r="P1699" i="9"/>
  <c r="P1700" i="9"/>
  <c r="P1701" i="9"/>
  <c r="P1702" i="9"/>
  <c r="P1703" i="9"/>
  <c r="P1704" i="9"/>
  <c r="P1705" i="9"/>
  <c r="P1706" i="9"/>
  <c r="P1707" i="9"/>
  <c r="P1708" i="9"/>
  <c r="P1709" i="9"/>
  <c r="P1710" i="9"/>
  <c r="P1711" i="9"/>
  <c r="P1712" i="9"/>
  <c r="P1713" i="9"/>
  <c r="P1714" i="9"/>
  <c r="P1715" i="9"/>
  <c r="P1716" i="9"/>
  <c r="P1717" i="9"/>
  <c r="P1718" i="9"/>
  <c r="P1719" i="9"/>
  <c r="P1720" i="9"/>
  <c r="P1721" i="9"/>
  <c r="P1722" i="9"/>
  <c r="P1723" i="9"/>
  <c r="P1724" i="9"/>
  <c r="P1725" i="9"/>
  <c r="P1726" i="9"/>
  <c r="P1727" i="9"/>
  <c r="P1728" i="9"/>
  <c r="P1729" i="9"/>
  <c r="P1730" i="9"/>
  <c r="P1731" i="9"/>
  <c r="P1732" i="9"/>
  <c r="P1733" i="9"/>
  <c r="P1734" i="9"/>
  <c r="P1735" i="9"/>
  <c r="P1736" i="9"/>
  <c r="P1737" i="9"/>
  <c r="P1738" i="9"/>
  <c r="P1739" i="9"/>
  <c r="P1740" i="9"/>
  <c r="P1741" i="9"/>
  <c r="P1742" i="9"/>
  <c r="P1743" i="9"/>
  <c r="P1744" i="9"/>
  <c r="P1745" i="9"/>
  <c r="P1746" i="9"/>
  <c r="P1747" i="9"/>
  <c r="P1748" i="9"/>
  <c r="P1749" i="9"/>
  <c r="P1750" i="9"/>
  <c r="P1751" i="9"/>
  <c r="P1752" i="9"/>
  <c r="P1753" i="9"/>
  <c r="P1754" i="9"/>
  <c r="P1755" i="9"/>
  <c r="P1756" i="9"/>
  <c r="P1757" i="9"/>
  <c r="P1758" i="9"/>
  <c r="P1759" i="9"/>
  <c r="P1760" i="9"/>
  <c r="P1761" i="9"/>
  <c r="P1762" i="9"/>
  <c r="P1763" i="9"/>
  <c r="P1764" i="9"/>
  <c r="P1765" i="9"/>
  <c r="P1766" i="9"/>
  <c r="P1767" i="9"/>
  <c r="P1768" i="9"/>
  <c r="P1769" i="9"/>
  <c r="P1770" i="9"/>
  <c r="P1771" i="9"/>
  <c r="P1772" i="9"/>
  <c r="P1773" i="9"/>
  <c r="P1774" i="9"/>
  <c r="P1775" i="9"/>
  <c r="P1776" i="9"/>
  <c r="P1777" i="9"/>
  <c r="P1778" i="9"/>
  <c r="P1779" i="9"/>
  <c r="P1780" i="9"/>
  <c r="P1781" i="9"/>
  <c r="P1782" i="9"/>
  <c r="P1783" i="9"/>
  <c r="P1784" i="9"/>
  <c r="P1785" i="9"/>
  <c r="P1786" i="9"/>
  <c r="P1787" i="9"/>
  <c r="P1788" i="9"/>
  <c r="P1789" i="9"/>
  <c r="P1790" i="9"/>
  <c r="P1791" i="9"/>
  <c r="P1792" i="9"/>
  <c r="P1793" i="9"/>
  <c r="P1794" i="9"/>
  <c r="P1795" i="9"/>
  <c r="P1796" i="9"/>
  <c r="P1797" i="9"/>
  <c r="P1798" i="9"/>
  <c r="P1799" i="9"/>
  <c r="P1800" i="9"/>
  <c r="P1801" i="9"/>
  <c r="P1802" i="9"/>
  <c r="P1803" i="9"/>
  <c r="P1804" i="9"/>
  <c r="P1805" i="9"/>
  <c r="P1806" i="9"/>
  <c r="P1807" i="9"/>
  <c r="P1808" i="9"/>
  <c r="P1809" i="9"/>
  <c r="P1810" i="9"/>
  <c r="P1811" i="9"/>
  <c r="P1812" i="9"/>
  <c r="P1813" i="9"/>
  <c r="P1814" i="9"/>
  <c r="P1815" i="9"/>
  <c r="P1816" i="9"/>
  <c r="P1817" i="9"/>
  <c r="P1818" i="9"/>
  <c r="P1819" i="9"/>
  <c r="P1820" i="9"/>
  <c r="P1821" i="9"/>
  <c r="P1822" i="9"/>
  <c r="P1823" i="9"/>
  <c r="P1824" i="9"/>
  <c r="P1825" i="9"/>
  <c r="P1826" i="9"/>
  <c r="P1827" i="9"/>
  <c r="P1828" i="9"/>
  <c r="P1829" i="9"/>
  <c r="P1830" i="9"/>
  <c r="P1831" i="9"/>
  <c r="P1832" i="9"/>
  <c r="P1833" i="9"/>
  <c r="P1834" i="9"/>
  <c r="P1835" i="9"/>
  <c r="P1836" i="9"/>
  <c r="P1837" i="9"/>
  <c r="P1838" i="9"/>
  <c r="P1839" i="9"/>
  <c r="P1840" i="9"/>
  <c r="P1841" i="9"/>
  <c r="P1842" i="9"/>
  <c r="P1843" i="9"/>
  <c r="P1844" i="9"/>
  <c r="P1845" i="9"/>
  <c r="P1846" i="9"/>
  <c r="P1847" i="9"/>
  <c r="P1848" i="9"/>
  <c r="P1849" i="9"/>
  <c r="P1850" i="9"/>
  <c r="P1851" i="9"/>
  <c r="P1852" i="9"/>
  <c r="P1853" i="9"/>
  <c r="P1854" i="9"/>
  <c r="P1855" i="9"/>
  <c r="P1856" i="9"/>
  <c r="P1857" i="9"/>
  <c r="P1858" i="9"/>
  <c r="P1859" i="9"/>
  <c r="P1860" i="9"/>
  <c r="P1861" i="9"/>
  <c r="P1862" i="9"/>
  <c r="P1863" i="9"/>
  <c r="P1864" i="9"/>
  <c r="P1865" i="9"/>
  <c r="P1866" i="9"/>
  <c r="P1867" i="9"/>
  <c r="P1868" i="9"/>
  <c r="P1869" i="9"/>
  <c r="P1870" i="9"/>
  <c r="P1871" i="9"/>
  <c r="P1872" i="9"/>
  <c r="P1873" i="9"/>
  <c r="P1874" i="9"/>
  <c r="P1875" i="9"/>
  <c r="P1876" i="9"/>
  <c r="P1877" i="9"/>
  <c r="P1878" i="9"/>
  <c r="P1879" i="9"/>
  <c r="P1880" i="9"/>
  <c r="P1881" i="9"/>
  <c r="P1882" i="9"/>
  <c r="P1883" i="9"/>
  <c r="P1884" i="9"/>
  <c r="P1885" i="9"/>
  <c r="P1886" i="9"/>
  <c r="P1887" i="9"/>
  <c r="P1888" i="9"/>
  <c r="P1889" i="9"/>
  <c r="P1890" i="9"/>
  <c r="P1891" i="9"/>
  <c r="P1892" i="9"/>
  <c r="P1893" i="9"/>
  <c r="P1894" i="9"/>
  <c r="P1895" i="9"/>
  <c r="P1896" i="9"/>
  <c r="P1897" i="9"/>
  <c r="P1898" i="9"/>
  <c r="P1899" i="9"/>
  <c r="P1900" i="9"/>
  <c r="P1901" i="9"/>
  <c r="P1902" i="9"/>
  <c r="P1903" i="9"/>
  <c r="P1904" i="9"/>
  <c r="P1905" i="9"/>
  <c r="P1906" i="9"/>
  <c r="P1907" i="9"/>
  <c r="P1908" i="9"/>
  <c r="P1909" i="9"/>
  <c r="P1910" i="9"/>
  <c r="P1911" i="9"/>
  <c r="P1912" i="9"/>
  <c r="P1913" i="9"/>
  <c r="P1914" i="9"/>
  <c r="P1915" i="9"/>
  <c r="P1916" i="9"/>
  <c r="P1917" i="9"/>
  <c r="P1918" i="9"/>
  <c r="P1919" i="9"/>
  <c r="P1920" i="9"/>
  <c r="P1921" i="9"/>
  <c r="P1922" i="9"/>
  <c r="P1923" i="9"/>
  <c r="P1924" i="9"/>
  <c r="P1925" i="9"/>
  <c r="P1926" i="9"/>
  <c r="P1927" i="9"/>
  <c r="P1928" i="9"/>
  <c r="P1929" i="9"/>
  <c r="P1930" i="9"/>
  <c r="P1931" i="9"/>
  <c r="P1932" i="9"/>
  <c r="P1933" i="9"/>
  <c r="P1934" i="9"/>
  <c r="P1935" i="9"/>
  <c r="P1936" i="9"/>
  <c r="P1937" i="9"/>
  <c r="P1938" i="9"/>
  <c r="P1939" i="9"/>
  <c r="P1940" i="9"/>
  <c r="P1941" i="9"/>
  <c r="P1942" i="9"/>
  <c r="P1943" i="9"/>
  <c r="P1944" i="9"/>
  <c r="P1945" i="9"/>
  <c r="P1946" i="9"/>
  <c r="P1947" i="9"/>
  <c r="P1948" i="9"/>
  <c r="P1949" i="9"/>
  <c r="P1950" i="9"/>
  <c r="P1951" i="9"/>
  <c r="P1952" i="9"/>
  <c r="P1953" i="9"/>
  <c r="P1954" i="9"/>
  <c r="P1955" i="9"/>
  <c r="P1956" i="9"/>
  <c r="P1957" i="9"/>
  <c r="P1958" i="9"/>
  <c r="P1959" i="9"/>
  <c r="P1960" i="9"/>
  <c r="P1961" i="9"/>
  <c r="P1962" i="9"/>
  <c r="P1963" i="9"/>
  <c r="P1964" i="9"/>
  <c r="P1965" i="9"/>
  <c r="P1966" i="9"/>
  <c r="P1967" i="9"/>
  <c r="P1968" i="9"/>
  <c r="P1969" i="9"/>
  <c r="P1970" i="9"/>
  <c r="P1971" i="9"/>
  <c r="P1972" i="9"/>
  <c r="P1973" i="9"/>
  <c r="P1974" i="9"/>
  <c r="P1975" i="9"/>
  <c r="P1976" i="9"/>
  <c r="P1977" i="9"/>
  <c r="P1978" i="9"/>
  <c r="P1979" i="9"/>
  <c r="P1980" i="9"/>
  <c r="P1981" i="9"/>
  <c r="P1982" i="9"/>
  <c r="P1983" i="9"/>
  <c r="P1984" i="9"/>
  <c r="P1985" i="9"/>
  <c r="P1986" i="9"/>
  <c r="P1987" i="9"/>
  <c r="P1988" i="9"/>
  <c r="P1989" i="9"/>
  <c r="P1990" i="9"/>
  <c r="P1991" i="9"/>
  <c r="P1992" i="9"/>
  <c r="P1993" i="9"/>
  <c r="P1994" i="9"/>
  <c r="P1995" i="9"/>
  <c r="P1996" i="9"/>
  <c r="P1997" i="9"/>
  <c r="P1998" i="9"/>
  <c r="P1999" i="9"/>
  <c r="P2000" i="9"/>
  <c r="P2001" i="9"/>
  <c r="P2002" i="9"/>
  <c r="P2003" i="9"/>
  <c r="P2004" i="9"/>
  <c r="P2005" i="9"/>
  <c r="P2006" i="9"/>
  <c r="P2007" i="9"/>
  <c r="P2008" i="9"/>
  <c r="P2009" i="9"/>
  <c r="P2010" i="9"/>
  <c r="P2011" i="9"/>
  <c r="P2012" i="9"/>
  <c r="P2013" i="9"/>
  <c r="P2014" i="9"/>
  <c r="P2015" i="9"/>
  <c r="P2016" i="9"/>
  <c r="P2017" i="9"/>
  <c r="P2018" i="9"/>
  <c r="P2019" i="9"/>
  <c r="P2020" i="9"/>
  <c r="P2021" i="9"/>
  <c r="P2022" i="9"/>
  <c r="P2023" i="9"/>
  <c r="P2024" i="9"/>
  <c r="P2025" i="9"/>
  <c r="P2026" i="9"/>
  <c r="P2027" i="9"/>
  <c r="P2028" i="9"/>
  <c r="P2029" i="9"/>
  <c r="P2030" i="9"/>
  <c r="P2031" i="9"/>
  <c r="P2032" i="9"/>
  <c r="P2033" i="9"/>
  <c r="P2034" i="9"/>
  <c r="P2035" i="9"/>
  <c r="P2036" i="9"/>
  <c r="P2037" i="9"/>
  <c r="P2038" i="9"/>
  <c r="P2039" i="9"/>
  <c r="P2040" i="9"/>
  <c r="P2041" i="9"/>
  <c r="P2042" i="9"/>
  <c r="P2043" i="9"/>
  <c r="P2044" i="9"/>
  <c r="P2045" i="9"/>
  <c r="P2046" i="9"/>
  <c r="P2047" i="9"/>
  <c r="P2048" i="9"/>
  <c r="P2049" i="9"/>
  <c r="P2050" i="9"/>
  <c r="P2051" i="9"/>
  <c r="P2052" i="9"/>
  <c r="P2053" i="9"/>
  <c r="P2054" i="9"/>
  <c r="P2055" i="9"/>
  <c r="P2056" i="9"/>
  <c r="P2057" i="9"/>
  <c r="P2058" i="9"/>
  <c r="P2059" i="9"/>
  <c r="P2060" i="9"/>
  <c r="P2061" i="9"/>
  <c r="P2062" i="9"/>
  <c r="P2063" i="9"/>
  <c r="P2064" i="9"/>
  <c r="P2065" i="9"/>
  <c r="P2066" i="9"/>
  <c r="P2067" i="9"/>
  <c r="P2068" i="9"/>
  <c r="P2069" i="9"/>
  <c r="P2070" i="9"/>
  <c r="P2071" i="9"/>
  <c r="P2072" i="9"/>
  <c r="P2073" i="9"/>
  <c r="P2074" i="9"/>
  <c r="P2075" i="9"/>
  <c r="P2076" i="9"/>
  <c r="P2077" i="9"/>
  <c r="P2078" i="9"/>
  <c r="P2079" i="9"/>
  <c r="P2080" i="9"/>
  <c r="P2081" i="9"/>
  <c r="P2082" i="9"/>
  <c r="P2083" i="9"/>
  <c r="P2084" i="9"/>
  <c r="P2085" i="9"/>
  <c r="P2086" i="9"/>
  <c r="P2087" i="9"/>
  <c r="P2088" i="9"/>
  <c r="P2089" i="9"/>
  <c r="P2090" i="9"/>
  <c r="P2091" i="9"/>
  <c r="P2092" i="9"/>
  <c r="P2093" i="9"/>
  <c r="P2094" i="9"/>
  <c r="P2095" i="9"/>
  <c r="P2096" i="9"/>
  <c r="P2097" i="9"/>
  <c r="P2098" i="9"/>
  <c r="P2099" i="9"/>
  <c r="P2100" i="9"/>
  <c r="P2101" i="9"/>
  <c r="P2102" i="9"/>
  <c r="P2103" i="9"/>
  <c r="P2104" i="9"/>
  <c r="P2105" i="9"/>
  <c r="P2106" i="9"/>
  <c r="P2107" i="9"/>
  <c r="P2108" i="9"/>
  <c r="P2109" i="9"/>
  <c r="P2110" i="9"/>
  <c r="P2111" i="9"/>
  <c r="P2112" i="9"/>
  <c r="P2113" i="9"/>
  <c r="P2114" i="9"/>
  <c r="P2115" i="9"/>
  <c r="P2116" i="9"/>
  <c r="P2117" i="9"/>
  <c r="P2118" i="9"/>
  <c r="P2119" i="9"/>
  <c r="P2120" i="9"/>
  <c r="P2121" i="9"/>
  <c r="P2122" i="9"/>
  <c r="P2123" i="9"/>
  <c r="P2124" i="9"/>
  <c r="P2125" i="9"/>
  <c r="P2126" i="9"/>
  <c r="P2127" i="9"/>
  <c r="P2128" i="9"/>
  <c r="P2129" i="9"/>
  <c r="P2130" i="9"/>
  <c r="P2131" i="9"/>
  <c r="P2132" i="9"/>
  <c r="P2133" i="9"/>
  <c r="P2134" i="9"/>
  <c r="P2135" i="9"/>
  <c r="P2136" i="9"/>
  <c r="P2137" i="9"/>
  <c r="P2138" i="9"/>
  <c r="P2139" i="9"/>
  <c r="P2140" i="9"/>
  <c r="P2141" i="9"/>
  <c r="P2142" i="9"/>
  <c r="P2143" i="9"/>
  <c r="P2144" i="9"/>
  <c r="P2145" i="9"/>
  <c r="P2146" i="9"/>
  <c r="P2147" i="9"/>
  <c r="P2148" i="9"/>
  <c r="P2149" i="9"/>
  <c r="P2150" i="9"/>
  <c r="P2151" i="9"/>
  <c r="P2152" i="9"/>
  <c r="P2153" i="9"/>
  <c r="P2154" i="9"/>
  <c r="P2155" i="9"/>
  <c r="P2156" i="9"/>
  <c r="P2157" i="9"/>
  <c r="P2158" i="9"/>
  <c r="P2159" i="9"/>
  <c r="P2160" i="9"/>
  <c r="P2161" i="9"/>
  <c r="P2162" i="9"/>
  <c r="P2163" i="9"/>
  <c r="P2164" i="9"/>
  <c r="P2165" i="9"/>
  <c r="P2166" i="9"/>
  <c r="P2167" i="9"/>
  <c r="P2168" i="9"/>
  <c r="P2169" i="9"/>
  <c r="P2170" i="9"/>
  <c r="P2171" i="9"/>
  <c r="P2172" i="9"/>
  <c r="P2173" i="9"/>
  <c r="P2174" i="9"/>
  <c r="P2175" i="9"/>
  <c r="P2176" i="9"/>
  <c r="P2177" i="9"/>
  <c r="P2178" i="9"/>
  <c r="P2179" i="9"/>
  <c r="P2180" i="9"/>
  <c r="P2181" i="9"/>
  <c r="P2182" i="9"/>
  <c r="P2183" i="9"/>
  <c r="P2184" i="9"/>
  <c r="P2185" i="9"/>
  <c r="P2186" i="9"/>
  <c r="P2187" i="9"/>
  <c r="P2188" i="9"/>
  <c r="P2189" i="9"/>
  <c r="P2190" i="9"/>
  <c r="P2191" i="9"/>
  <c r="P2192" i="9"/>
  <c r="P2193" i="9"/>
  <c r="P2194" i="9"/>
  <c r="P2195" i="9"/>
  <c r="P2196" i="9"/>
  <c r="P2197" i="9"/>
  <c r="P2198" i="9"/>
  <c r="P2199" i="9"/>
  <c r="P2200" i="9"/>
  <c r="P2201" i="9"/>
  <c r="P2202" i="9"/>
  <c r="P2203" i="9"/>
  <c r="P2204" i="9"/>
  <c r="P2205" i="9"/>
  <c r="P2206" i="9"/>
  <c r="P2207" i="9"/>
  <c r="P2208" i="9"/>
  <c r="P2209" i="9"/>
  <c r="P2210" i="9"/>
  <c r="P2211" i="9"/>
  <c r="P2212" i="9"/>
  <c r="P2213" i="9"/>
  <c r="P2214" i="9"/>
  <c r="P2215" i="9"/>
  <c r="P2216" i="9"/>
  <c r="P2217" i="9"/>
  <c r="P2218" i="9"/>
  <c r="P2219" i="9"/>
  <c r="P2220" i="9"/>
  <c r="P2221" i="9"/>
  <c r="P2222" i="9"/>
  <c r="P2223" i="9"/>
  <c r="P2224" i="9"/>
  <c r="P2225" i="9"/>
  <c r="P2226" i="9"/>
  <c r="P2227" i="9"/>
  <c r="P2228" i="9"/>
  <c r="P2229" i="9"/>
  <c r="P2230" i="9"/>
  <c r="P2231" i="9"/>
  <c r="P2232" i="9"/>
  <c r="P2233" i="9"/>
  <c r="P2234" i="9"/>
  <c r="P2235" i="9"/>
  <c r="P2236" i="9"/>
  <c r="P2237" i="9"/>
  <c r="P2238" i="9"/>
  <c r="P2239" i="9"/>
  <c r="P2240" i="9"/>
  <c r="P2241" i="9"/>
  <c r="P2242" i="9"/>
  <c r="P2243" i="9"/>
  <c r="P2244" i="9"/>
  <c r="P2245" i="9"/>
  <c r="P2246" i="9"/>
  <c r="P2247" i="9"/>
  <c r="P2248" i="9"/>
  <c r="P2249" i="9"/>
  <c r="P2250" i="9"/>
  <c r="P2251" i="9"/>
  <c r="P2252" i="9"/>
  <c r="P2253" i="9"/>
  <c r="P2254" i="9"/>
  <c r="P2255" i="9"/>
  <c r="P2256" i="9"/>
  <c r="P2257" i="9"/>
  <c r="P2258" i="9"/>
  <c r="P2259" i="9"/>
  <c r="P2260" i="9"/>
  <c r="P2261" i="9"/>
  <c r="P2262" i="9"/>
  <c r="P2263" i="9"/>
  <c r="P2264" i="9"/>
  <c r="P2265" i="9"/>
  <c r="P2266" i="9"/>
  <c r="P2267" i="9"/>
  <c r="P2268" i="9"/>
  <c r="P2269" i="9"/>
  <c r="P2270" i="9"/>
  <c r="P2271" i="9"/>
  <c r="P2272" i="9"/>
  <c r="P2273" i="9"/>
  <c r="P2274" i="9"/>
  <c r="P2275" i="9"/>
  <c r="P2276" i="9"/>
  <c r="P2277" i="9"/>
  <c r="P2278" i="9"/>
  <c r="P2279" i="9"/>
  <c r="P2280" i="9"/>
  <c r="P2281" i="9"/>
  <c r="P2282" i="9"/>
  <c r="P2283" i="9"/>
  <c r="P2284" i="9"/>
  <c r="P2285" i="9"/>
  <c r="P2286" i="9"/>
  <c r="P2287" i="9"/>
  <c r="P2288" i="9"/>
  <c r="P2289" i="9"/>
  <c r="P2290" i="9"/>
  <c r="P2291" i="9"/>
  <c r="P2292" i="9"/>
  <c r="P2293" i="9"/>
  <c r="P2294" i="9"/>
  <c r="P2295" i="9"/>
  <c r="P2296" i="9"/>
  <c r="P2297" i="9"/>
  <c r="P2298" i="9"/>
  <c r="P2299" i="9"/>
  <c r="P2300" i="9"/>
  <c r="P2301" i="9"/>
  <c r="P2302" i="9"/>
  <c r="P2303" i="9"/>
  <c r="P2304" i="9"/>
  <c r="P2305" i="9"/>
  <c r="P2306" i="9"/>
  <c r="P2307" i="9"/>
  <c r="P2308" i="9"/>
  <c r="P2309" i="9"/>
  <c r="P2310" i="9"/>
  <c r="P2311" i="9"/>
  <c r="P2312" i="9"/>
  <c r="P2313" i="9"/>
  <c r="P2314" i="9"/>
  <c r="P2315" i="9"/>
  <c r="P2316" i="9"/>
  <c r="P2317" i="9"/>
  <c r="P2318" i="9"/>
  <c r="P2319" i="9"/>
  <c r="P2320" i="9"/>
  <c r="P2321" i="9"/>
  <c r="P2322" i="9"/>
  <c r="P2323" i="9"/>
  <c r="P2324" i="9"/>
  <c r="P2325" i="9"/>
  <c r="P2326" i="9"/>
  <c r="P2327" i="9"/>
  <c r="P2328" i="9"/>
  <c r="P2329" i="9"/>
  <c r="P2330" i="9"/>
  <c r="P2331" i="9"/>
  <c r="P2332" i="9"/>
  <c r="P2333" i="9"/>
  <c r="P2334" i="9"/>
  <c r="P2335" i="9"/>
  <c r="P2336" i="9"/>
  <c r="P2337" i="9"/>
  <c r="P2338" i="9"/>
  <c r="P2339" i="9"/>
  <c r="P2340" i="9"/>
  <c r="P2341" i="9"/>
  <c r="P2342" i="9"/>
  <c r="P2343" i="9"/>
  <c r="P2344" i="9"/>
  <c r="P2345" i="9"/>
  <c r="P2346" i="9"/>
  <c r="P2347" i="9"/>
  <c r="P2348" i="9"/>
  <c r="P2349" i="9"/>
  <c r="P2350" i="9"/>
  <c r="P2351" i="9"/>
  <c r="P2352" i="9"/>
  <c r="P2353" i="9"/>
  <c r="P2354" i="9"/>
  <c r="P2355" i="9"/>
  <c r="P2356" i="9"/>
  <c r="P2357" i="9"/>
  <c r="P2358" i="9"/>
  <c r="P2359" i="9"/>
  <c r="P2360" i="9"/>
  <c r="P2361" i="9"/>
  <c r="P2362" i="9"/>
  <c r="P2363" i="9"/>
  <c r="P2364" i="9"/>
  <c r="P2365" i="9"/>
  <c r="P2366" i="9"/>
  <c r="P2367" i="9"/>
  <c r="P2368" i="9"/>
  <c r="P2369" i="9"/>
  <c r="P2370" i="9"/>
  <c r="P2371" i="9"/>
  <c r="P2372" i="9"/>
  <c r="P2373" i="9"/>
  <c r="P2374" i="9"/>
  <c r="P2375" i="9"/>
  <c r="P2376" i="9"/>
  <c r="P2377" i="9"/>
  <c r="P2378" i="9"/>
  <c r="P2379" i="9"/>
  <c r="P2380" i="9"/>
  <c r="P2381" i="9"/>
  <c r="P2382" i="9"/>
  <c r="P2383" i="9"/>
  <c r="P2384" i="9"/>
  <c r="P2385" i="9"/>
  <c r="P2386" i="9"/>
  <c r="P2387" i="9"/>
  <c r="P2388" i="9"/>
  <c r="P2389" i="9"/>
  <c r="P2390" i="9"/>
  <c r="P2391" i="9"/>
  <c r="P2392" i="9"/>
  <c r="P2393" i="9"/>
  <c r="P2394" i="9"/>
  <c r="P2395" i="9"/>
  <c r="P2396" i="9"/>
  <c r="P2397" i="9"/>
  <c r="P2398" i="9"/>
  <c r="P2399" i="9"/>
  <c r="P2400" i="9"/>
  <c r="P2401" i="9"/>
  <c r="P2402" i="9"/>
  <c r="P2403" i="9"/>
  <c r="P2404" i="9"/>
  <c r="P2405" i="9"/>
  <c r="P2406" i="9"/>
  <c r="P2407" i="9"/>
  <c r="P2408" i="9"/>
  <c r="P2409" i="9"/>
  <c r="P2410" i="9"/>
  <c r="P2411" i="9"/>
  <c r="P2412" i="9"/>
  <c r="P2413" i="9"/>
  <c r="P2414" i="9"/>
  <c r="P2415" i="9"/>
  <c r="P2416" i="9"/>
  <c r="P2417" i="9"/>
  <c r="P2418" i="9"/>
  <c r="P2419" i="9"/>
  <c r="P2420" i="9"/>
  <c r="P2421" i="9"/>
  <c r="P2422" i="9"/>
  <c r="P2423" i="9"/>
  <c r="P2424" i="9"/>
  <c r="P2425" i="9"/>
  <c r="P2426" i="9"/>
  <c r="P2427" i="9"/>
  <c r="P2428" i="9"/>
  <c r="P2429" i="9"/>
  <c r="P2430" i="9"/>
  <c r="P2431" i="9"/>
  <c r="P2432" i="9"/>
  <c r="P2433" i="9"/>
  <c r="P2434" i="9"/>
  <c r="P2435" i="9"/>
  <c r="P2436" i="9"/>
  <c r="P2437" i="9"/>
  <c r="P2438" i="9"/>
  <c r="P2439" i="9"/>
  <c r="P2440" i="9"/>
  <c r="P2441" i="9"/>
  <c r="P2442" i="9"/>
  <c r="P2443" i="9"/>
  <c r="P2444" i="9"/>
  <c r="P2445" i="9"/>
  <c r="P2446" i="9"/>
  <c r="P2447" i="9"/>
  <c r="P2448" i="9"/>
  <c r="P2449" i="9"/>
  <c r="P2450" i="9"/>
  <c r="P2451" i="9"/>
  <c r="P2452" i="9"/>
  <c r="P2453" i="9"/>
  <c r="P2454" i="9"/>
  <c r="P2455" i="9"/>
  <c r="P2456" i="9"/>
  <c r="P2457" i="9"/>
  <c r="P2458" i="9"/>
  <c r="P2459" i="9"/>
  <c r="P2460" i="9"/>
  <c r="P2461" i="9"/>
  <c r="P2462" i="9"/>
  <c r="P2463" i="9"/>
  <c r="P2464" i="9"/>
  <c r="P2465" i="9"/>
  <c r="P2466" i="9"/>
  <c r="P2467" i="9"/>
  <c r="P2468" i="9"/>
  <c r="P2469" i="9"/>
  <c r="P2470" i="9"/>
  <c r="P2471" i="9"/>
  <c r="P2472" i="9"/>
  <c r="P2473" i="9"/>
  <c r="P2474" i="9"/>
  <c r="P2475" i="9"/>
  <c r="P2476" i="9"/>
  <c r="P2477" i="9"/>
  <c r="P2478" i="9"/>
  <c r="P2479" i="9"/>
  <c r="P2480" i="9"/>
  <c r="P2481" i="9"/>
  <c r="P2482" i="9"/>
  <c r="P2483" i="9"/>
  <c r="P2484" i="9"/>
  <c r="P2485" i="9"/>
  <c r="P2486" i="9"/>
  <c r="P2487" i="9"/>
  <c r="P2488" i="9"/>
  <c r="P2489" i="9"/>
  <c r="P2490" i="9"/>
  <c r="P2491" i="9"/>
  <c r="P2492" i="9"/>
  <c r="P2493" i="9"/>
  <c r="P2494" i="9"/>
  <c r="P2495" i="9"/>
  <c r="P2496" i="9"/>
  <c r="P2497" i="9"/>
  <c r="P2498" i="9"/>
  <c r="P2499" i="9"/>
  <c r="P2500" i="9"/>
  <c r="P2501" i="9"/>
  <c r="P2502" i="9"/>
  <c r="P2503" i="9"/>
  <c r="P2504" i="9"/>
  <c r="P2505" i="9"/>
  <c r="P2506" i="9"/>
  <c r="P2507" i="9"/>
  <c r="P2508" i="9"/>
  <c r="P2509" i="9"/>
  <c r="P2510" i="9"/>
  <c r="P2511" i="9"/>
  <c r="P2512" i="9"/>
  <c r="P2513" i="9"/>
  <c r="P2514" i="9"/>
  <c r="P2515" i="9"/>
  <c r="P2516" i="9"/>
  <c r="P2517" i="9"/>
  <c r="P2518" i="9"/>
  <c r="P2519" i="9"/>
  <c r="P2520" i="9"/>
  <c r="P2521" i="9"/>
  <c r="P2522" i="9"/>
  <c r="P2523" i="9"/>
  <c r="P2524" i="9"/>
  <c r="P2525" i="9"/>
  <c r="P2526" i="9"/>
  <c r="P2527" i="9"/>
  <c r="P2528" i="9"/>
  <c r="P2529" i="9"/>
  <c r="P2530" i="9"/>
  <c r="P2531" i="9"/>
  <c r="P2532" i="9"/>
  <c r="P2533" i="9"/>
  <c r="P2534" i="9"/>
  <c r="P2535" i="9"/>
  <c r="P2536" i="9"/>
  <c r="P2537" i="9"/>
  <c r="P2538" i="9"/>
  <c r="P2539" i="9"/>
  <c r="P2540" i="9"/>
  <c r="P2541" i="9"/>
  <c r="P2542" i="9"/>
  <c r="P2543" i="9"/>
  <c r="P2544" i="9"/>
  <c r="P2545" i="9"/>
  <c r="P2546" i="9"/>
  <c r="P2547" i="9"/>
  <c r="P2548" i="9"/>
  <c r="P2549" i="9"/>
  <c r="P2550" i="9"/>
  <c r="P2551" i="9"/>
  <c r="P2552" i="9"/>
  <c r="P2553" i="9"/>
  <c r="P2554" i="9"/>
  <c r="P2555" i="9"/>
  <c r="P2556" i="9"/>
  <c r="P2557" i="9"/>
  <c r="P2558" i="9"/>
  <c r="P2559" i="9"/>
  <c r="P2560" i="9"/>
  <c r="P2561" i="9"/>
  <c r="P2562" i="9"/>
  <c r="P2563" i="9"/>
  <c r="P2564" i="9"/>
  <c r="P2565" i="9"/>
  <c r="P2566" i="9"/>
  <c r="P2567" i="9"/>
  <c r="P2568" i="9"/>
  <c r="P2569" i="9"/>
  <c r="P2570" i="9"/>
  <c r="P2571" i="9"/>
  <c r="P2572" i="9"/>
  <c r="P2573" i="9"/>
  <c r="P2574" i="9"/>
  <c r="P2575" i="9"/>
  <c r="P2576" i="9"/>
  <c r="P2577" i="9"/>
  <c r="P2578" i="9"/>
  <c r="P2579" i="9"/>
  <c r="P2580" i="9"/>
  <c r="P2581" i="9"/>
  <c r="P2582" i="9"/>
  <c r="P2583" i="9"/>
  <c r="P2584" i="9"/>
  <c r="P2585" i="9"/>
  <c r="P2586" i="9"/>
  <c r="P2587" i="9"/>
  <c r="P2588" i="9"/>
  <c r="P2589" i="9"/>
  <c r="P2590" i="9"/>
  <c r="P2591" i="9"/>
  <c r="P2592" i="9"/>
  <c r="P2593" i="9"/>
  <c r="P2594" i="9"/>
  <c r="P2595" i="9"/>
  <c r="P2596" i="9"/>
  <c r="P2597" i="9"/>
  <c r="P2598" i="9"/>
  <c r="P2599" i="9"/>
  <c r="P2600" i="9"/>
  <c r="P2601" i="9"/>
  <c r="P2602" i="9"/>
  <c r="P2603" i="9"/>
  <c r="P2604" i="9"/>
  <c r="P2605" i="9"/>
  <c r="P2606" i="9"/>
  <c r="P2607" i="9"/>
  <c r="P2608" i="9"/>
  <c r="P2609" i="9"/>
  <c r="P2610" i="9"/>
  <c r="P2611" i="9"/>
  <c r="P2612" i="9"/>
  <c r="P2613" i="9"/>
  <c r="P2614" i="9"/>
  <c r="P2615" i="9"/>
  <c r="P2616" i="9"/>
  <c r="P2617" i="9"/>
  <c r="P2618" i="9"/>
  <c r="P2619" i="9"/>
  <c r="P2620" i="9"/>
  <c r="P2621" i="9"/>
  <c r="P2622" i="9"/>
  <c r="P2623" i="9"/>
  <c r="P2624" i="9"/>
  <c r="P2625" i="9"/>
  <c r="P2626" i="9"/>
  <c r="P2627" i="9"/>
  <c r="P2628" i="9"/>
  <c r="P2629" i="9"/>
  <c r="P2630" i="9"/>
  <c r="P2631" i="9"/>
  <c r="P2632" i="9"/>
  <c r="P2633" i="9"/>
  <c r="P2634" i="9"/>
  <c r="P2635" i="9"/>
  <c r="P2636" i="9"/>
  <c r="P2637" i="9"/>
  <c r="P2638" i="9"/>
  <c r="P2639" i="9"/>
  <c r="P2640" i="9"/>
  <c r="P2641" i="9"/>
  <c r="P2642" i="9"/>
  <c r="P2643" i="9"/>
  <c r="P2644" i="9"/>
  <c r="P2645" i="9"/>
  <c r="P2646" i="9"/>
  <c r="P2647" i="9"/>
  <c r="P2648" i="9"/>
  <c r="P2649" i="9"/>
  <c r="P2650" i="9"/>
  <c r="P2651" i="9"/>
  <c r="P2652" i="9"/>
  <c r="P2653" i="9"/>
  <c r="P2654" i="9"/>
  <c r="P2655" i="9"/>
  <c r="P2656" i="9"/>
  <c r="P2657" i="9"/>
  <c r="P2658" i="9"/>
  <c r="P2659" i="9"/>
  <c r="P2660" i="9"/>
  <c r="P2661" i="9"/>
  <c r="P2662" i="9"/>
  <c r="P2663" i="9"/>
  <c r="P2664" i="9"/>
  <c r="P2665" i="9"/>
  <c r="P2666" i="9"/>
  <c r="P2667" i="9"/>
  <c r="P2668" i="9"/>
  <c r="P2669" i="9"/>
  <c r="P2670" i="9"/>
  <c r="P2671" i="9"/>
  <c r="P2672" i="9"/>
  <c r="P2673" i="9"/>
  <c r="P2674" i="9"/>
  <c r="P2675" i="9"/>
  <c r="P2676" i="9"/>
  <c r="P2677" i="9"/>
  <c r="P2678" i="9"/>
  <c r="P2679" i="9"/>
  <c r="P2680" i="9"/>
  <c r="P2681" i="9"/>
  <c r="P2682" i="9"/>
  <c r="P2683" i="9"/>
  <c r="P2684" i="9"/>
  <c r="P2685" i="9"/>
  <c r="P2686" i="9"/>
  <c r="P2687" i="9"/>
  <c r="P2688" i="9"/>
  <c r="P2689" i="9"/>
  <c r="P2690" i="9"/>
  <c r="P2691" i="9"/>
  <c r="P2692" i="9"/>
  <c r="P2693" i="9"/>
  <c r="P2694" i="9"/>
  <c r="P2695" i="9"/>
  <c r="P2696" i="9"/>
  <c r="P2697" i="9"/>
  <c r="P2698" i="9"/>
  <c r="P2699" i="9"/>
  <c r="P2700" i="9"/>
  <c r="P2701" i="9"/>
  <c r="P2702" i="9"/>
  <c r="P2703" i="9"/>
  <c r="P2704" i="9"/>
  <c r="P2705" i="9"/>
  <c r="P2706" i="9"/>
  <c r="P2707" i="9"/>
  <c r="P2708" i="9"/>
  <c r="P2709" i="9"/>
  <c r="P2710" i="9"/>
  <c r="P2711" i="9"/>
  <c r="P2712" i="9"/>
  <c r="P2713" i="9"/>
  <c r="P2714" i="9"/>
  <c r="P2715" i="9"/>
  <c r="P2716" i="9"/>
  <c r="P2717" i="9"/>
  <c r="P2718" i="9"/>
  <c r="P2719" i="9"/>
  <c r="P2720" i="9"/>
  <c r="P2721" i="9"/>
  <c r="P2722" i="9"/>
  <c r="P2723" i="9"/>
  <c r="P2724" i="9"/>
  <c r="P2725" i="9"/>
  <c r="P2726" i="9"/>
  <c r="P2727" i="9"/>
  <c r="P2728" i="9"/>
  <c r="P2729" i="9"/>
  <c r="P2730" i="9"/>
  <c r="P2731" i="9"/>
  <c r="P2732" i="9"/>
  <c r="P2733" i="9"/>
  <c r="P2734" i="9"/>
  <c r="P2735" i="9"/>
  <c r="P2736" i="9"/>
  <c r="P2737" i="9"/>
  <c r="P2738" i="9"/>
  <c r="P2739" i="9"/>
  <c r="P2740" i="9"/>
  <c r="P2741" i="9"/>
  <c r="P2742" i="9"/>
  <c r="P2743" i="9"/>
  <c r="P2744" i="9"/>
  <c r="P2745" i="9"/>
  <c r="P2746" i="9"/>
  <c r="P2747" i="9"/>
  <c r="P2748" i="9"/>
  <c r="P2749" i="9"/>
  <c r="P2750" i="9"/>
  <c r="P2751" i="9"/>
  <c r="P2752" i="9"/>
  <c r="P2753" i="9"/>
  <c r="P2754" i="9"/>
  <c r="P2755" i="9"/>
  <c r="P2756" i="9"/>
  <c r="P2757" i="9"/>
  <c r="P2758" i="9"/>
  <c r="P2759" i="9"/>
  <c r="P2760" i="9"/>
  <c r="P2761" i="9"/>
  <c r="P2762" i="9"/>
  <c r="P2763" i="9"/>
  <c r="P2764" i="9"/>
  <c r="P2765" i="9"/>
  <c r="P2766" i="9"/>
  <c r="P2767" i="9"/>
  <c r="P2768" i="9"/>
  <c r="P2769" i="9"/>
  <c r="P2770" i="9"/>
  <c r="P2771" i="9"/>
  <c r="P2772" i="9"/>
  <c r="P2773" i="9"/>
  <c r="P2774" i="9"/>
  <c r="P2775" i="9"/>
  <c r="P2776" i="9"/>
  <c r="P2777" i="9"/>
  <c r="P2778" i="9"/>
  <c r="P2779" i="9"/>
  <c r="P2780" i="9"/>
  <c r="P2781" i="9"/>
  <c r="P2782" i="9"/>
  <c r="P2783" i="9"/>
  <c r="P2784" i="9"/>
  <c r="P2785" i="9"/>
  <c r="P2786" i="9"/>
  <c r="P2787" i="9"/>
  <c r="P2788" i="9"/>
  <c r="P2789" i="9"/>
  <c r="P2790" i="9"/>
  <c r="P2791" i="9"/>
  <c r="P2792" i="9"/>
  <c r="P2793" i="9"/>
  <c r="P2794" i="9"/>
  <c r="P2795" i="9"/>
  <c r="P2796" i="9"/>
  <c r="P2797" i="9"/>
  <c r="P2798" i="9"/>
  <c r="P2799" i="9"/>
  <c r="P2800" i="9"/>
  <c r="P2801" i="9"/>
  <c r="P2802" i="9"/>
  <c r="P2803" i="9"/>
  <c r="P2804" i="9"/>
  <c r="P2805" i="9"/>
  <c r="P2806" i="9"/>
  <c r="P2807" i="9"/>
  <c r="P2808" i="9"/>
  <c r="P2809" i="9"/>
  <c r="P2810" i="9"/>
  <c r="P2811" i="9"/>
  <c r="P2812" i="9"/>
  <c r="P2813" i="9"/>
  <c r="P2814" i="9"/>
  <c r="P2815" i="9"/>
  <c r="P2816" i="9"/>
  <c r="P2817" i="9"/>
  <c r="P2818" i="9"/>
  <c r="P2819" i="9"/>
  <c r="P2820" i="9"/>
  <c r="P2821" i="9"/>
  <c r="P2822" i="9"/>
  <c r="P2823" i="9"/>
  <c r="P2824" i="9"/>
  <c r="P2825" i="9"/>
  <c r="P2826" i="9"/>
  <c r="P2827" i="9"/>
  <c r="P2828" i="9"/>
  <c r="P2829" i="9"/>
  <c r="P2830" i="9"/>
  <c r="P2831" i="9"/>
  <c r="P2832" i="9"/>
  <c r="P2833" i="9"/>
  <c r="P2834" i="9"/>
  <c r="P2835" i="9"/>
  <c r="P2836" i="9"/>
  <c r="P2837" i="9"/>
  <c r="P2838" i="9"/>
  <c r="P2839" i="9"/>
  <c r="P2840" i="9"/>
  <c r="P2841" i="9"/>
  <c r="P2842" i="9"/>
  <c r="P2843" i="9"/>
  <c r="P2844" i="9"/>
  <c r="P2845" i="9"/>
  <c r="P2846" i="9"/>
  <c r="P2847" i="9"/>
  <c r="P2848" i="9"/>
  <c r="P2849" i="9"/>
  <c r="P2850" i="9"/>
  <c r="P2851" i="9"/>
  <c r="P2852" i="9"/>
  <c r="P2853" i="9"/>
  <c r="P2854" i="9"/>
  <c r="P2855" i="9"/>
  <c r="P2856" i="9"/>
  <c r="P2857" i="9"/>
  <c r="P2858" i="9"/>
  <c r="P2859" i="9"/>
  <c r="P2860" i="9"/>
  <c r="P2861" i="9"/>
  <c r="P2862" i="9"/>
  <c r="P2863" i="9"/>
  <c r="P2864" i="9"/>
  <c r="P2865" i="9"/>
  <c r="P2866" i="9"/>
  <c r="P2867" i="9"/>
  <c r="P2868" i="9"/>
  <c r="P2869" i="9"/>
  <c r="P2870" i="9"/>
  <c r="P2871" i="9"/>
  <c r="P2872" i="9"/>
  <c r="P2873" i="9"/>
  <c r="P2874" i="9"/>
  <c r="P2875" i="9"/>
  <c r="P2876" i="9"/>
  <c r="P2877" i="9"/>
  <c r="P2878" i="9"/>
  <c r="P2879" i="9"/>
  <c r="P2880" i="9"/>
  <c r="P2881" i="9"/>
  <c r="P2882" i="9"/>
  <c r="P2883" i="9"/>
  <c r="P2884" i="9"/>
  <c r="P2885" i="9"/>
  <c r="P2886" i="9"/>
  <c r="P2887" i="9"/>
  <c r="P2888" i="9"/>
  <c r="P2889" i="9"/>
  <c r="P2890" i="9"/>
  <c r="P2891" i="9"/>
  <c r="P2892" i="9"/>
  <c r="P2893" i="9"/>
  <c r="P2894" i="9"/>
  <c r="P2895" i="9"/>
  <c r="P2896" i="9"/>
  <c r="P2897" i="9"/>
  <c r="P2898" i="9"/>
  <c r="P2899" i="9"/>
  <c r="P2900" i="9"/>
  <c r="P2901" i="9"/>
  <c r="P2902" i="9"/>
  <c r="P2903" i="9"/>
  <c r="P2904" i="9"/>
  <c r="P2905" i="9"/>
  <c r="P2906" i="9"/>
  <c r="P2907" i="9"/>
  <c r="P2908" i="9"/>
  <c r="P2909" i="9"/>
  <c r="P2910" i="9"/>
  <c r="P2911" i="9"/>
  <c r="P2912" i="9"/>
  <c r="P2913" i="9"/>
  <c r="P2914" i="9"/>
  <c r="P2915" i="9"/>
  <c r="P2916" i="9"/>
  <c r="P2917" i="9"/>
  <c r="P2918" i="9"/>
  <c r="P2919" i="9"/>
  <c r="P2920" i="9"/>
  <c r="P2921" i="9"/>
  <c r="P2922" i="9"/>
  <c r="P2923" i="9"/>
  <c r="P2924" i="9"/>
  <c r="P2925" i="9"/>
  <c r="P2926" i="9"/>
  <c r="P2927" i="9"/>
  <c r="P2928" i="9"/>
  <c r="P2929" i="9"/>
  <c r="P2930" i="9"/>
  <c r="P2931" i="9"/>
  <c r="P2932" i="9"/>
  <c r="P2933" i="9"/>
  <c r="P2934" i="9"/>
  <c r="P2935" i="9"/>
  <c r="P2936" i="9"/>
  <c r="P2937" i="9"/>
  <c r="P2938" i="9"/>
  <c r="P2939" i="9"/>
  <c r="P2940" i="9"/>
  <c r="P2941" i="9"/>
  <c r="P2942" i="9"/>
  <c r="P2943" i="9"/>
  <c r="P2944" i="9"/>
  <c r="P2945" i="9"/>
  <c r="P2946" i="9"/>
  <c r="P2947" i="9"/>
  <c r="P2948" i="9"/>
  <c r="P2949" i="9"/>
  <c r="P2950" i="9"/>
  <c r="P2951" i="9"/>
  <c r="P2952" i="9"/>
  <c r="P2953" i="9"/>
  <c r="P2954" i="9"/>
  <c r="P2955" i="9"/>
  <c r="P2956" i="9"/>
  <c r="P2957" i="9"/>
  <c r="P2958" i="9"/>
  <c r="P2959" i="9"/>
  <c r="P2960" i="9"/>
  <c r="P2961" i="9"/>
  <c r="P2962" i="9"/>
  <c r="P2963" i="9"/>
  <c r="P2964" i="9"/>
  <c r="P2965" i="9"/>
  <c r="P2966" i="9"/>
  <c r="P2967" i="9"/>
  <c r="P2968" i="9"/>
  <c r="P2969" i="9"/>
  <c r="P2970" i="9"/>
  <c r="P2971" i="9"/>
  <c r="P2972" i="9"/>
  <c r="P2973" i="9"/>
  <c r="P2974" i="9"/>
  <c r="P2975" i="9"/>
  <c r="P2976" i="9"/>
  <c r="P2977" i="9"/>
  <c r="P2978" i="9"/>
  <c r="P2979" i="9"/>
  <c r="P2980" i="9"/>
  <c r="P2981" i="9"/>
  <c r="P2982" i="9"/>
  <c r="P2983" i="9"/>
  <c r="P2984" i="9"/>
  <c r="P2985" i="9"/>
  <c r="P2986" i="9"/>
  <c r="P2987" i="9"/>
  <c r="P2988" i="9"/>
  <c r="P2989" i="9"/>
  <c r="P2990" i="9"/>
  <c r="P2991" i="9"/>
  <c r="P2992" i="9"/>
  <c r="P2993" i="9"/>
  <c r="P2994" i="9"/>
  <c r="P2995" i="9"/>
  <c r="P2996" i="9"/>
  <c r="P2997" i="9"/>
  <c r="P2998" i="9"/>
  <c r="P2999" i="9"/>
  <c r="P3000" i="9"/>
  <c r="P3001" i="9"/>
  <c r="P3002" i="9"/>
  <c r="P3003" i="9"/>
  <c r="P3004" i="9"/>
  <c r="P3005" i="9"/>
  <c r="P3006" i="9"/>
  <c r="P3007" i="9"/>
  <c r="P3008" i="9"/>
  <c r="P3009" i="9"/>
  <c r="P3010" i="9"/>
  <c r="P3011" i="9"/>
  <c r="P3012" i="9"/>
  <c r="P3013" i="9"/>
  <c r="P3014" i="9"/>
  <c r="P3015" i="9"/>
  <c r="P3016" i="9"/>
  <c r="P3017" i="9"/>
  <c r="P3018" i="9"/>
  <c r="P3019" i="9"/>
  <c r="P3020" i="9"/>
  <c r="P3021" i="9"/>
  <c r="P3022" i="9"/>
  <c r="P3023" i="9"/>
  <c r="P3024" i="9"/>
  <c r="P3025" i="9"/>
  <c r="P3026" i="9"/>
  <c r="P3027" i="9"/>
  <c r="P3028" i="9"/>
  <c r="P3029" i="9"/>
  <c r="P3030" i="9"/>
  <c r="P3031" i="9"/>
  <c r="P3032" i="9"/>
  <c r="P3033" i="9"/>
  <c r="P3034" i="9"/>
  <c r="P3035" i="9"/>
  <c r="P3036" i="9"/>
  <c r="P3037" i="9"/>
  <c r="P3038" i="9"/>
  <c r="P3039" i="9"/>
  <c r="P3040" i="9"/>
  <c r="P3041" i="9"/>
  <c r="P3042" i="9"/>
  <c r="P3043" i="9"/>
  <c r="P3044" i="9"/>
  <c r="P3045" i="9"/>
  <c r="Q3045" i="9" s="1"/>
  <c r="P3046" i="9"/>
  <c r="P3047" i="9"/>
  <c r="P3048" i="9"/>
  <c r="P3049" i="9"/>
  <c r="Q3049" i="9" s="1"/>
  <c r="P3050" i="9"/>
  <c r="P3051" i="9"/>
  <c r="P3052" i="9"/>
  <c r="P3053" i="9"/>
  <c r="Q3053" i="9" s="1"/>
  <c r="P3054" i="9"/>
  <c r="P3055" i="9"/>
  <c r="P3056" i="9"/>
  <c r="P3057" i="9"/>
  <c r="Q3057" i="9" s="1"/>
  <c r="P3058" i="9"/>
  <c r="P3059" i="9"/>
  <c r="P3060" i="9"/>
  <c r="P3061" i="9"/>
  <c r="Q3061" i="9" s="1"/>
  <c r="P3062" i="9"/>
  <c r="P3063" i="9"/>
  <c r="P3064" i="9"/>
  <c r="P3065" i="9"/>
  <c r="Q3065" i="9" s="1"/>
  <c r="P3066" i="9"/>
  <c r="P3067" i="9"/>
  <c r="P3068" i="9"/>
  <c r="P3069" i="9"/>
  <c r="Q3069" i="9" s="1"/>
  <c r="P3070" i="9"/>
  <c r="P3071" i="9"/>
  <c r="P3072" i="9"/>
  <c r="P3073" i="9"/>
  <c r="Q3073" i="9" s="1"/>
  <c r="P3074" i="9"/>
  <c r="P3075" i="9"/>
  <c r="P3076" i="9"/>
  <c r="P3077" i="9"/>
  <c r="Q3077" i="9" s="1"/>
  <c r="P3078" i="9"/>
  <c r="Q3078" i="9" s="1"/>
  <c r="P3079" i="9"/>
  <c r="P3080" i="9"/>
  <c r="P3081" i="9"/>
  <c r="Q3081" i="9" s="1"/>
  <c r="P3082" i="9"/>
  <c r="Q3082" i="9" s="1"/>
  <c r="P3083" i="9"/>
  <c r="P3084" i="9"/>
  <c r="P3085" i="9"/>
  <c r="Q3085" i="9" s="1"/>
  <c r="P3086" i="9"/>
  <c r="Q3086" i="9" s="1"/>
  <c r="P3087" i="9"/>
  <c r="P3088" i="9"/>
  <c r="P3089" i="9"/>
  <c r="Q3089" i="9" s="1"/>
  <c r="P3090" i="9"/>
  <c r="Q3090" i="9" s="1"/>
  <c r="P3091" i="9"/>
  <c r="P3092" i="9"/>
  <c r="P3093" i="9"/>
  <c r="Q3093" i="9" s="1"/>
  <c r="P3094" i="9"/>
  <c r="Q3094" i="9" s="1"/>
  <c r="P3095" i="9"/>
  <c r="P3096" i="9"/>
  <c r="P3097" i="9"/>
  <c r="Q3097" i="9" s="1"/>
  <c r="P3098" i="9"/>
  <c r="Q3098" i="9" s="1"/>
  <c r="P3099" i="9"/>
  <c r="P3100" i="9"/>
  <c r="P3101" i="9"/>
  <c r="Q3101" i="9" s="1"/>
  <c r="P3102" i="9"/>
  <c r="Q3102" i="9" s="1"/>
  <c r="P3103" i="9"/>
  <c r="P3104" i="9"/>
  <c r="P3105" i="9"/>
  <c r="Q3105" i="9" s="1"/>
  <c r="P3106" i="9"/>
  <c r="Q3106" i="9" s="1"/>
  <c r="P3107" i="9"/>
  <c r="P3108" i="9"/>
  <c r="P3109" i="9"/>
  <c r="Q3109" i="9" s="1"/>
  <c r="P3110" i="9"/>
  <c r="Q3110" i="9" s="1"/>
  <c r="P3111" i="9"/>
  <c r="P3112" i="9"/>
  <c r="P3113" i="9"/>
  <c r="Q3113" i="9" s="1"/>
  <c r="P3114" i="9"/>
  <c r="Q3114" i="9" s="1"/>
  <c r="P3115" i="9"/>
  <c r="P3116" i="9"/>
  <c r="P3117" i="9"/>
  <c r="Q3117" i="9" s="1"/>
  <c r="P3118" i="9"/>
  <c r="Q3118" i="9" s="1"/>
  <c r="P3119" i="9"/>
  <c r="P3120" i="9"/>
  <c r="P3121" i="9"/>
  <c r="Q3121" i="9" s="1"/>
  <c r="P3122" i="9"/>
  <c r="Q3122" i="9" s="1"/>
  <c r="P3123" i="9"/>
  <c r="P3124" i="9"/>
  <c r="P3125" i="9"/>
  <c r="Q3125" i="9" s="1"/>
  <c r="P3126" i="9"/>
  <c r="Q3126" i="9" s="1"/>
  <c r="P3127" i="9"/>
  <c r="P3128" i="9"/>
  <c r="P3129" i="9"/>
  <c r="Q3129" i="9" s="1"/>
  <c r="P3130" i="9"/>
  <c r="Q3130" i="9" s="1"/>
  <c r="P3131" i="9"/>
  <c r="P3132" i="9"/>
  <c r="P3133" i="9"/>
  <c r="Q3133" i="9" s="1"/>
  <c r="P3134" i="9"/>
  <c r="Q3134" i="9" s="1"/>
  <c r="P3135" i="9"/>
  <c r="P3136" i="9"/>
  <c r="P3137" i="9"/>
  <c r="Q3137" i="9" s="1"/>
  <c r="P3138" i="9"/>
  <c r="Q3138" i="9" s="1"/>
  <c r="P3139" i="9"/>
  <c r="P3140" i="9"/>
  <c r="P3141" i="9"/>
  <c r="Q3141" i="9" s="1"/>
  <c r="P3142" i="9"/>
  <c r="Q3142" i="9" s="1"/>
  <c r="P3143" i="9"/>
  <c r="P3144" i="9"/>
  <c r="P3145" i="9"/>
  <c r="Q3145" i="9" s="1"/>
  <c r="P3146" i="9"/>
  <c r="Q3146" i="9" s="1"/>
  <c r="P3147" i="9"/>
  <c r="P3148" i="9"/>
  <c r="P3149" i="9"/>
  <c r="Q3149" i="9" s="1"/>
  <c r="P3150" i="9"/>
  <c r="Q3150" i="9" s="1"/>
  <c r="P3151" i="9"/>
  <c r="P3152" i="9"/>
  <c r="P3153" i="9"/>
  <c r="Q3153" i="9" s="1"/>
  <c r="P3154" i="9"/>
  <c r="Q3154" i="9" s="1"/>
  <c r="P3155" i="9"/>
  <c r="P3156" i="9"/>
  <c r="P3157" i="9"/>
  <c r="Q3157" i="9" s="1"/>
  <c r="P3158" i="9"/>
  <c r="Q3158" i="9" s="1"/>
  <c r="P3159" i="9"/>
  <c r="P2" i="9"/>
  <c r="Q3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212" i="9"/>
  <c r="Q213" i="9"/>
  <c r="Q214" i="9"/>
  <c r="Q215" i="9"/>
  <c r="Q216" i="9"/>
  <c r="Q217" i="9"/>
  <c r="Q218" i="9"/>
  <c r="Q219" i="9"/>
  <c r="Q220" i="9"/>
  <c r="Q221" i="9"/>
  <c r="Q222" i="9"/>
  <c r="Q223" i="9"/>
  <c r="Q224" i="9"/>
  <c r="Q225" i="9"/>
  <c r="Q226" i="9"/>
  <c r="Q227" i="9"/>
  <c r="Q228" i="9"/>
  <c r="Q229" i="9"/>
  <c r="Q230" i="9"/>
  <c r="Q231" i="9"/>
  <c r="Q232" i="9"/>
  <c r="Q233" i="9"/>
  <c r="Q234" i="9"/>
  <c r="Q235" i="9"/>
  <c r="Q236" i="9"/>
  <c r="Q237" i="9"/>
  <c r="Q238" i="9"/>
  <c r="Q239" i="9"/>
  <c r="Q240" i="9"/>
  <c r="Q241" i="9"/>
  <c r="Q242" i="9"/>
  <c r="Q243" i="9"/>
  <c r="Q244" i="9"/>
  <c r="Q245" i="9"/>
  <c r="Q246" i="9"/>
  <c r="Q247" i="9"/>
  <c r="Q248" i="9"/>
  <c r="Q249" i="9"/>
  <c r="Q250" i="9"/>
  <c r="Q251" i="9"/>
  <c r="Q252" i="9"/>
  <c r="Q253" i="9"/>
  <c r="Q254" i="9"/>
  <c r="Q255" i="9"/>
  <c r="Q256" i="9"/>
  <c r="Q257" i="9"/>
  <c r="Q258" i="9"/>
  <c r="Q259" i="9"/>
  <c r="Q260" i="9"/>
  <c r="Q261" i="9"/>
  <c r="Q262" i="9"/>
  <c r="Q263" i="9"/>
  <c r="Q264" i="9"/>
  <c r="Q265" i="9"/>
  <c r="Q266" i="9"/>
  <c r="Q267" i="9"/>
  <c r="Q268" i="9"/>
  <c r="Q269" i="9"/>
  <c r="Q270" i="9"/>
  <c r="Q271" i="9"/>
  <c r="Q272" i="9"/>
  <c r="Q273" i="9"/>
  <c r="Q274" i="9"/>
  <c r="Q275" i="9"/>
  <c r="Q276" i="9"/>
  <c r="Q277" i="9"/>
  <c r="Q278" i="9"/>
  <c r="Q279" i="9"/>
  <c r="Q280" i="9"/>
  <c r="Q281" i="9"/>
  <c r="Q282" i="9"/>
  <c r="Q283" i="9"/>
  <c r="Q284" i="9"/>
  <c r="Q285" i="9"/>
  <c r="Q286" i="9"/>
  <c r="Q287" i="9"/>
  <c r="Q288" i="9"/>
  <c r="Q289" i="9"/>
  <c r="Q290" i="9"/>
  <c r="Q291" i="9"/>
  <c r="Q292" i="9"/>
  <c r="Q293" i="9"/>
  <c r="Q294" i="9"/>
  <c r="Q295" i="9"/>
  <c r="Q296" i="9"/>
  <c r="Q297" i="9"/>
  <c r="Q298" i="9"/>
  <c r="Q299" i="9"/>
  <c r="Q300" i="9"/>
  <c r="Q301" i="9"/>
  <c r="Q302" i="9"/>
  <c r="Q303" i="9"/>
  <c r="Q304" i="9"/>
  <c r="Q305" i="9"/>
  <c r="Q306" i="9"/>
  <c r="Q307" i="9"/>
  <c r="Q308" i="9"/>
  <c r="Q309" i="9"/>
  <c r="Q310" i="9"/>
  <c r="Q311" i="9"/>
  <c r="Q312" i="9"/>
  <c r="Q313" i="9"/>
  <c r="Q314" i="9"/>
  <c r="Q315" i="9"/>
  <c r="Q316" i="9"/>
  <c r="Q317" i="9"/>
  <c r="Q318" i="9"/>
  <c r="Q319" i="9"/>
  <c r="Q320" i="9"/>
  <c r="Q321" i="9"/>
  <c r="Q322" i="9"/>
  <c r="Q323" i="9"/>
  <c r="Q324" i="9"/>
  <c r="Q325" i="9"/>
  <c r="Q326" i="9"/>
  <c r="Q327" i="9"/>
  <c r="Q328" i="9"/>
  <c r="Q329" i="9"/>
  <c r="Q330" i="9"/>
  <c r="Q331" i="9"/>
  <c r="Q332" i="9"/>
  <c r="Q333" i="9"/>
  <c r="Q334" i="9"/>
  <c r="Q335" i="9"/>
  <c r="Q336" i="9"/>
  <c r="Q337" i="9"/>
  <c r="Q338" i="9"/>
  <c r="Q339" i="9"/>
  <c r="Q340" i="9"/>
  <c r="Q341" i="9"/>
  <c r="Q342" i="9"/>
  <c r="Q343" i="9"/>
  <c r="Q344" i="9"/>
  <c r="Q345" i="9"/>
  <c r="Q346" i="9"/>
  <c r="Q347" i="9"/>
  <c r="Q348" i="9"/>
  <c r="Q349" i="9"/>
  <c r="Q350" i="9"/>
  <c r="Q351" i="9"/>
  <c r="Q352" i="9"/>
  <c r="Q353" i="9"/>
  <c r="Q354" i="9"/>
  <c r="Q355" i="9"/>
  <c r="Q356" i="9"/>
  <c r="Q357" i="9"/>
  <c r="Q358" i="9"/>
  <c r="Q359" i="9"/>
  <c r="Q360" i="9"/>
  <c r="Q361" i="9"/>
  <c r="Q362" i="9"/>
  <c r="Q363" i="9"/>
  <c r="Q364" i="9"/>
  <c r="Q365" i="9"/>
  <c r="Q366" i="9"/>
  <c r="Q367" i="9"/>
  <c r="Q368" i="9"/>
  <c r="Q369" i="9"/>
  <c r="Q370" i="9"/>
  <c r="Q371" i="9"/>
  <c r="Q372" i="9"/>
  <c r="Q373" i="9"/>
  <c r="Q374" i="9"/>
  <c r="Q375" i="9"/>
  <c r="Q376" i="9"/>
  <c r="Q377" i="9"/>
  <c r="Q378" i="9"/>
  <c r="Q379" i="9"/>
  <c r="Q380" i="9"/>
  <c r="Q381" i="9"/>
  <c r="Q382" i="9"/>
  <c r="Q383" i="9"/>
  <c r="Q384" i="9"/>
  <c r="Q385" i="9"/>
  <c r="Q386" i="9"/>
  <c r="Q387" i="9"/>
  <c r="Q388" i="9"/>
  <c r="Q389" i="9"/>
  <c r="Q390" i="9"/>
  <c r="Q391" i="9"/>
  <c r="Q392" i="9"/>
  <c r="Q393" i="9"/>
  <c r="Q394" i="9"/>
  <c r="Q395" i="9"/>
  <c r="Q396" i="9"/>
  <c r="Q397" i="9"/>
  <c r="Q398" i="9"/>
  <c r="Q399" i="9"/>
  <c r="Q400" i="9"/>
  <c r="Q401" i="9"/>
  <c r="Q402" i="9"/>
  <c r="Q403" i="9"/>
  <c r="Q404" i="9"/>
  <c r="Q405" i="9"/>
  <c r="Q406" i="9"/>
  <c r="Q407" i="9"/>
  <c r="Q408" i="9"/>
  <c r="Q409" i="9"/>
  <c r="Q410" i="9"/>
  <c r="Q411" i="9"/>
  <c r="Q412" i="9"/>
  <c r="Q413" i="9"/>
  <c r="Q414" i="9"/>
  <c r="Q415" i="9"/>
  <c r="Q416" i="9"/>
  <c r="Q417" i="9"/>
  <c r="Q418" i="9"/>
  <c r="Q419" i="9"/>
  <c r="Q420" i="9"/>
  <c r="Q421" i="9"/>
  <c r="Q422" i="9"/>
  <c r="Q423" i="9"/>
  <c r="Q424" i="9"/>
  <c r="Q425" i="9"/>
  <c r="Q426" i="9"/>
  <c r="Q427" i="9"/>
  <c r="Q428" i="9"/>
  <c r="Q429" i="9"/>
  <c r="Q430" i="9"/>
  <c r="Q431" i="9"/>
  <c r="Q432" i="9"/>
  <c r="Q433" i="9"/>
  <c r="Q434" i="9"/>
  <c r="Q435" i="9"/>
  <c r="Q436" i="9"/>
  <c r="Q437" i="9"/>
  <c r="Q438" i="9"/>
  <c r="Q439" i="9"/>
  <c r="Q440" i="9"/>
  <c r="Q441" i="9"/>
  <c r="Q442" i="9"/>
  <c r="Q443" i="9"/>
  <c r="Q444" i="9"/>
  <c r="Q445" i="9"/>
  <c r="Q446" i="9"/>
  <c r="Q447" i="9"/>
  <c r="Q448" i="9"/>
  <c r="Q449" i="9"/>
  <c r="Q450" i="9"/>
  <c r="Q451" i="9"/>
  <c r="Q452" i="9"/>
  <c r="Q453" i="9"/>
  <c r="Q454" i="9"/>
  <c r="Q455" i="9"/>
  <c r="Q456" i="9"/>
  <c r="Q457" i="9"/>
  <c r="Q458" i="9"/>
  <c r="Q459" i="9"/>
  <c r="Q460" i="9"/>
  <c r="Q461" i="9"/>
  <c r="Q462" i="9"/>
  <c r="Q463" i="9"/>
  <c r="Q464" i="9"/>
  <c r="Q465" i="9"/>
  <c r="Q466" i="9"/>
  <c r="Q467" i="9"/>
  <c r="Q468" i="9"/>
  <c r="Q469" i="9"/>
  <c r="Q470" i="9"/>
  <c r="Q471" i="9"/>
  <c r="Q472" i="9"/>
  <c r="Q473" i="9"/>
  <c r="Q474" i="9"/>
  <c r="Q475" i="9"/>
  <c r="Q476" i="9"/>
  <c r="Q477" i="9"/>
  <c r="Q478" i="9"/>
  <c r="Q479" i="9"/>
  <c r="Q480" i="9"/>
  <c r="Q481" i="9"/>
  <c r="Q482" i="9"/>
  <c r="Q483" i="9"/>
  <c r="Q484" i="9"/>
  <c r="Q485" i="9"/>
  <c r="Q486" i="9"/>
  <c r="Q487" i="9"/>
  <c r="Q488" i="9"/>
  <c r="Q489" i="9"/>
  <c r="Q490" i="9"/>
  <c r="Q491" i="9"/>
  <c r="Q492" i="9"/>
  <c r="Q493" i="9"/>
  <c r="Q494" i="9"/>
  <c r="Q495" i="9"/>
  <c r="Q496" i="9"/>
  <c r="Q497" i="9"/>
  <c r="Q498" i="9"/>
  <c r="Q499" i="9"/>
  <c r="Q500" i="9"/>
  <c r="Q501" i="9"/>
  <c r="Q502" i="9"/>
  <c r="Q503" i="9"/>
  <c r="Q504" i="9"/>
  <c r="Q505" i="9"/>
  <c r="Q506" i="9"/>
  <c r="Q507" i="9"/>
  <c r="Q508" i="9"/>
  <c r="Q509" i="9"/>
  <c r="Q510" i="9"/>
  <c r="Q511" i="9"/>
  <c r="Q512" i="9"/>
  <c r="Q513" i="9"/>
  <c r="Q514" i="9"/>
  <c r="Q515" i="9"/>
  <c r="Q516" i="9"/>
  <c r="Q517" i="9"/>
  <c r="Q518" i="9"/>
  <c r="Q519" i="9"/>
  <c r="Q520" i="9"/>
  <c r="Q521" i="9"/>
  <c r="Q522" i="9"/>
  <c r="Q523" i="9"/>
  <c r="Q524" i="9"/>
  <c r="Q525" i="9"/>
  <c r="Q526" i="9"/>
  <c r="Q527" i="9"/>
  <c r="Q528" i="9"/>
  <c r="Q529" i="9"/>
  <c r="Q530" i="9"/>
  <c r="Q531" i="9"/>
  <c r="Q532" i="9"/>
  <c r="Q533" i="9"/>
  <c r="Q534" i="9"/>
  <c r="Q535" i="9"/>
  <c r="Q536" i="9"/>
  <c r="Q537" i="9"/>
  <c r="Q538" i="9"/>
  <c r="Q539" i="9"/>
  <c r="Q540" i="9"/>
  <c r="Q541" i="9"/>
  <c r="Q542" i="9"/>
  <c r="Q543" i="9"/>
  <c r="Q544" i="9"/>
  <c r="Q545" i="9"/>
  <c r="Q546" i="9"/>
  <c r="Q547" i="9"/>
  <c r="Q548" i="9"/>
  <c r="Q549" i="9"/>
  <c r="Q550" i="9"/>
  <c r="Q551" i="9"/>
  <c r="Q552" i="9"/>
  <c r="Q553" i="9"/>
  <c r="Q554" i="9"/>
  <c r="Q555" i="9"/>
  <c r="Q556" i="9"/>
  <c r="Q557" i="9"/>
  <c r="Q558" i="9"/>
  <c r="Q559" i="9"/>
  <c r="Q560" i="9"/>
  <c r="Q561" i="9"/>
  <c r="Q562" i="9"/>
  <c r="Q563" i="9"/>
  <c r="Q564" i="9"/>
  <c r="Q565" i="9"/>
  <c r="Q566" i="9"/>
  <c r="Q567" i="9"/>
  <c r="Q568" i="9"/>
  <c r="Q569" i="9"/>
  <c r="Q570" i="9"/>
  <c r="Q571" i="9"/>
  <c r="Q572" i="9"/>
  <c r="Q573" i="9"/>
  <c r="Q574" i="9"/>
  <c r="Q575" i="9"/>
  <c r="Q576" i="9"/>
  <c r="Q577" i="9"/>
  <c r="Q578" i="9"/>
  <c r="Q579" i="9"/>
  <c r="Q580" i="9"/>
  <c r="Q581" i="9"/>
  <c r="Q582" i="9"/>
  <c r="Q583" i="9"/>
  <c r="Q584" i="9"/>
  <c r="Q585" i="9"/>
  <c r="Q586" i="9"/>
  <c r="Q587" i="9"/>
  <c r="Q588" i="9"/>
  <c r="Q589" i="9"/>
  <c r="Q590" i="9"/>
  <c r="Q591" i="9"/>
  <c r="Q592" i="9"/>
  <c r="Q593" i="9"/>
  <c r="Q594" i="9"/>
  <c r="Q595" i="9"/>
  <c r="Q596" i="9"/>
  <c r="Q597" i="9"/>
  <c r="Q598" i="9"/>
  <c r="Q599" i="9"/>
  <c r="Q600" i="9"/>
  <c r="Q601" i="9"/>
  <c r="Q602" i="9"/>
  <c r="Q603" i="9"/>
  <c r="Q604" i="9"/>
  <c r="Q605" i="9"/>
  <c r="Q606" i="9"/>
  <c r="Q607" i="9"/>
  <c r="Q608" i="9"/>
  <c r="Q609" i="9"/>
  <c r="Q610" i="9"/>
  <c r="Q611" i="9"/>
  <c r="Q612" i="9"/>
  <c r="Q613" i="9"/>
  <c r="Q614" i="9"/>
  <c r="Q615" i="9"/>
  <c r="Q616" i="9"/>
  <c r="Q617" i="9"/>
  <c r="Q618" i="9"/>
  <c r="Q619" i="9"/>
  <c r="Q620" i="9"/>
  <c r="Q621" i="9"/>
  <c r="Q622" i="9"/>
  <c r="Q623" i="9"/>
  <c r="Q624" i="9"/>
  <c r="Q625" i="9"/>
  <c r="Q626" i="9"/>
  <c r="Q627" i="9"/>
  <c r="Q628" i="9"/>
  <c r="Q629" i="9"/>
  <c r="Q630" i="9"/>
  <c r="Q631" i="9"/>
  <c r="Q632" i="9"/>
  <c r="Q633" i="9"/>
  <c r="Q634" i="9"/>
  <c r="Q635" i="9"/>
  <c r="Q636" i="9"/>
  <c r="Q637" i="9"/>
  <c r="Q638" i="9"/>
  <c r="Q639" i="9"/>
  <c r="Q640" i="9"/>
  <c r="Q641" i="9"/>
  <c r="Q642" i="9"/>
  <c r="Q643" i="9"/>
  <c r="Q644" i="9"/>
  <c r="Q645" i="9"/>
  <c r="Q646" i="9"/>
  <c r="Q647" i="9"/>
  <c r="Q648" i="9"/>
  <c r="Q649" i="9"/>
  <c r="Q650" i="9"/>
  <c r="Q651" i="9"/>
  <c r="Q652" i="9"/>
  <c r="Q653" i="9"/>
  <c r="Q654" i="9"/>
  <c r="Q655" i="9"/>
  <c r="Q656" i="9"/>
  <c r="Q657" i="9"/>
  <c r="Q658" i="9"/>
  <c r="Q659" i="9"/>
  <c r="Q660" i="9"/>
  <c r="Q661" i="9"/>
  <c r="Q662" i="9"/>
  <c r="Q663" i="9"/>
  <c r="Q664" i="9"/>
  <c r="Q665" i="9"/>
  <c r="Q666" i="9"/>
  <c r="Q667" i="9"/>
  <c r="Q668" i="9"/>
  <c r="Q669" i="9"/>
  <c r="Q670" i="9"/>
  <c r="Q671" i="9"/>
  <c r="Q672" i="9"/>
  <c r="Q673" i="9"/>
  <c r="Q674" i="9"/>
  <c r="Q675" i="9"/>
  <c r="Q676" i="9"/>
  <c r="Q677" i="9"/>
  <c r="Q678" i="9"/>
  <c r="Q679" i="9"/>
  <c r="Q680" i="9"/>
  <c r="Q681" i="9"/>
  <c r="Q682" i="9"/>
  <c r="Q683" i="9"/>
  <c r="Q684" i="9"/>
  <c r="Q685" i="9"/>
  <c r="Q686" i="9"/>
  <c r="Q687" i="9"/>
  <c r="Q688" i="9"/>
  <c r="Q689" i="9"/>
  <c r="Q690" i="9"/>
  <c r="Q691" i="9"/>
  <c r="Q692" i="9"/>
  <c r="Q693" i="9"/>
  <c r="Q694" i="9"/>
  <c r="Q695" i="9"/>
  <c r="Q696" i="9"/>
  <c r="Q697" i="9"/>
  <c r="Q698" i="9"/>
  <c r="Q699" i="9"/>
  <c r="Q700" i="9"/>
  <c r="Q701" i="9"/>
  <c r="Q702" i="9"/>
  <c r="Q703" i="9"/>
  <c r="Q704" i="9"/>
  <c r="Q705" i="9"/>
  <c r="Q706" i="9"/>
  <c r="Q707" i="9"/>
  <c r="Q708" i="9"/>
  <c r="Q709" i="9"/>
  <c r="Q710" i="9"/>
  <c r="Q711" i="9"/>
  <c r="Q712" i="9"/>
  <c r="Q713" i="9"/>
  <c r="Q714" i="9"/>
  <c r="Q715" i="9"/>
  <c r="Q716" i="9"/>
  <c r="Q717" i="9"/>
  <c r="Q718" i="9"/>
  <c r="Q719" i="9"/>
  <c r="Q720" i="9"/>
  <c r="Q721" i="9"/>
  <c r="Q722" i="9"/>
  <c r="Q723" i="9"/>
  <c r="Q724" i="9"/>
  <c r="Q725" i="9"/>
  <c r="Q726" i="9"/>
  <c r="Q727" i="9"/>
  <c r="Q728" i="9"/>
  <c r="Q729" i="9"/>
  <c r="Q730" i="9"/>
  <c r="Q731" i="9"/>
  <c r="Q732" i="9"/>
  <c r="Q733" i="9"/>
  <c r="Q734" i="9"/>
  <c r="Q735" i="9"/>
  <c r="Q736" i="9"/>
  <c r="Q737" i="9"/>
  <c r="Q738" i="9"/>
  <c r="Q739" i="9"/>
  <c r="Q740" i="9"/>
  <c r="Q741" i="9"/>
  <c r="Q742" i="9"/>
  <c r="Q743" i="9"/>
  <c r="Q744" i="9"/>
  <c r="Q745" i="9"/>
  <c r="Q746" i="9"/>
  <c r="Q747" i="9"/>
  <c r="Q748" i="9"/>
  <c r="Q749" i="9"/>
  <c r="Q750" i="9"/>
  <c r="Q751" i="9"/>
  <c r="Q752" i="9"/>
  <c r="Q753" i="9"/>
  <c r="Q754" i="9"/>
  <c r="Q755" i="9"/>
  <c r="Q756" i="9"/>
  <c r="Q757" i="9"/>
  <c r="Q758" i="9"/>
  <c r="Q759" i="9"/>
  <c r="Q760" i="9"/>
  <c r="Q761" i="9"/>
  <c r="Q762" i="9"/>
  <c r="Q763" i="9"/>
  <c r="Q764" i="9"/>
  <c r="Q765" i="9"/>
  <c r="Q766" i="9"/>
  <c r="Q767" i="9"/>
  <c r="Q768" i="9"/>
  <c r="Q769" i="9"/>
  <c r="Q770" i="9"/>
  <c r="Q771" i="9"/>
  <c r="Q772" i="9"/>
  <c r="Q773" i="9"/>
  <c r="Q774" i="9"/>
  <c r="Q775" i="9"/>
  <c r="Q776" i="9"/>
  <c r="Q777" i="9"/>
  <c r="Q778" i="9"/>
  <c r="Q779" i="9"/>
  <c r="Q780" i="9"/>
  <c r="Q781" i="9"/>
  <c r="Q782" i="9"/>
  <c r="Q783" i="9"/>
  <c r="Q784" i="9"/>
  <c r="Q785" i="9"/>
  <c r="Q786" i="9"/>
  <c r="Q787" i="9"/>
  <c r="Q788" i="9"/>
  <c r="Q789" i="9"/>
  <c r="Q790" i="9"/>
  <c r="Q791" i="9"/>
  <c r="Q792" i="9"/>
  <c r="Q793" i="9"/>
  <c r="Q794" i="9"/>
  <c r="Q795" i="9"/>
  <c r="Q796" i="9"/>
  <c r="Q797" i="9"/>
  <c r="Q798" i="9"/>
  <c r="Q799" i="9"/>
  <c r="Q800" i="9"/>
  <c r="Q801" i="9"/>
  <c r="Q802" i="9"/>
  <c r="Q803" i="9"/>
  <c r="Q804" i="9"/>
  <c r="Q805" i="9"/>
  <c r="Q806" i="9"/>
  <c r="Q807" i="9"/>
  <c r="Q808" i="9"/>
  <c r="Q809" i="9"/>
  <c r="Q810" i="9"/>
  <c r="Q811" i="9"/>
  <c r="Q812" i="9"/>
  <c r="Q813" i="9"/>
  <c r="Q814" i="9"/>
  <c r="Q815" i="9"/>
  <c r="Q816" i="9"/>
  <c r="Q817" i="9"/>
  <c r="Q818" i="9"/>
  <c r="Q819" i="9"/>
  <c r="Q820" i="9"/>
  <c r="Q821" i="9"/>
  <c r="Q822" i="9"/>
  <c r="Q823" i="9"/>
  <c r="Q824" i="9"/>
  <c r="Q825" i="9"/>
  <c r="Q826" i="9"/>
  <c r="Q827" i="9"/>
  <c r="Q828" i="9"/>
  <c r="Q829" i="9"/>
  <c r="Q830" i="9"/>
  <c r="Q831" i="9"/>
  <c r="Q832" i="9"/>
  <c r="Q833" i="9"/>
  <c r="Q834" i="9"/>
  <c r="Q835" i="9"/>
  <c r="Q836" i="9"/>
  <c r="Q837" i="9"/>
  <c r="Q838" i="9"/>
  <c r="Q839" i="9"/>
  <c r="Q840" i="9"/>
  <c r="Q841" i="9"/>
  <c r="Q842" i="9"/>
  <c r="Q843" i="9"/>
  <c r="Q844" i="9"/>
  <c r="Q845" i="9"/>
  <c r="Q846" i="9"/>
  <c r="Q847" i="9"/>
  <c r="Q848" i="9"/>
  <c r="Q849" i="9"/>
  <c r="Q850" i="9"/>
  <c r="Q851" i="9"/>
  <c r="Q852" i="9"/>
  <c r="Q853" i="9"/>
  <c r="Q854" i="9"/>
  <c r="Q855" i="9"/>
  <c r="Q856" i="9"/>
  <c r="Q857" i="9"/>
  <c r="Q858" i="9"/>
  <c r="Q859" i="9"/>
  <c r="Q860" i="9"/>
  <c r="Q861" i="9"/>
  <c r="Q862" i="9"/>
  <c r="Q863" i="9"/>
  <c r="Q864" i="9"/>
  <c r="Q865" i="9"/>
  <c r="Q866" i="9"/>
  <c r="Q867" i="9"/>
  <c r="Q868" i="9"/>
  <c r="Q869" i="9"/>
  <c r="Q870" i="9"/>
  <c r="Q871" i="9"/>
  <c r="Q872" i="9"/>
  <c r="Q873" i="9"/>
  <c r="Q874" i="9"/>
  <c r="Q875" i="9"/>
  <c r="Q876" i="9"/>
  <c r="Q877" i="9"/>
  <c r="Q878" i="9"/>
  <c r="Q879" i="9"/>
  <c r="Q880" i="9"/>
  <c r="Q881" i="9"/>
  <c r="Q882" i="9"/>
  <c r="Q883" i="9"/>
  <c r="Q884" i="9"/>
  <c r="Q885" i="9"/>
  <c r="Q886" i="9"/>
  <c r="Q887" i="9"/>
  <c r="Q888" i="9"/>
  <c r="Q889" i="9"/>
  <c r="Q890" i="9"/>
  <c r="Q891" i="9"/>
  <c r="Q892" i="9"/>
  <c r="Q893" i="9"/>
  <c r="Q894" i="9"/>
  <c r="Q895" i="9"/>
  <c r="Q896" i="9"/>
  <c r="Q897" i="9"/>
  <c r="Q898" i="9"/>
  <c r="Q899" i="9"/>
  <c r="Q900" i="9"/>
  <c r="Q901" i="9"/>
  <c r="Q902" i="9"/>
  <c r="Q903" i="9"/>
  <c r="Q904" i="9"/>
  <c r="Q905" i="9"/>
  <c r="Q906" i="9"/>
  <c r="Q907" i="9"/>
  <c r="Q908" i="9"/>
  <c r="Q909" i="9"/>
  <c r="Q910" i="9"/>
  <c r="Q911" i="9"/>
  <c r="Q912" i="9"/>
  <c r="Q913" i="9"/>
  <c r="Q914" i="9"/>
  <c r="Q915" i="9"/>
  <c r="Q916" i="9"/>
  <c r="Q917" i="9"/>
  <c r="Q918" i="9"/>
  <c r="Q919" i="9"/>
  <c r="Q920" i="9"/>
  <c r="Q921" i="9"/>
  <c r="Q922" i="9"/>
  <c r="Q923" i="9"/>
  <c r="Q924" i="9"/>
  <c r="Q925" i="9"/>
  <c r="Q926" i="9"/>
  <c r="Q927" i="9"/>
  <c r="Q928" i="9"/>
  <c r="Q929" i="9"/>
  <c r="Q930" i="9"/>
  <c r="Q931" i="9"/>
  <c r="Q932" i="9"/>
  <c r="Q933" i="9"/>
  <c r="Q934" i="9"/>
  <c r="Q935" i="9"/>
  <c r="Q936" i="9"/>
  <c r="Q937" i="9"/>
  <c r="Q938" i="9"/>
  <c r="Q939" i="9"/>
  <c r="Q940" i="9"/>
  <c r="Q941" i="9"/>
  <c r="Q942" i="9"/>
  <c r="Q943" i="9"/>
  <c r="Q944" i="9"/>
  <c r="Q945" i="9"/>
  <c r="Q946" i="9"/>
  <c r="Q947" i="9"/>
  <c r="Q948" i="9"/>
  <c r="Q949" i="9"/>
  <c r="Q950" i="9"/>
  <c r="Q951" i="9"/>
  <c r="Q952" i="9"/>
  <c r="Q953" i="9"/>
  <c r="Q954" i="9"/>
  <c r="Q955" i="9"/>
  <c r="Q956" i="9"/>
  <c r="Q957" i="9"/>
  <c r="Q958" i="9"/>
  <c r="Q959" i="9"/>
  <c r="Q960" i="9"/>
  <c r="Q961" i="9"/>
  <c r="Q962" i="9"/>
  <c r="Q963" i="9"/>
  <c r="Q964" i="9"/>
  <c r="Q965" i="9"/>
  <c r="Q966" i="9"/>
  <c r="Q967" i="9"/>
  <c r="Q968" i="9"/>
  <c r="Q969" i="9"/>
  <c r="Q970" i="9"/>
  <c r="Q971" i="9"/>
  <c r="Q972" i="9"/>
  <c r="Q973" i="9"/>
  <c r="Q974" i="9"/>
  <c r="Q975" i="9"/>
  <c r="Q976" i="9"/>
  <c r="Q977" i="9"/>
  <c r="Q978" i="9"/>
  <c r="Q979" i="9"/>
  <c r="Q980" i="9"/>
  <c r="Q981" i="9"/>
  <c r="Q982" i="9"/>
  <c r="Q983" i="9"/>
  <c r="Q984" i="9"/>
  <c r="Q985" i="9"/>
  <c r="Q986" i="9"/>
  <c r="Q987" i="9"/>
  <c r="Q988" i="9"/>
  <c r="Q989" i="9"/>
  <c r="Q990" i="9"/>
  <c r="Q991" i="9"/>
  <c r="Q992" i="9"/>
  <c r="Q993" i="9"/>
  <c r="Q994" i="9"/>
  <c r="Q995" i="9"/>
  <c r="Q996" i="9"/>
  <c r="Q997" i="9"/>
  <c r="Q998" i="9"/>
  <c r="Q999" i="9"/>
  <c r="Q1000" i="9"/>
  <c r="Q1001" i="9"/>
  <c r="Q1002" i="9"/>
  <c r="Q1003" i="9"/>
  <c r="Q1004" i="9"/>
  <c r="Q1005" i="9"/>
  <c r="Q1006" i="9"/>
  <c r="Q1007" i="9"/>
  <c r="Q1008" i="9"/>
  <c r="Q1009" i="9"/>
  <c r="Q1010" i="9"/>
  <c r="Q1011" i="9"/>
  <c r="Q1012" i="9"/>
  <c r="Q1013" i="9"/>
  <c r="Q1014" i="9"/>
  <c r="Q1015" i="9"/>
  <c r="Q1016" i="9"/>
  <c r="Q1017" i="9"/>
  <c r="Q1018" i="9"/>
  <c r="Q1019" i="9"/>
  <c r="Q1020" i="9"/>
  <c r="Q1021" i="9"/>
  <c r="Q1022" i="9"/>
  <c r="Q1023" i="9"/>
  <c r="Q1024" i="9"/>
  <c r="Q1025" i="9"/>
  <c r="Q1026" i="9"/>
  <c r="Q1027" i="9"/>
  <c r="Q1028" i="9"/>
  <c r="Q1029" i="9"/>
  <c r="Q1030" i="9"/>
  <c r="Q1031" i="9"/>
  <c r="Q1032" i="9"/>
  <c r="Q1033" i="9"/>
  <c r="Q1034" i="9"/>
  <c r="Q1035" i="9"/>
  <c r="Q1036" i="9"/>
  <c r="Q1037" i="9"/>
  <c r="Q1038" i="9"/>
  <c r="Q1039" i="9"/>
  <c r="Q1040" i="9"/>
  <c r="Q1041" i="9"/>
  <c r="Q1042" i="9"/>
  <c r="Q1043" i="9"/>
  <c r="Q1044" i="9"/>
  <c r="Q1045" i="9"/>
  <c r="Q1046" i="9"/>
  <c r="Q1047" i="9"/>
  <c r="Q1048" i="9"/>
  <c r="Q1049" i="9"/>
  <c r="Q1050" i="9"/>
  <c r="Q1051" i="9"/>
  <c r="Q1052" i="9"/>
  <c r="Q1053" i="9"/>
  <c r="Q1054" i="9"/>
  <c r="Q1055" i="9"/>
  <c r="Q1056" i="9"/>
  <c r="Q1057" i="9"/>
  <c r="Q1058" i="9"/>
  <c r="Q1059" i="9"/>
  <c r="Q1060" i="9"/>
  <c r="Q1061" i="9"/>
  <c r="Q1062" i="9"/>
  <c r="Q1063" i="9"/>
  <c r="Q1064" i="9"/>
  <c r="Q1065" i="9"/>
  <c r="Q1066" i="9"/>
  <c r="Q1067" i="9"/>
  <c r="Q1068" i="9"/>
  <c r="Q1069" i="9"/>
  <c r="Q1070" i="9"/>
  <c r="Q1071" i="9"/>
  <c r="Q1072" i="9"/>
  <c r="Q1073" i="9"/>
  <c r="Q1074" i="9"/>
  <c r="Q1075" i="9"/>
  <c r="Q1076" i="9"/>
  <c r="Q1077" i="9"/>
  <c r="Q1078" i="9"/>
  <c r="Q1079" i="9"/>
  <c r="Q1080" i="9"/>
  <c r="Q1081" i="9"/>
  <c r="Q1082" i="9"/>
  <c r="Q1083" i="9"/>
  <c r="Q1084" i="9"/>
  <c r="Q1085" i="9"/>
  <c r="Q1086" i="9"/>
  <c r="Q1087" i="9"/>
  <c r="Q1088" i="9"/>
  <c r="Q1089" i="9"/>
  <c r="Q1090" i="9"/>
  <c r="Q1091" i="9"/>
  <c r="Q1092" i="9"/>
  <c r="Q1093" i="9"/>
  <c r="Q1094" i="9"/>
  <c r="Q1095" i="9"/>
  <c r="Q1096" i="9"/>
  <c r="Q1097" i="9"/>
  <c r="Q1098" i="9"/>
  <c r="Q1099" i="9"/>
  <c r="Q1100" i="9"/>
  <c r="Q1101" i="9"/>
  <c r="Q1102" i="9"/>
  <c r="Q1103" i="9"/>
  <c r="Q1104" i="9"/>
  <c r="Q1105" i="9"/>
  <c r="Q1106" i="9"/>
  <c r="Q1107" i="9"/>
  <c r="Q1108" i="9"/>
  <c r="Q1109" i="9"/>
  <c r="Q1110" i="9"/>
  <c r="Q1111" i="9"/>
  <c r="Q1112" i="9"/>
  <c r="Q1113" i="9"/>
  <c r="Q1114" i="9"/>
  <c r="Q1115" i="9"/>
  <c r="Q1116" i="9"/>
  <c r="Q1117" i="9"/>
  <c r="Q1118" i="9"/>
  <c r="Q1119" i="9"/>
  <c r="Q1120" i="9"/>
  <c r="Q1121" i="9"/>
  <c r="Q1122" i="9"/>
  <c r="Q1123" i="9"/>
  <c r="Q1124" i="9"/>
  <c r="Q1125" i="9"/>
  <c r="Q1126" i="9"/>
  <c r="Q1127" i="9"/>
  <c r="Q1128" i="9"/>
  <c r="Q1129" i="9"/>
  <c r="Q1130" i="9"/>
  <c r="Q1131" i="9"/>
  <c r="Q1132" i="9"/>
  <c r="Q1133" i="9"/>
  <c r="Q1134" i="9"/>
  <c r="Q1135" i="9"/>
  <c r="Q1136" i="9"/>
  <c r="Q1137" i="9"/>
  <c r="Q1138" i="9"/>
  <c r="Q1139" i="9"/>
  <c r="Q1140" i="9"/>
  <c r="Q1141" i="9"/>
  <c r="Q1142" i="9"/>
  <c r="Q1143" i="9"/>
  <c r="Q1144" i="9"/>
  <c r="Q1145" i="9"/>
  <c r="Q1146" i="9"/>
  <c r="Q1147" i="9"/>
  <c r="Q1148" i="9"/>
  <c r="Q1149" i="9"/>
  <c r="Q1150" i="9"/>
  <c r="Q1151" i="9"/>
  <c r="Q1152" i="9"/>
  <c r="Q1153" i="9"/>
  <c r="Q1154" i="9"/>
  <c r="Q1155" i="9"/>
  <c r="Q1156" i="9"/>
  <c r="Q1157" i="9"/>
  <c r="Q1158" i="9"/>
  <c r="Q1159" i="9"/>
  <c r="Q1160" i="9"/>
  <c r="Q1161" i="9"/>
  <c r="Q1162" i="9"/>
  <c r="Q1163" i="9"/>
  <c r="Q1164" i="9"/>
  <c r="Q1165" i="9"/>
  <c r="Q1166" i="9"/>
  <c r="Q1167" i="9"/>
  <c r="Q1168" i="9"/>
  <c r="Q1169" i="9"/>
  <c r="Q1170" i="9"/>
  <c r="Q1171" i="9"/>
  <c r="Q1172" i="9"/>
  <c r="Q1173" i="9"/>
  <c r="Q1174" i="9"/>
  <c r="Q1175" i="9"/>
  <c r="Q1176" i="9"/>
  <c r="Q1177" i="9"/>
  <c r="Q1178" i="9"/>
  <c r="Q1179" i="9"/>
  <c r="Q1180" i="9"/>
  <c r="Q1181" i="9"/>
  <c r="Q1182" i="9"/>
  <c r="Q1183" i="9"/>
  <c r="Q1184" i="9"/>
  <c r="Q1185" i="9"/>
  <c r="Q1186" i="9"/>
  <c r="Q1187" i="9"/>
  <c r="Q1188" i="9"/>
  <c r="Q1189" i="9"/>
  <c r="Q1190" i="9"/>
  <c r="Q1191" i="9"/>
  <c r="Q1192" i="9"/>
  <c r="Q1193" i="9"/>
  <c r="Q1194" i="9"/>
  <c r="Q1195" i="9"/>
  <c r="Q1196" i="9"/>
  <c r="Q1197" i="9"/>
  <c r="Q1198" i="9"/>
  <c r="Q1199" i="9"/>
  <c r="Q1200" i="9"/>
  <c r="Q1201" i="9"/>
  <c r="Q1202" i="9"/>
  <c r="Q1203" i="9"/>
  <c r="Q1204" i="9"/>
  <c r="Q1205" i="9"/>
  <c r="Q1206" i="9"/>
  <c r="Q1207" i="9"/>
  <c r="Q1208" i="9"/>
  <c r="Q1209" i="9"/>
  <c r="Q1210" i="9"/>
  <c r="Q1211" i="9"/>
  <c r="Q1212" i="9"/>
  <c r="Q1213" i="9"/>
  <c r="Q1214" i="9"/>
  <c r="Q1215" i="9"/>
  <c r="Q1216" i="9"/>
  <c r="Q1217" i="9"/>
  <c r="Q1218" i="9"/>
  <c r="Q1219" i="9"/>
  <c r="Q1220" i="9"/>
  <c r="Q1221" i="9"/>
  <c r="Q1222" i="9"/>
  <c r="Q1223" i="9"/>
  <c r="Q1224" i="9"/>
  <c r="Q1225" i="9"/>
  <c r="Q1226" i="9"/>
  <c r="Q1227" i="9"/>
  <c r="Q1228" i="9"/>
  <c r="Q1229" i="9"/>
  <c r="Q1230" i="9"/>
  <c r="Q1231" i="9"/>
  <c r="Q1232" i="9"/>
  <c r="Q1233" i="9"/>
  <c r="Q1234" i="9"/>
  <c r="Q1235" i="9"/>
  <c r="Q1236" i="9"/>
  <c r="Q1237" i="9"/>
  <c r="Q1238" i="9"/>
  <c r="Q1239" i="9"/>
  <c r="Q1240" i="9"/>
  <c r="Q1241" i="9"/>
  <c r="Q1242" i="9"/>
  <c r="Q1243" i="9"/>
  <c r="Q1244" i="9"/>
  <c r="Q1245" i="9"/>
  <c r="Q1246" i="9"/>
  <c r="Q1247" i="9"/>
  <c r="Q1248" i="9"/>
  <c r="Q1249" i="9"/>
  <c r="Q1250" i="9"/>
  <c r="Q1251" i="9"/>
  <c r="Q1252" i="9"/>
  <c r="Q1253" i="9"/>
  <c r="Q1254" i="9"/>
  <c r="Q1255" i="9"/>
  <c r="Q1256" i="9"/>
  <c r="Q1257" i="9"/>
  <c r="Q1258" i="9"/>
  <c r="Q1259" i="9"/>
  <c r="Q1260" i="9"/>
  <c r="Q1261" i="9"/>
  <c r="Q1262" i="9"/>
  <c r="Q1263" i="9"/>
  <c r="Q1264" i="9"/>
  <c r="Q1265" i="9"/>
  <c r="Q1266" i="9"/>
  <c r="Q1267" i="9"/>
  <c r="Q1268" i="9"/>
  <c r="Q1269" i="9"/>
  <c r="Q1270" i="9"/>
  <c r="Q1271" i="9"/>
  <c r="Q1272" i="9"/>
  <c r="Q1273" i="9"/>
  <c r="Q1274" i="9"/>
  <c r="Q1275" i="9"/>
  <c r="Q1276" i="9"/>
  <c r="Q1277" i="9"/>
  <c r="Q1278" i="9"/>
  <c r="Q1279" i="9"/>
  <c r="Q1280" i="9"/>
  <c r="Q1281" i="9"/>
  <c r="Q1282" i="9"/>
  <c r="Q1283" i="9"/>
  <c r="Q1284" i="9"/>
  <c r="Q1285" i="9"/>
  <c r="Q1286" i="9"/>
  <c r="Q1287" i="9"/>
  <c r="Q1288" i="9"/>
  <c r="Q1289" i="9"/>
  <c r="Q1290" i="9"/>
  <c r="Q1291" i="9"/>
  <c r="Q1292" i="9"/>
  <c r="Q1293" i="9"/>
  <c r="Q1294" i="9"/>
  <c r="Q1295" i="9"/>
  <c r="Q1296" i="9"/>
  <c r="Q1297" i="9"/>
  <c r="Q1298" i="9"/>
  <c r="Q1299" i="9"/>
  <c r="Q1300" i="9"/>
  <c r="Q1301" i="9"/>
  <c r="Q1302" i="9"/>
  <c r="Q1303" i="9"/>
  <c r="Q1304" i="9"/>
  <c r="Q1305" i="9"/>
  <c r="Q1306" i="9"/>
  <c r="Q1307" i="9"/>
  <c r="Q1308" i="9"/>
  <c r="Q1309" i="9"/>
  <c r="Q1310" i="9"/>
  <c r="Q1311" i="9"/>
  <c r="Q1312" i="9"/>
  <c r="Q1313" i="9"/>
  <c r="Q1314" i="9"/>
  <c r="Q1315" i="9"/>
  <c r="Q1316" i="9"/>
  <c r="Q1317" i="9"/>
  <c r="Q1318" i="9"/>
  <c r="Q1319" i="9"/>
  <c r="Q1320" i="9"/>
  <c r="Q1321" i="9"/>
  <c r="Q1322" i="9"/>
  <c r="Q1323" i="9"/>
  <c r="Q1324" i="9"/>
  <c r="Q1325" i="9"/>
  <c r="Q1326" i="9"/>
  <c r="Q1327" i="9"/>
  <c r="Q1328" i="9"/>
  <c r="Q1329" i="9"/>
  <c r="Q1330" i="9"/>
  <c r="Q1331" i="9"/>
  <c r="Q1332" i="9"/>
  <c r="Q1333" i="9"/>
  <c r="Q1334" i="9"/>
  <c r="Q1335" i="9"/>
  <c r="Q1336" i="9"/>
  <c r="Q1337" i="9"/>
  <c r="Q1338" i="9"/>
  <c r="Q1339" i="9"/>
  <c r="Q1340" i="9"/>
  <c r="Q1341" i="9"/>
  <c r="Q1342" i="9"/>
  <c r="Q1343" i="9"/>
  <c r="Q1344" i="9"/>
  <c r="Q1345" i="9"/>
  <c r="Q1346" i="9"/>
  <c r="Q1347" i="9"/>
  <c r="Q1348" i="9"/>
  <c r="Q1349" i="9"/>
  <c r="Q1350" i="9"/>
  <c r="Q1351" i="9"/>
  <c r="Q1352" i="9"/>
  <c r="Q1353" i="9"/>
  <c r="Q1354" i="9"/>
  <c r="Q1355" i="9"/>
  <c r="Q1356" i="9"/>
  <c r="Q1357" i="9"/>
  <c r="Q1358" i="9"/>
  <c r="Q1359" i="9"/>
  <c r="Q1360" i="9"/>
  <c r="Q1361" i="9"/>
  <c r="Q1362" i="9"/>
  <c r="Q1363" i="9"/>
  <c r="Q1364" i="9"/>
  <c r="Q1365" i="9"/>
  <c r="Q1366" i="9"/>
  <c r="Q1367" i="9"/>
  <c r="Q1368" i="9"/>
  <c r="Q1369" i="9"/>
  <c r="Q1370" i="9"/>
  <c r="Q1371" i="9"/>
  <c r="Q1372" i="9"/>
  <c r="Q1373" i="9"/>
  <c r="Q1374" i="9"/>
  <c r="Q1375" i="9"/>
  <c r="Q1376" i="9"/>
  <c r="Q1377" i="9"/>
  <c r="Q1378" i="9"/>
  <c r="Q1379" i="9"/>
  <c r="Q1380" i="9"/>
  <c r="Q1381" i="9"/>
  <c r="Q1382" i="9"/>
  <c r="Q1383" i="9"/>
  <c r="Q1384" i="9"/>
  <c r="Q1385" i="9"/>
  <c r="Q1386" i="9"/>
  <c r="Q1387" i="9"/>
  <c r="Q1388" i="9"/>
  <c r="Q1389" i="9"/>
  <c r="Q1390" i="9"/>
  <c r="Q1391" i="9"/>
  <c r="Q1392" i="9"/>
  <c r="Q1393" i="9"/>
  <c r="Q1394" i="9"/>
  <c r="Q1395" i="9"/>
  <c r="Q1396" i="9"/>
  <c r="Q1397" i="9"/>
  <c r="Q1398" i="9"/>
  <c r="Q1399" i="9"/>
  <c r="Q1400" i="9"/>
  <c r="Q1401" i="9"/>
  <c r="Q1402" i="9"/>
  <c r="Q1403" i="9"/>
  <c r="Q1404" i="9"/>
  <c r="Q1405" i="9"/>
  <c r="Q1406" i="9"/>
  <c r="Q1407" i="9"/>
  <c r="Q1408" i="9"/>
  <c r="Q1409" i="9"/>
  <c r="Q1410" i="9"/>
  <c r="Q1411" i="9"/>
  <c r="Q1412" i="9"/>
  <c r="Q1413" i="9"/>
  <c r="Q1414" i="9"/>
  <c r="Q1415" i="9"/>
  <c r="Q1416" i="9"/>
  <c r="Q1417" i="9"/>
  <c r="Q1418" i="9"/>
  <c r="Q1419" i="9"/>
  <c r="Q1420" i="9"/>
  <c r="Q1421" i="9"/>
  <c r="Q1422" i="9"/>
  <c r="Q1423" i="9"/>
  <c r="Q1424" i="9"/>
  <c r="Q1425" i="9"/>
  <c r="Q1426" i="9"/>
  <c r="Q1427" i="9"/>
  <c r="Q1428" i="9"/>
  <c r="Q1429" i="9"/>
  <c r="Q1430" i="9"/>
  <c r="Q1431" i="9"/>
  <c r="Q1432" i="9"/>
  <c r="Q1433" i="9"/>
  <c r="Q1434" i="9"/>
  <c r="Q1435" i="9"/>
  <c r="Q1436" i="9"/>
  <c r="Q1437" i="9"/>
  <c r="Q1438" i="9"/>
  <c r="Q1439" i="9"/>
  <c r="Q1440" i="9"/>
  <c r="Q1441" i="9"/>
  <c r="Q1442" i="9"/>
  <c r="Q1443" i="9"/>
  <c r="Q1444" i="9"/>
  <c r="Q1445" i="9"/>
  <c r="Q1446" i="9"/>
  <c r="Q1447" i="9"/>
  <c r="Q1448" i="9"/>
  <c r="Q1449" i="9"/>
  <c r="Q1450" i="9"/>
  <c r="Q1451" i="9"/>
  <c r="Q1452" i="9"/>
  <c r="Q1453" i="9"/>
  <c r="Q1454" i="9"/>
  <c r="Q1455" i="9"/>
  <c r="Q1456" i="9"/>
  <c r="Q1457" i="9"/>
  <c r="Q1458" i="9"/>
  <c r="Q1459" i="9"/>
  <c r="Q1460" i="9"/>
  <c r="Q1461" i="9"/>
  <c r="Q1462" i="9"/>
  <c r="Q1463" i="9"/>
  <c r="Q1464" i="9"/>
  <c r="Q1465" i="9"/>
  <c r="Q1466" i="9"/>
  <c r="Q1467" i="9"/>
  <c r="Q1468" i="9"/>
  <c r="Q1469" i="9"/>
  <c r="Q1470" i="9"/>
  <c r="Q1471" i="9"/>
  <c r="Q1472" i="9"/>
  <c r="Q1473" i="9"/>
  <c r="Q1474" i="9"/>
  <c r="Q1475" i="9"/>
  <c r="Q1476" i="9"/>
  <c r="Q1477" i="9"/>
  <c r="Q1478" i="9"/>
  <c r="Q1479" i="9"/>
  <c r="Q1480" i="9"/>
  <c r="Q1481" i="9"/>
  <c r="Q1482" i="9"/>
  <c r="Q1483" i="9"/>
  <c r="Q1484" i="9"/>
  <c r="Q1485" i="9"/>
  <c r="Q1486" i="9"/>
  <c r="Q1487" i="9"/>
  <c r="Q1488" i="9"/>
  <c r="Q1489" i="9"/>
  <c r="Q1490" i="9"/>
  <c r="Q1491" i="9"/>
  <c r="Q1492" i="9"/>
  <c r="Q1493" i="9"/>
  <c r="Q1494" i="9"/>
  <c r="Q1495" i="9"/>
  <c r="Q1496" i="9"/>
  <c r="Q1497" i="9"/>
  <c r="Q1498" i="9"/>
  <c r="Q1499" i="9"/>
  <c r="Q1500" i="9"/>
  <c r="Q1501" i="9"/>
  <c r="Q1502" i="9"/>
  <c r="Q1503" i="9"/>
  <c r="Q1504" i="9"/>
  <c r="Q1505" i="9"/>
  <c r="Q1506" i="9"/>
  <c r="Q1507" i="9"/>
  <c r="Q1508" i="9"/>
  <c r="Q1509" i="9"/>
  <c r="Q1510" i="9"/>
  <c r="Q1511" i="9"/>
  <c r="Q1512" i="9"/>
  <c r="Q1513" i="9"/>
  <c r="Q1514" i="9"/>
  <c r="Q1515" i="9"/>
  <c r="Q1516" i="9"/>
  <c r="Q1517" i="9"/>
  <c r="Q1518" i="9"/>
  <c r="Q1519" i="9"/>
  <c r="Q1520" i="9"/>
  <c r="Q1521" i="9"/>
  <c r="Q1522" i="9"/>
  <c r="Q1523" i="9"/>
  <c r="Q1524" i="9"/>
  <c r="Q1525" i="9"/>
  <c r="Q1526" i="9"/>
  <c r="Q1527" i="9"/>
  <c r="Q1528" i="9"/>
  <c r="Q1529" i="9"/>
  <c r="Q1530" i="9"/>
  <c r="Q1531" i="9"/>
  <c r="Q1532" i="9"/>
  <c r="Q1533" i="9"/>
  <c r="Q1534" i="9"/>
  <c r="Q1535" i="9"/>
  <c r="Q1536" i="9"/>
  <c r="Q1537" i="9"/>
  <c r="Q1538" i="9"/>
  <c r="Q1539" i="9"/>
  <c r="Q1540" i="9"/>
  <c r="Q1541" i="9"/>
  <c r="Q1542" i="9"/>
  <c r="Q1543" i="9"/>
  <c r="Q1544" i="9"/>
  <c r="Q1545" i="9"/>
  <c r="Q1546" i="9"/>
  <c r="Q1547" i="9"/>
  <c r="Q1548" i="9"/>
  <c r="Q1549" i="9"/>
  <c r="Q1550" i="9"/>
  <c r="Q1551" i="9"/>
  <c r="Q1552" i="9"/>
  <c r="Q1553" i="9"/>
  <c r="Q1554" i="9"/>
  <c r="Q1555" i="9"/>
  <c r="Q1556" i="9"/>
  <c r="Q1557" i="9"/>
  <c r="Q1558" i="9"/>
  <c r="Q1559" i="9"/>
  <c r="Q1560" i="9"/>
  <c r="Q1561" i="9"/>
  <c r="Q1562" i="9"/>
  <c r="Q1563" i="9"/>
  <c r="Q1564" i="9"/>
  <c r="Q1565" i="9"/>
  <c r="Q1566" i="9"/>
  <c r="Q1567" i="9"/>
  <c r="Q1568" i="9"/>
  <c r="Q1569" i="9"/>
  <c r="Q1570" i="9"/>
  <c r="Q1571" i="9"/>
  <c r="Q1572" i="9"/>
  <c r="Q1573" i="9"/>
  <c r="Q1574" i="9"/>
  <c r="Q1575" i="9"/>
  <c r="Q1576" i="9"/>
  <c r="Q1577" i="9"/>
  <c r="Q1578" i="9"/>
  <c r="Q1579" i="9"/>
  <c r="Q1580" i="9"/>
  <c r="Q1581" i="9"/>
  <c r="Q1582" i="9"/>
  <c r="Q1583" i="9"/>
  <c r="Q1584" i="9"/>
  <c r="Q1585" i="9"/>
  <c r="Q1586" i="9"/>
  <c r="Q1587" i="9"/>
  <c r="Q1588" i="9"/>
  <c r="Q1589" i="9"/>
  <c r="Q1590" i="9"/>
  <c r="Q1591" i="9"/>
  <c r="Q1592" i="9"/>
  <c r="Q1593" i="9"/>
  <c r="Q1594" i="9"/>
  <c r="Q1595" i="9"/>
  <c r="Q1596" i="9"/>
  <c r="Q1597" i="9"/>
  <c r="Q1598" i="9"/>
  <c r="Q1599" i="9"/>
  <c r="Q1600" i="9"/>
  <c r="Q1601" i="9"/>
  <c r="Q1602" i="9"/>
  <c r="Q1603" i="9"/>
  <c r="Q1604" i="9"/>
  <c r="Q1605" i="9"/>
  <c r="Q1606" i="9"/>
  <c r="Q1607" i="9"/>
  <c r="Q1608" i="9"/>
  <c r="Q1609" i="9"/>
  <c r="Q1610" i="9"/>
  <c r="Q1611" i="9"/>
  <c r="Q1612" i="9"/>
  <c r="Q1613" i="9"/>
  <c r="Q1614" i="9"/>
  <c r="Q1615" i="9"/>
  <c r="Q1616" i="9"/>
  <c r="Q1617" i="9"/>
  <c r="Q1618" i="9"/>
  <c r="Q1619" i="9"/>
  <c r="Q1620" i="9"/>
  <c r="Q1621" i="9"/>
  <c r="Q1622" i="9"/>
  <c r="Q1623" i="9"/>
  <c r="Q1624" i="9"/>
  <c r="Q1625" i="9"/>
  <c r="Q1626" i="9"/>
  <c r="Q1627" i="9"/>
  <c r="Q1628" i="9"/>
  <c r="Q1629" i="9"/>
  <c r="Q1630" i="9"/>
  <c r="Q1631" i="9"/>
  <c r="Q1632" i="9"/>
  <c r="Q1633" i="9"/>
  <c r="Q1634" i="9"/>
  <c r="Q1635" i="9"/>
  <c r="Q1636" i="9"/>
  <c r="Q1637" i="9"/>
  <c r="Q1638" i="9"/>
  <c r="Q1639" i="9"/>
  <c r="Q1640" i="9"/>
  <c r="Q1641" i="9"/>
  <c r="Q1642" i="9"/>
  <c r="Q1643" i="9"/>
  <c r="Q1644" i="9"/>
  <c r="Q1645" i="9"/>
  <c r="Q1646" i="9"/>
  <c r="Q1647" i="9"/>
  <c r="Q1648" i="9"/>
  <c r="Q1649" i="9"/>
  <c r="Q1650" i="9"/>
  <c r="Q1651" i="9"/>
  <c r="Q1652" i="9"/>
  <c r="Q1653" i="9"/>
  <c r="Q1654" i="9"/>
  <c r="Q1655" i="9"/>
  <c r="Q1656" i="9"/>
  <c r="Q1657" i="9"/>
  <c r="Q1658" i="9"/>
  <c r="Q1659" i="9"/>
  <c r="Q1660" i="9"/>
  <c r="Q1661" i="9"/>
  <c r="Q1662" i="9"/>
  <c r="Q1663" i="9"/>
  <c r="Q1664" i="9"/>
  <c r="Q1665" i="9"/>
  <c r="Q1666" i="9"/>
  <c r="Q1667" i="9"/>
  <c r="Q1668" i="9"/>
  <c r="Q1669" i="9"/>
  <c r="Q1670" i="9"/>
  <c r="Q1671" i="9"/>
  <c r="Q1672" i="9"/>
  <c r="Q1673" i="9"/>
  <c r="Q1674" i="9"/>
  <c r="Q1675" i="9"/>
  <c r="Q1676" i="9"/>
  <c r="Q1677" i="9"/>
  <c r="Q1678" i="9"/>
  <c r="Q1679" i="9"/>
  <c r="Q1680" i="9"/>
  <c r="Q1681" i="9"/>
  <c r="Q1682" i="9"/>
  <c r="Q1683" i="9"/>
  <c r="Q1684" i="9"/>
  <c r="Q1685" i="9"/>
  <c r="Q1686" i="9"/>
  <c r="Q1687" i="9"/>
  <c r="Q1688" i="9"/>
  <c r="Q1689" i="9"/>
  <c r="Q1690" i="9"/>
  <c r="Q1691" i="9"/>
  <c r="Q1692" i="9"/>
  <c r="Q1693" i="9"/>
  <c r="Q1694" i="9"/>
  <c r="Q1695" i="9"/>
  <c r="Q1696" i="9"/>
  <c r="Q1697" i="9"/>
  <c r="Q1698" i="9"/>
  <c r="Q1699" i="9"/>
  <c r="Q1700" i="9"/>
  <c r="Q1701" i="9"/>
  <c r="Q1702" i="9"/>
  <c r="Q1703" i="9"/>
  <c r="Q1704" i="9"/>
  <c r="Q1705" i="9"/>
  <c r="Q1706" i="9"/>
  <c r="Q1707" i="9"/>
  <c r="Q1708" i="9"/>
  <c r="Q1709" i="9"/>
  <c r="Q1710" i="9"/>
  <c r="Q1711" i="9"/>
  <c r="Q1712" i="9"/>
  <c r="Q1713" i="9"/>
  <c r="Q1714" i="9"/>
  <c r="Q1715" i="9"/>
  <c r="Q1716" i="9"/>
  <c r="Q1717" i="9"/>
  <c r="Q1718" i="9"/>
  <c r="Q1719" i="9"/>
  <c r="Q1720" i="9"/>
  <c r="Q1721" i="9"/>
  <c r="Q1722" i="9"/>
  <c r="Q1723" i="9"/>
  <c r="Q1724" i="9"/>
  <c r="Q1725" i="9"/>
  <c r="Q1726" i="9"/>
  <c r="Q1727" i="9"/>
  <c r="Q1728" i="9"/>
  <c r="Q1729" i="9"/>
  <c r="Q1730" i="9"/>
  <c r="Q1731" i="9"/>
  <c r="Q1732" i="9"/>
  <c r="Q1733" i="9"/>
  <c r="Q1734" i="9"/>
  <c r="Q1735" i="9"/>
  <c r="Q1736" i="9"/>
  <c r="Q1737" i="9"/>
  <c r="Q1738" i="9"/>
  <c r="Q1739" i="9"/>
  <c r="Q1740" i="9"/>
  <c r="Q1741" i="9"/>
  <c r="Q1742" i="9"/>
  <c r="Q1743" i="9"/>
  <c r="Q1744" i="9"/>
  <c r="Q1745" i="9"/>
  <c r="Q1746" i="9"/>
  <c r="Q1747" i="9"/>
  <c r="Q1748" i="9"/>
  <c r="Q1749" i="9"/>
  <c r="Q1750" i="9"/>
  <c r="Q1751" i="9"/>
  <c r="Q1752" i="9"/>
  <c r="Q1753" i="9"/>
  <c r="Q1754" i="9"/>
  <c r="Q1755" i="9"/>
  <c r="Q1756" i="9"/>
  <c r="Q1757" i="9"/>
  <c r="Q1758" i="9"/>
  <c r="Q1759" i="9"/>
  <c r="Q1760" i="9"/>
  <c r="Q1761" i="9"/>
  <c r="Q1762" i="9"/>
  <c r="Q1763" i="9"/>
  <c r="Q1764" i="9"/>
  <c r="Q1765" i="9"/>
  <c r="Q1766" i="9"/>
  <c r="Q1767" i="9"/>
  <c r="Q1768" i="9"/>
  <c r="Q1769" i="9"/>
  <c r="Q1770" i="9"/>
  <c r="Q1771" i="9"/>
  <c r="Q1772" i="9"/>
  <c r="Q1773" i="9"/>
  <c r="Q1774" i="9"/>
  <c r="Q1775" i="9"/>
  <c r="Q1776" i="9"/>
  <c r="Q1777" i="9"/>
  <c r="Q1778" i="9"/>
  <c r="Q1779" i="9"/>
  <c r="Q1780" i="9"/>
  <c r="Q1781" i="9"/>
  <c r="Q1782" i="9"/>
  <c r="Q1783" i="9"/>
  <c r="Q1784" i="9"/>
  <c r="Q1785" i="9"/>
  <c r="Q1786" i="9"/>
  <c r="Q1787" i="9"/>
  <c r="Q1788" i="9"/>
  <c r="Q1789" i="9"/>
  <c r="Q1790" i="9"/>
  <c r="Q1791" i="9"/>
  <c r="Q1792" i="9"/>
  <c r="Q1793" i="9"/>
  <c r="Q1794" i="9"/>
  <c r="Q1795" i="9"/>
  <c r="Q1796" i="9"/>
  <c r="Q1797" i="9"/>
  <c r="Q1798" i="9"/>
  <c r="Q1799" i="9"/>
  <c r="Q1800" i="9"/>
  <c r="Q1801" i="9"/>
  <c r="Q1802" i="9"/>
  <c r="Q1803" i="9"/>
  <c r="Q1804" i="9"/>
  <c r="Q1805" i="9"/>
  <c r="Q1806" i="9"/>
  <c r="Q1807" i="9"/>
  <c r="Q1808" i="9"/>
  <c r="Q1809" i="9"/>
  <c r="Q1810" i="9"/>
  <c r="Q1811" i="9"/>
  <c r="Q1812" i="9"/>
  <c r="Q1813" i="9"/>
  <c r="Q1814" i="9"/>
  <c r="Q1815" i="9"/>
  <c r="Q1816" i="9"/>
  <c r="Q1817" i="9"/>
  <c r="Q1818" i="9"/>
  <c r="Q1819" i="9"/>
  <c r="Q1820" i="9"/>
  <c r="Q1821" i="9"/>
  <c r="Q1822" i="9"/>
  <c r="Q1823" i="9"/>
  <c r="Q1824" i="9"/>
  <c r="Q1825" i="9"/>
  <c r="Q1826" i="9"/>
  <c r="Q1827" i="9"/>
  <c r="Q1828" i="9"/>
  <c r="Q1829" i="9"/>
  <c r="Q1830" i="9"/>
  <c r="Q1831" i="9"/>
  <c r="Q1832" i="9"/>
  <c r="Q1833" i="9"/>
  <c r="Q1834" i="9"/>
  <c r="Q1835" i="9"/>
  <c r="Q1836" i="9"/>
  <c r="Q1837" i="9"/>
  <c r="Q1838" i="9"/>
  <c r="Q1839" i="9"/>
  <c r="Q1840" i="9"/>
  <c r="Q1841" i="9"/>
  <c r="Q1842" i="9"/>
  <c r="Q1843" i="9"/>
  <c r="Q1844" i="9"/>
  <c r="Q1845" i="9"/>
  <c r="Q1846" i="9"/>
  <c r="Q1847" i="9"/>
  <c r="Q1848" i="9"/>
  <c r="Q1849" i="9"/>
  <c r="Q1850" i="9"/>
  <c r="Q1851" i="9"/>
  <c r="Q1852" i="9"/>
  <c r="Q1853" i="9"/>
  <c r="Q1854" i="9"/>
  <c r="Q1855" i="9"/>
  <c r="Q1856" i="9"/>
  <c r="Q1857" i="9"/>
  <c r="Q1858" i="9"/>
  <c r="Q1859" i="9"/>
  <c r="Q1860" i="9"/>
  <c r="Q1861" i="9"/>
  <c r="Q1862" i="9"/>
  <c r="Q1863" i="9"/>
  <c r="Q1864" i="9"/>
  <c r="Q1865" i="9"/>
  <c r="Q1866" i="9"/>
  <c r="Q1867" i="9"/>
  <c r="Q1868" i="9"/>
  <c r="Q1869" i="9"/>
  <c r="Q1870" i="9"/>
  <c r="Q1871" i="9"/>
  <c r="Q1872" i="9"/>
  <c r="Q1873" i="9"/>
  <c r="Q1874" i="9"/>
  <c r="Q1875" i="9"/>
  <c r="Q1876" i="9"/>
  <c r="Q1877" i="9"/>
  <c r="Q1878" i="9"/>
  <c r="Q1879" i="9"/>
  <c r="Q1880" i="9"/>
  <c r="Q1881" i="9"/>
  <c r="Q1882" i="9"/>
  <c r="Q1883" i="9"/>
  <c r="Q1884" i="9"/>
  <c r="Q1885" i="9"/>
  <c r="Q1886" i="9"/>
  <c r="Q1887" i="9"/>
  <c r="Q1888" i="9"/>
  <c r="Q1889" i="9"/>
  <c r="Q1890" i="9"/>
  <c r="Q1891" i="9"/>
  <c r="Q1892" i="9"/>
  <c r="Q1893" i="9"/>
  <c r="Q1894" i="9"/>
  <c r="Q1895" i="9"/>
  <c r="Q1896" i="9"/>
  <c r="Q1897" i="9"/>
  <c r="Q1898" i="9"/>
  <c r="Q1899" i="9"/>
  <c r="Q1900" i="9"/>
  <c r="Q1901" i="9"/>
  <c r="Q1902" i="9"/>
  <c r="Q1903" i="9"/>
  <c r="Q1904" i="9"/>
  <c r="Q1905" i="9"/>
  <c r="Q1906" i="9"/>
  <c r="Q1907" i="9"/>
  <c r="Q1908" i="9"/>
  <c r="Q1909" i="9"/>
  <c r="Q1910" i="9"/>
  <c r="Q1911" i="9"/>
  <c r="Q1912" i="9"/>
  <c r="Q1913" i="9"/>
  <c r="Q1914" i="9"/>
  <c r="Q1915" i="9"/>
  <c r="Q1916" i="9"/>
  <c r="Q1917" i="9"/>
  <c r="Q1918" i="9"/>
  <c r="Q1919" i="9"/>
  <c r="Q1920" i="9"/>
  <c r="Q1921" i="9"/>
  <c r="Q1922" i="9"/>
  <c r="Q1923" i="9"/>
  <c r="Q1924" i="9"/>
  <c r="Q1925" i="9"/>
  <c r="Q1926" i="9"/>
  <c r="Q1927" i="9"/>
  <c r="Q1928" i="9"/>
  <c r="Q1929" i="9"/>
  <c r="Q1930" i="9"/>
  <c r="Q1931" i="9"/>
  <c r="Q1932" i="9"/>
  <c r="Q1933" i="9"/>
  <c r="Q1934" i="9"/>
  <c r="Q1935" i="9"/>
  <c r="Q1936" i="9"/>
  <c r="Q1937" i="9"/>
  <c r="Q1938" i="9"/>
  <c r="Q1939" i="9"/>
  <c r="Q1940" i="9"/>
  <c r="Q1941" i="9"/>
  <c r="Q1942" i="9"/>
  <c r="Q1943" i="9"/>
  <c r="Q1944" i="9"/>
  <c r="Q1945" i="9"/>
  <c r="Q1946" i="9"/>
  <c r="Q1947" i="9"/>
  <c r="Q1948" i="9"/>
  <c r="Q1949" i="9"/>
  <c r="Q1950" i="9"/>
  <c r="Q1951" i="9"/>
  <c r="Q1952" i="9"/>
  <c r="Q1953" i="9"/>
  <c r="Q1954" i="9"/>
  <c r="Q1955" i="9"/>
  <c r="Q1956" i="9"/>
  <c r="Q1957" i="9"/>
  <c r="Q1958" i="9"/>
  <c r="Q1959" i="9"/>
  <c r="Q1960" i="9"/>
  <c r="Q1961" i="9"/>
  <c r="Q1962" i="9"/>
  <c r="Q1963" i="9"/>
  <c r="Q1964" i="9"/>
  <c r="Q1965" i="9"/>
  <c r="Q1966" i="9"/>
  <c r="Q1967" i="9"/>
  <c r="Q1968" i="9"/>
  <c r="Q1969" i="9"/>
  <c r="Q1970" i="9"/>
  <c r="Q1971" i="9"/>
  <c r="Q1972" i="9"/>
  <c r="Q1973" i="9"/>
  <c r="Q1974" i="9"/>
  <c r="Q1975" i="9"/>
  <c r="Q1976" i="9"/>
  <c r="Q1977" i="9"/>
  <c r="Q1978" i="9"/>
  <c r="Q1979" i="9"/>
  <c r="Q1980" i="9"/>
  <c r="Q1981" i="9"/>
  <c r="Q1982" i="9"/>
  <c r="Q1983" i="9"/>
  <c r="Q1984" i="9"/>
  <c r="Q1985" i="9"/>
  <c r="Q1986" i="9"/>
  <c r="Q1987" i="9"/>
  <c r="Q1988" i="9"/>
  <c r="Q1989" i="9"/>
  <c r="Q1990" i="9"/>
  <c r="Q1991" i="9"/>
  <c r="Q1992" i="9"/>
  <c r="Q1993" i="9"/>
  <c r="Q1994" i="9"/>
  <c r="Q1995" i="9"/>
  <c r="Q1996" i="9"/>
  <c r="Q1997" i="9"/>
  <c r="Q1998" i="9"/>
  <c r="Q1999" i="9"/>
  <c r="Q2000" i="9"/>
  <c r="Q2001" i="9"/>
  <c r="Q2002" i="9"/>
  <c r="Q2003" i="9"/>
  <c r="Q2004" i="9"/>
  <c r="Q2005" i="9"/>
  <c r="Q2006" i="9"/>
  <c r="Q2007" i="9"/>
  <c r="Q2008" i="9"/>
  <c r="Q2009" i="9"/>
  <c r="Q2010" i="9"/>
  <c r="Q2011" i="9"/>
  <c r="Q2012" i="9"/>
  <c r="Q2013" i="9"/>
  <c r="Q2014" i="9"/>
  <c r="Q2015" i="9"/>
  <c r="Q2016" i="9"/>
  <c r="Q2017" i="9"/>
  <c r="Q2018" i="9"/>
  <c r="Q2019" i="9"/>
  <c r="Q2020" i="9"/>
  <c r="Q2021" i="9"/>
  <c r="Q2022" i="9"/>
  <c r="Q2023" i="9"/>
  <c r="Q2024" i="9"/>
  <c r="Q2025" i="9"/>
  <c r="Q2026" i="9"/>
  <c r="Q2027" i="9"/>
  <c r="Q2028" i="9"/>
  <c r="Q2029" i="9"/>
  <c r="Q2030" i="9"/>
  <c r="Q2031" i="9"/>
  <c r="Q2032" i="9"/>
  <c r="Q2033" i="9"/>
  <c r="Q2034" i="9"/>
  <c r="Q2035" i="9"/>
  <c r="Q2036" i="9"/>
  <c r="Q2037" i="9"/>
  <c r="Q2038" i="9"/>
  <c r="Q2039" i="9"/>
  <c r="Q2040" i="9"/>
  <c r="Q2041" i="9"/>
  <c r="Q2042" i="9"/>
  <c r="Q2043" i="9"/>
  <c r="Q2044" i="9"/>
  <c r="Q2045" i="9"/>
  <c r="Q2046" i="9"/>
  <c r="Q2047" i="9"/>
  <c r="Q2048" i="9"/>
  <c r="Q2049" i="9"/>
  <c r="Q2050" i="9"/>
  <c r="Q2051" i="9"/>
  <c r="Q2052" i="9"/>
  <c r="Q2053" i="9"/>
  <c r="Q2054" i="9"/>
  <c r="Q2055" i="9"/>
  <c r="Q2056" i="9"/>
  <c r="Q2057" i="9"/>
  <c r="Q2058" i="9"/>
  <c r="Q2059" i="9"/>
  <c r="Q2060" i="9"/>
  <c r="Q2061" i="9"/>
  <c r="Q2062" i="9"/>
  <c r="Q2063" i="9"/>
  <c r="Q2064" i="9"/>
  <c r="Q2065" i="9"/>
  <c r="Q2066" i="9"/>
  <c r="Q2067" i="9"/>
  <c r="Q2068" i="9"/>
  <c r="Q2069" i="9"/>
  <c r="Q2070" i="9"/>
  <c r="Q2071" i="9"/>
  <c r="Q2072" i="9"/>
  <c r="Q2073" i="9"/>
  <c r="Q2074" i="9"/>
  <c r="Q2075" i="9"/>
  <c r="Q2076" i="9"/>
  <c r="Q2077" i="9"/>
  <c r="Q2078" i="9"/>
  <c r="Q2079" i="9"/>
  <c r="Q2080" i="9"/>
  <c r="Q2081" i="9"/>
  <c r="Q2082" i="9"/>
  <c r="Q2083" i="9"/>
  <c r="Q2084" i="9"/>
  <c r="Q2085" i="9"/>
  <c r="Q2086" i="9"/>
  <c r="Q2087" i="9"/>
  <c r="Q2088" i="9"/>
  <c r="Q2089" i="9"/>
  <c r="Q2090" i="9"/>
  <c r="Q2091" i="9"/>
  <c r="Q2092" i="9"/>
  <c r="Q2093" i="9"/>
  <c r="Q2094" i="9"/>
  <c r="Q2095" i="9"/>
  <c r="Q2096" i="9"/>
  <c r="Q2097" i="9"/>
  <c r="Q2098" i="9"/>
  <c r="Q2099" i="9"/>
  <c r="Q2100" i="9"/>
  <c r="Q2101" i="9"/>
  <c r="Q2102" i="9"/>
  <c r="Q2103" i="9"/>
  <c r="Q2104" i="9"/>
  <c r="Q2105" i="9"/>
  <c r="Q2106" i="9"/>
  <c r="Q2107" i="9"/>
  <c r="Q2108" i="9"/>
  <c r="Q2109" i="9"/>
  <c r="Q2110" i="9"/>
  <c r="Q2111" i="9"/>
  <c r="Q2112" i="9"/>
  <c r="Q2113" i="9"/>
  <c r="Q2114" i="9"/>
  <c r="Q2115" i="9"/>
  <c r="Q2116" i="9"/>
  <c r="Q2117" i="9"/>
  <c r="Q2118" i="9"/>
  <c r="Q2119" i="9"/>
  <c r="Q2120" i="9"/>
  <c r="Q2121" i="9"/>
  <c r="Q2122" i="9"/>
  <c r="Q2123" i="9"/>
  <c r="Q2124" i="9"/>
  <c r="Q2125" i="9"/>
  <c r="Q2126" i="9"/>
  <c r="Q2127" i="9"/>
  <c r="Q2128" i="9"/>
  <c r="Q2129" i="9"/>
  <c r="Q2130" i="9"/>
  <c r="Q2131" i="9"/>
  <c r="Q2132" i="9"/>
  <c r="Q2133" i="9"/>
  <c r="Q2134" i="9"/>
  <c r="Q2135" i="9"/>
  <c r="Q2136" i="9"/>
  <c r="Q2137" i="9"/>
  <c r="Q2138" i="9"/>
  <c r="Q2139" i="9"/>
  <c r="Q2140" i="9"/>
  <c r="Q2141" i="9"/>
  <c r="Q2142" i="9"/>
  <c r="Q2143" i="9"/>
  <c r="Q2144" i="9"/>
  <c r="Q2145" i="9"/>
  <c r="Q2146" i="9"/>
  <c r="Q2147" i="9"/>
  <c r="Q2148" i="9"/>
  <c r="Q2149" i="9"/>
  <c r="Q2150" i="9"/>
  <c r="Q2151" i="9"/>
  <c r="Q2152" i="9"/>
  <c r="Q2153" i="9"/>
  <c r="Q2154" i="9"/>
  <c r="Q2155" i="9"/>
  <c r="Q2156" i="9"/>
  <c r="Q2157" i="9"/>
  <c r="Q2158" i="9"/>
  <c r="Q2159" i="9"/>
  <c r="Q2160" i="9"/>
  <c r="Q2161" i="9"/>
  <c r="Q2162" i="9"/>
  <c r="Q2163" i="9"/>
  <c r="Q2164" i="9"/>
  <c r="Q2165" i="9"/>
  <c r="Q2166" i="9"/>
  <c r="Q2167" i="9"/>
  <c r="Q2168" i="9"/>
  <c r="Q2169" i="9"/>
  <c r="Q2170" i="9"/>
  <c r="Q2171" i="9"/>
  <c r="Q2172" i="9"/>
  <c r="Q2173" i="9"/>
  <c r="Q2174" i="9"/>
  <c r="Q2175" i="9"/>
  <c r="Q2176" i="9"/>
  <c r="Q2177" i="9"/>
  <c r="Q2178" i="9"/>
  <c r="Q2179" i="9"/>
  <c r="Q2180" i="9"/>
  <c r="Q2181" i="9"/>
  <c r="Q2182" i="9"/>
  <c r="Q2183" i="9"/>
  <c r="Q2184" i="9"/>
  <c r="Q2185" i="9"/>
  <c r="Q2186" i="9"/>
  <c r="Q2187" i="9"/>
  <c r="Q2188" i="9"/>
  <c r="Q2189" i="9"/>
  <c r="Q2190" i="9"/>
  <c r="Q2191" i="9"/>
  <c r="Q2192" i="9"/>
  <c r="Q2193" i="9"/>
  <c r="Q2194" i="9"/>
  <c r="Q2195" i="9"/>
  <c r="Q2196" i="9"/>
  <c r="Q2197" i="9"/>
  <c r="Q2198" i="9"/>
  <c r="Q2199" i="9"/>
  <c r="Q2200" i="9"/>
  <c r="Q2201" i="9"/>
  <c r="Q2202" i="9"/>
  <c r="Q2203" i="9"/>
  <c r="Q2204" i="9"/>
  <c r="Q2205" i="9"/>
  <c r="Q2206" i="9"/>
  <c r="Q2207" i="9"/>
  <c r="Q2208" i="9"/>
  <c r="Q2209" i="9"/>
  <c r="Q2210" i="9"/>
  <c r="Q2211" i="9"/>
  <c r="Q2212" i="9"/>
  <c r="Q2213" i="9"/>
  <c r="Q2214" i="9"/>
  <c r="Q2215" i="9"/>
  <c r="Q2216" i="9"/>
  <c r="Q2217" i="9"/>
  <c r="Q2218" i="9"/>
  <c r="Q2219" i="9"/>
  <c r="Q2220" i="9"/>
  <c r="Q2221" i="9"/>
  <c r="Q2222" i="9"/>
  <c r="Q2223" i="9"/>
  <c r="Q2224" i="9"/>
  <c r="Q2225" i="9"/>
  <c r="Q2226" i="9"/>
  <c r="Q2227" i="9"/>
  <c r="Q2228" i="9"/>
  <c r="Q2229" i="9"/>
  <c r="Q2230" i="9"/>
  <c r="Q2231" i="9"/>
  <c r="Q2232" i="9"/>
  <c r="Q2233" i="9"/>
  <c r="Q2234" i="9"/>
  <c r="Q2235" i="9"/>
  <c r="Q2236" i="9"/>
  <c r="Q2237" i="9"/>
  <c r="Q2238" i="9"/>
  <c r="Q2239" i="9"/>
  <c r="Q2240" i="9"/>
  <c r="Q2241" i="9"/>
  <c r="Q2242" i="9"/>
  <c r="Q2243" i="9"/>
  <c r="Q2244" i="9"/>
  <c r="Q2245" i="9"/>
  <c r="Q2246" i="9"/>
  <c r="Q2247" i="9"/>
  <c r="Q2248" i="9"/>
  <c r="Q2249" i="9"/>
  <c r="Q2250" i="9"/>
  <c r="Q2251" i="9"/>
  <c r="Q2252" i="9"/>
  <c r="Q2253" i="9"/>
  <c r="Q2254" i="9"/>
  <c r="Q2255" i="9"/>
  <c r="Q2256" i="9"/>
  <c r="Q2257" i="9"/>
  <c r="Q2258" i="9"/>
  <c r="Q2259" i="9"/>
  <c r="Q2260" i="9"/>
  <c r="Q2261" i="9"/>
  <c r="Q2262" i="9"/>
  <c r="Q2263" i="9"/>
  <c r="Q2264" i="9"/>
  <c r="Q2265" i="9"/>
  <c r="Q2266" i="9"/>
  <c r="Q2267" i="9"/>
  <c r="Q2268" i="9"/>
  <c r="Q2269" i="9"/>
  <c r="Q2270" i="9"/>
  <c r="Q2271" i="9"/>
  <c r="Q2272" i="9"/>
  <c r="Q2273" i="9"/>
  <c r="Q2274" i="9"/>
  <c r="Q2275" i="9"/>
  <c r="Q2276" i="9"/>
  <c r="Q2277" i="9"/>
  <c r="Q2278" i="9"/>
  <c r="Q2279" i="9"/>
  <c r="Q2280" i="9"/>
  <c r="Q2281" i="9"/>
  <c r="Q2282" i="9"/>
  <c r="Q2283" i="9"/>
  <c r="Q2284" i="9"/>
  <c r="Q2285" i="9"/>
  <c r="Q2286" i="9"/>
  <c r="Q2287" i="9"/>
  <c r="Q2288" i="9"/>
  <c r="Q2289" i="9"/>
  <c r="Q2290" i="9"/>
  <c r="Q2291" i="9"/>
  <c r="Q2292" i="9"/>
  <c r="Q2293" i="9"/>
  <c r="Q2294" i="9"/>
  <c r="Q2295" i="9"/>
  <c r="Q2296" i="9"/>
  <c r="Q2297" i="9"/>
  <c r="Q2298" i="9"/>
  <c r="Q2299" i="9"/>
  <c r="Q2300" i="9"/>
  <c r="Q2301" i="9"/>
  <c r="Q2302" i="9"/>
  <c r="Q2303" i="9"/>
  <c r="Q2304" i="9"/>
  <c r="Q2305" i="9"/>
  <c r="Q2306" i="9"/>
  <c r="Q2307" i="9"/>
  <c r="Q2308" i="9"/>
  <c r="Q2309" i="9"/>
  <c r="Q2310" i="9"/>
  <c r="Q2311" i="9"/>
  <c r="Q2312" i="9"/>
  <c r="Q2313" i="9"/>
  <c r="Q2314" i="9"/>
  <c r="Q2315" i="9"/>
  <c r="Q2316" i="9"/>
  <c r="Q2317" i="9"/>
  <c r="Q2318" i="9"/>
  <c r="Q2319" i="9"/>
  <c r="Q2320" i="9"/>
  <c r="Q2321" i="9"/>
  <c r="Q2322" i="9"/>
  <c r="Q2323" i="9"/>
  <c r="Q2324" i="9"/>
  <c r="Q2325" i="9"/>
  <c r="Q2326" i="9"/>
  <c r="Q2327" i="9"/>
  <c r="Q2328" i="9"/>
  <c r="Q2329" i="9"/>
  <c r="Q2330" i="9"/>
  <c r="Q2331" i="9"/>
  <c r="Q2332" i="9"/>
  <c r="Q2333" i="9"/>
  <c r="Q2334" i="9"/>
  <c r="Q2335" i="9"/>
  <c r="Q2336" i="9"/>
  <c r="Q2337" i="9"/>
  <c r="Q2338" i="9"/>
  <c r="Q2339" i="9"/>
  <c r="Q2340" i="9"/>
  <c r="Q2341" i="9"/>
  <c r="Q2342" i="9"/>
  <c r="Q2343" i="9"/>
  <c r="Q2344" i="9"/>
  <c r="Q2345" i="9"/>
  <c r="Q2346" i="9"/>
  <c r="Q2347" i="9"/>
  <c r="Q2348" i="9"/>
  <c r="Q2349" i="9"/>
  <c r="Q2350" i="9"/>
  <c r="Q2351" i="9"/>
  <c r="Q2352" i="9"/>
  <c r="Q2353" i="9"/>
  <c r="Q2354" i="9"/>
  <c r="Q2355" i="9"/>
  <c r="Q2356" i="9"/>
  <c r="Q2357" i="9"/>
  <c r="Q2358" i="9"/>
  <c r="Q2359" i="9"/>
  <c r="Q2360" i="9"/>
  <c r="Q2361" i="9"/>
  <c r="Q2362" i="9"/>
  <c r="Q2363" i="9"/>
  <c r="Q2364" i="9"/>
  <c r="Q2365" i="9"/>
  <c r="Q2366" i="9"/>
  <c r="Q2367" i="9"/>
  <c r="Q2368" i="9"/>
  <c r="Q2369" i="9"/>
  <c r="Q2370" i="9"/>
  <c r="Q2371" i="9"/>
  <c r="Q2372" i="9"/>
  <c r="Q2373" i="9"/>
  <c r="Q2374" i="9"/>
  <c r="Q2375" i="9"/>
  <c r="Q2376" i="9"/>
  <c r="Q2377" i="9"/>
  <c r="Q2378" i="9"/>
  <c r="Q2379" i="9"/>
  <c r="Q2380" i="9"/>
  <c r="Q2381" i="9"/>
  <c r="Q2382" i="9"/>
  <c r="Q2383" i="9"/>
  <c r="Q2384" i="9"/>
  <c r="Q2385" i="9"/>
  <c r="Q2386" i="9"/>
  <c r="Q2387" i="9"/>
  <c r="Q2388" i="9"/>
  <c r="Q2389" i="9"/>
  <c r="Q2390" i="9"/>
  <c r="Q2391" i="9"/>
  <c r="Q2392" i="9"/>
  <c r="Q2393" i="9"/>
  <c r="Q2394" i="9"/>
  <c r="Q2395" i="9"/>
  <c r="Q2396" i="9"/>
  <c r="Q2397" i="9"/>
  <c r="Q2398" i="9"/>
  <c r="Q2399" i="9"/>
  <c r="Q2400" i="9"/>
  <c r="Q2401" i="9"/>
  <c r="Q2402" i="9"/>
  <c r="Q2403" i="9"/>
  <c r="Q2404" i="9"/>
  <c r="Q2405" i="9"/>
  <c r="Q2406" i="9"/>
  <c r="Q2407" i="9"/>
  <c r="Q2408" i="9"/>
  <c r="Q2409" i="9"/>
  <c r="Q2410" i="9"/>
  <c r="Q2411" i="9"/>
  <c r="Q2412" i="9"/>
  <c r="Q2413" i="9"/>
  <c r="Q2414" i="9"/>
  <c r="Q2415" i="9"/>
  <c r="Q2416" i="9"/>
  <c r="Q2417" i="9"/>
  <c r="Q2418" i="9"/>
  <c r="Q2419" i="9"/>
  <c r="Q2420" i="9"/>
  <c r="Q2421" i="9"/>
  <c r="Q2422" i="9"/>
  <c r="Q2423" i="9"/>
  <c r="Q2424" i="9"/>
  <c r="Q2425" i="9"/>
  <c r="Q2426" i="9"/>
  <c r="Q2427" i="9"/>
  <c r="Q2428" i="9"/>
  <c r="Q2429" i="9"/>
  <c r="Q2430" i="9"/>
  <c r="Q2431" i="9"/>
  <c r="Q2432" i="9"/>
  <c r="Q2433" i="9"/>
  <c r="Q2434" i="9"/>
  <c r="Q2435" i="9"/>
  <c r="Q2436" i="9"/>
  <c r="Q2437" i="9"/>
  <c r="Q2438" i="9"/>
  <c r="Q2439" i="9"/>
  <c r="Q2440" i="9"/>
  <c r="Q2441" i="9"/>
  <c r="Q2442" i="9"/>
  <c r="Q2443" i="9"/>
  <c r="Q2444" i="9"/>
  <c r="Q2445" i="9"/>
  <c r="Q2446" i="9"/>
  <c r="Q2447" i="9"/>
  <c r="Q2448" i="9"/>
  <c r="Q2449" i="9"/>
  <c r="Q2450" i="9"/>
  <c r="Q2451" i="9"/>
  <c r="Q2452" i="9"/>
  <c r="Q2453" i="9"/>
  <c r="Q2454" i="9"/>
  <c r="Q2455" i="9"/>
  <c r="Q2456" i="9"/>
  <c r="Q2457" i="9"/>
  <c r="Q2458" i="9"/>
  <c r="Q2459" i="9"/>
  <c r="Q2460" i="9"/>
  <c r="Q2461" i="9"/>
  <c r="Q2462" i="9"/>
  <c r="Q2463" i="9"/>
  <c r="Q2464" i="9"/>
  <c r="Q2465" i="9"/>
  <c r="Q2466" i="9"/>
  <c r="Q2467" i="9"/>
  <c r="Q2468" i="9"/>
  <c r="Q2469" i="9"/>
  <c r="Q2470" i="9"/>
  <c r="Q2471" i="9"/>
  <c r="Q2472" i="9"/>
  <c r="Q2473" i="9"/>
  <c r="Q2474" i="9"/>
  <c r="Q2475" i="9"/>
  <c r="Q2476" i="9"/>
  <c r="Q2477" i="9"/>
  <c r="Q2478" i="9"/>
  <c r="Q2479" i="9"/>
  <c r="Q2480" i="9"/>
  <c r="Q2481" i="9"/>
  <c r="Q2482" i="9"/>
  <c r="Q2483" i="9"/>
  <c r="Q2484" i="9"/>
  <c r="Q2485" i="9"/>
  <c r="Q2486" i="9"/>
  <c r="Q2487" i="9"/>
  <c r="Q2488" i="9"/>
  <c r="Q2489" i="9"/>
  <c r="Q2490" i="9"/>
  <c r="Q2491" i="9"/>
  <c r="Q2492" i="9"/>
  <c r="Q2493" i="9"/>
  <c r="Q2494" i="9"/>
  <c r="Q2495" i="9"/>
  <c r="Q2496" i="9"/>
  <c r="Q2497" i="9"/>
  <c r="Q2498" i="9"/>
  <c r="Q2499" i="9"/>
  <c r="Q2500" i="9"/>
  <c r="Q2501" i="9"/>
  <c r="Q2502" i="9"/>
  <c r="Q2503" i="9"/>
  <c r="Q2504" i="9"/>
  <c r="Q2505" i="9"/>
  <c r="Q2506" i="9"/>
  <c r="Q2507" i="9"/>
  <c r="Q2508" i="9"/>
  <c r="Q2509" i="9"/>
  <c r="Q2510" i="9"/>
  <c r="Q2511" i="9"/>
  <c r="Q2512" i="9"/>
  <c r="Q2513" i="9"/>
  <c r="Q2514" i="9"/>
  <c r="Q2515" i="9"/>
  <c r="Q2516" i="9"/>
  <c r="Q2517" i="9"/>
  <c r="Q2518" i="9"/>
  <c r="Q2519" i="9"/>
  <c r="Q2520" i="9"/>
  <c r="Q2521" i="9"/>
  <c r="Q2522" i="9"/>
  <c r="Q2523" i="9"/>
  <c r="Q2524" i="9"/>
  <c r="Q2525" i="9"/>
  <c r="Q2526" i="9"/>
  <c r="Q2527" i="9"/>
  <c r="Q2528" i="9"/>
  <c r="Q2529" i="9"/>
  <c r="Q2530" i="9"/>
  <c r="Q2531" i="9"/>
  <c r="Q2532" i="9"/>
  <c r="Q2533" i="9"/>
  <c r="Q2534" i="9"/>
  <c r="Q2535" i="9"/>
  <c r="Q2536" i="9"/>
  <c r="Q2537" i="9"/>
  <c r="Q2538" i="9"/>
  <c r="Q2539" i="9"/>
  <c r="Q2540" i="9"/>
  <c r="Q2541" i="9"/>
  <c r="Q2542" i="9"/>
  <c r="Q2543" i="9"/>
  <c r="Q2544" i="9"/>
  <c r="Q2545" i="9"/>
  <c r="Q2546" i="9"/>
  <c r="Q2547" i="9"/>
  <c r="Q2548" i="9"/>
  <c r="Q2549" i="9"/>
  <c r="Q2550" i="9"/>
  <c r="Q2551" i="9"/>
  <c r="Q2552" i="9"/>
  <c r="Q2553" i="9"/>
  <c r="Q2554" i="9"/>
  <c r="Q2555" i="9"/>
  <c r="Q2556" i="9"/>
  <c r="Q2557" i="9"/>
  <c r="Q2558" i="9"/>
  <c r="Q2559" i="9"/>
  <c r="Q2560" i="9"/>
  <c r="Q2561" i="9"/>
  <c r="Q2562" i="9"/>
  <c r="Q2563" i="9"/>
  <c r="Q2564" i="9"/>
  <c r="Q2565" i="9"/>
  <c r="Q2566" i="9"/>
  <c r="Q2567" i="9"/>
  <c r="Q2568" i="9"/>
  <c r="Q2569" i="9"/>
  <c r="Q2570" i="9"/>
  <c r="Q2571" i="9"/>
  <c r="Q2572" i="9"/>
  <c r="Q2573" i="9"/>
  <c r="Q2574" i="9"/>
  <c r="Q2575" i="9"/>
  <c r="Q2576" i="9"/>
  <c r="Q2577" i="9"/>
  <c r="Q2578" i="9"/>
  <c r="Q2579" i="9"/>
  <c r="Q2580" i="9"/>
  <c r="Q2581" i="9"/>
  <c r="Q2582" i="9"/>
  <c r="Q2583" i="9"/>
  <c r="Q2584" i="9"/>
  <c r="Q2585" i="9"/>
  <c r="Q2586" i="9"/>
  <c r="Q2587" i="9"/>
  <c r="Q2588" i="9"/>
  <c r="Q2589" i="9"/>
  <c r="Q2590" i="9"/>
  <c r="Q2591" i="9"/>
  <c r="Q2592" i="9"/>
  <c r="Q2593" i="9"/>
  <c r="Q2594" i="9"/>
  <c r="Q2595" i="9"/>
  <c r="Q2596" i="9"/>
  <c r="Q2597" i="9"/>
  <c r="Q2598" i="9"/>
  <c r="Q2599" i="9"/>
  <c r="Q2600" i="9"/>
  <c r="Q2601" i="9"/>
  <c r="Q2602" i="9"/>
  <c r="Q2603" i="9"/>
  <c r="Q2604" i="9"/>
  <c r="Q2605" i="9"/>
  <c r="Q2606" i="9"/>
  <c r="Q2607" i="9"/>
  <c r="Q2608" i="9"/>
  <c r="Q2609" i="9"/>
  <c r="Q2610" i="9"/>
  <c r="Q2611" i="9"/>
  <c r="Q2612" i="9"/>
  <c r="Q2613" i="9"/>
  <c r="Q2614" i="9"/>
  <c r="Q2615" i="9"/>
  <c r="Q2616" i="9"/>
  <c r="Q2617" i="9"/>
  <c r="Q2618" i="9"/>
  <c r="Q2619" i="9"/>
  <c r="Q2620" i="9"/>
  <c r="Q2621" i="9"/>
  <c r="Q2622" i="9"/>
  <c r="Q2623" i="9"/>
  <c r="Q2624" i="9"/>
  <c r="Q2625" i="9"/>
  <c r="Q2626" i="9"/>
  <c r="Q2627" i="9"/>
  <c r="Q2628" i="9"/>
  <c r="Q2629" i="9"/>
  <c r="Q2630" i="9"/>
  <c r="Q2631" i="9"/>
  <c r="Q2632" i="9"/>
  <c r="Q2633" i="9"/>
  <c r="Q2634" i="9"/>
  <c r="Q2635" i="9"/>
  <c r="Q2636" i="9"/>
  <c r="Q2637" i="9"/>
  <c r="Q2638" i="9"/>
  <c r="Q2639" i="9"/>
  <c r="Q2640" i="9"/>
  <c r="Q2641" i="9"/>
  <c r="Q2642" i="9"/>
  <c r="Q2643" i="9"/>
  <c r="Q2644" i="9"/>
  <c r="Q2645" i="9"/>
  <c r="Q2646" i="9"/>
  <c r="Q2647" i="9"/>
  <c r="Q2648" i="9"/>
  <c r="Q2649" i="9"/>
  <c r="Q2650" i="9"/>
  <c r="Q2651" i="9"/>
  <c r="Q2652" i="9"/>
  <c r="Q2653" i="9"/>
  <c r="Q2654" i="9"/>
  <c r="Q2655" i="9"/>
  <c r="Q2656" i="9"/>
  <c r="Q2657" i="9"/>
  <c r="Q2658" i="9"/>
  <c r="Q2659" i="9"/>
  <c r="Q2660" i="9"/>
  <c r="Q2661" i="9"/>
  <c r="Q2662" i="9"/>
  <c r="Q2663" i="9"/>
  <c r="Q2664" i="9"/>
  <c r="Q2665" i="9"/>
  <c r="Q2666" i="9"/>
  <c r="Q2667" i="9"/>
  <c r="Q2668" i="9"/>
  <c r="Q2669" i="9"/>
  <c r="Q2670" i="9"/>
  <c r="Q2671" i="9"/>
  <c r="Q2672" i="9"/>
  <c r="Q2673" i="9"/>
  <c r="Q2674" i="9"/>
  <c r="Q2675" i="9"/>
  <c r="Q2676" i="9"/>
  <c r="Q2677" i="9"/>
  <c r="Q2678" i="9"/>
  <c r="Q2679" i="9"/>
  <c r="Q2680" i="9"/>
  <c r="Q2681" i="9"/>
  <c r="Q2682" i="9"/>
  <c r="Q2683" i="9"/>
  <c r="Q2684" i="9"/>
  <c r="Q2685" i="9"/>
  <c r="Q2686" i="9"/>
  <c r="Q2687" i="9"/>
  <c r="Q2688" i="9"/>
  <c r="Q2689" i="9"/>
  <c r="Q2690" i="9"/>
  <c r="Q2691" i="9"/>
  <c r="Q2692" i="9"/>
  <c r="Q2693" i="9"/>
  <c r="Q2694" i="9"/>
  <c r="Q2695" i="9"/>
  <c r="Q2696" i="9"/>
  <c r="Q2697" i="9"/>
  <c r="Q2698" i="9"/>
  <c r="Q2699" i="9"/>
  <c r="Q2700" i="9"/>
  <c r="Q2701" i="9"/>
  <c r="Q2702" i="9"/>
  <c r="Q2703" i="9"/>
  <c r="Q2704" i="9"/>
  <c r="Q2705" i="9"/>
  <c r="Q2706" i="9"/>
  <c r="Q2707" i="9"/>
  <c r="Q2708" i="9"/>
  <c r="Q2709" i="9"/>
  <c r="Q2710" i="9"/>
  <c r="Q2711" i="9"/>
  <c r="Q2712" i="9"/>
  <c r="Q2713" i="9"/>
  <c r="Q2714" i="9"/>
  <c r="Q2715" i="9"/>
  <c r="Q2716" i="9"/>
  <c r="Q2717" i="9"/>
  <c r="Q2718" i="9"/>
  <c r="Q2719" i="9"/>
  <c r="Q2720" i="9"/>
  <c r="Q2721" i="9"/>
  <c r="Q2722" i="9"/>
  <c r="Q2723" i="9"/>
  <c r="Q2724" i="9"/>
  <c r="Q2725" i="9"/>
  <c r="Q2726" i="9"/>
  <c r="Q2727" i="9"/>
  <c r="Q2728" i="9"/>
  <c r="Q2729" i="9"/>
  <c r="Q2730" i="9"/>
  <c r="Q2731" i="9"/>
  <c r="Q2732" i="9"/>
  <c r="Q2733" i="9"/>
  <c r="Q2734" i="9"/>
  <c r="Q2735" i="9"/>
  <c r="Q2736" i="9"/>
  <c r="Q2737" i="9"/>
  <c r="Q2738" i="9"/>
  <c r="Q2739" i="9"/>
  <c r="Q2740" i="9"/>
  <c r="Q2741" i="9"/>
  <c r="Q2742" i="9"/>
  <c r="Q2743" i="9"/>
  <c r="Q2744" i="9"/>
  <c r="Q2745" i="9"/>
  <c r="Q2746" i="9"/>
  <c r="Q2747" i="9"/>
  <c r="Q2748" i="9"/>
  <c r="Q2749" i="9"/>
  <c r="Q2750" i="9"/>
  <c r="Q2751" i="9"/>
  <c r="Q2752" i="9"/>
  <c r="Q2753" i="9"/>
  <c r="Q2754" i="9"/>
  <c r="Q2755" i="9"/>
  <c r="Q2756" i="9"/>
  <c r="Q2757" i="9"/>
  <c r="Q2758" i="9"/>
  <c r="Q2759" i="9"/>
  <c r="Q2760" i="9"/>
  <c r="Q2761" i="9"/>
  <c r="Q2762" i="9"/>
  <c r="Q2763" i="9"/>
  <c r="Q2764" i="9"/>
  <c r="Q2765" i="9"/>
  <c r="Q2766" i="9"/>
  <c r="Q2767" i="9"/>
  <c r="Q2768" i="9"/>
  <c r="Q2769" i="9"/>
  <c r="Q2770" i="9"/>
  <c r="Q2771" i="9"/>
  <c r="Q2772" i="9"/>
  <c r="Q2773" i="9"/>
  <c r="Q2774" i="9"/>
  <c r="Q2775" i="9"/>
  <c r="Q2776" i="9"/>
  <c r="Q2777" i="9"/>
  <c r="Q2778" i="9"/>
  <c r="Q2779" i="9"/>
  <c r="Q2780" i="9"/>
  <c r="Q2781" i="9"/>
  <c r="Q2782" i="9"/>
  <c r="Q2783" i="9"/>
  <c r="Q2784" i="9"/>
  <c r="Q2785" i="9"/>
  <c r="Q2786" i="9"/>
  <c r="Q2787" i="9"/>
  <c r="Q2788" i="9"/>
  <c r="Q2789" i="9"/>
  <c r="Q2790" i="9"/>
  <c r="Q2791" i="9"/>
  <c r="Q2792" i="9"/>
  <c r="Q2793" i="9"/>
  <c r="Q2794" i="9"/>
  <c r="Q2795" i="9"/>
  <c r="Q2796" i="9"/>
  <c r="Q2797" i="9"/>
  <c r="Q2798" i="9"/>
  <c r="Q2799" i="9"/>
  <c r="Q2800" i="9"/>
  <c r="Q2801" i="9"/>
  <c r="Q2802" i="9"/>
  <c r="Q2803" i="9"/>
  <c r="Q2804" i="9"/>
  <c r="Q2805" i="9"/>
  <c r="Q2806" i="9"/>
  <c r="Q2807" i="9"/>
  <c r="Q2808" i="9"/>
  <c r="Q2809" i="9"/>
  <c r="Q2810" i="9"/>
  <c r="Q2811" i="9"/>
  <c r="Q2812" i="9"/>
  <c r="Q2813" i="9"/>
  <c r="Q2814" i="9"/>
  <c r="Q2815" i="9"/>
  <c r="Q2816" i="9"/>
  <c r="Q2817" i="9"/>
  <c r="Q2818" i="9"/>
  <c r="Q2819" i="9"/>
  <c r="Q2820" i="9"/>
  <c r="Q2821" i="9"/>
  <c r="Q2822" i="9"/>
  <c r="Q2823" i="9"/>
  <c r="Q2824" i="9"/>
  <c r="Q2825" i="9"/>
  <c r="Q2826" i="9"/>
  <c r="Q2827" i="9"/>
  <c r="Q2828" i="9"/>
  <c r="Q2829" i="9"/>
  <c r="Q2830" i="9"/>
  <c r="Q2831" i="9"/>
  <c r="Q2832" i="9"/>
  <c r="Q2833" i="9"/>
  <c r="Q2834" i="9"/>
  <c r="Q2835" i="9"/>
  <c r="Q2836" i="9"/>
  <c r="Q2837" i="9"/>
  <c r="Q2838" i="9"/>
  <c r="Q2839" i="9"/>
  <c r="Q2840" i="9"/>
  <c r="Q2841" i="9"/>
  <c r="Q2842" i="9"/>
  <c r="Q2843" i="9"/>
  <c r="Q2844" i="9"/>
  <c r="Q2845" i="9"/>
  <c r="Q2846" i="9"/>
  <c r="Q2847" i="9"/>
  <c r="Q2848" i="9"/>
  <c r="Q2849" i="9"/>
  <c r="Q2850" i="9"/>
  <c r="Q2851" i="9"/>
  <c r="Q2852" i="9"/>
  <c r="Q2853" i="9"/>
  <c r="Q2854" i="9"/>
  <c r="Q2855" i="9"/>
  <c r="Q2856" i="9"/>
  <c r="Q2857" i="9"/>
  <c r="Q2858" i="9"/>
  <c r="Q2859" i="9"/>
  <c r="Q2860" i="9"/>
  <c r="Q2861" i="9"/>
  <c r="Q2862" i="9"/>
  <c r="Q2863" i="9"/>
  <c r="Q2864" i="9"/>
  <c r="Q2865" i="9"/>
  <c r="Q2866" i="9"/>
  <c r="Q2867" i="9"/>
  <c r="Q2868" i="9"/>
  <c r="Q2869" i="9"/>
  <c r="Q2870" i="9"/>
  <c r="Q2871" i="9"/>
  <c r="Q2872" i="9"/>
  <c r="Q2873" i="9"/>
  <c r="Q2874" i="9"/>
  <c r="Q2875" i="9"/>
  <c r="Q2876" i="9"/>
  <c r="Q2877" i="9"/>
  <c r="Q2878" i="9"/>
  <c r="Q2879" i="9"/>
  <c r="Q2880" i="9"/>
  <c r="Q2881" i="9"/>
  <c r="Q2882" i="9"/>
  <c r="Q2883" i="9"/>
  <c r="Q2884" i="9"/>
  <c r="Q2885" i="9"/>
  <c r="Q2886" i="9"/>
  <c r="Q2887" i="9"/>
  <c r="Q2888" i="9"/>
  <c r="Q2889" i="9"/>
  <c r="Q2890" i="9"/>
  <c r="Q2891" i="9"/>
  <c r="Q2892" i="9"/>
  <c r="Q2893" i="9"/>
  <c r="Q2894" i="9"/>
  <c r="Q2895" i="9"/>
  <c r="Q2896" i="9"/>
  <c r="Q2897" i="9"/>
  <c r="Q2898" i="9"/>
  <c r="Q2899" i="9"/>
  <c r="Q2900" i="9"/>
  <c r="Q2901" i="9"/>
  <c r="Q2902" i="9"/>
  <c r="Q2903" i="9"/>
  <c r="Q2904" i="9"/>
  <c r="Q2905" i="9"/>
  <c r="Q2906" i="9"/>
  <c r="Q2907" i="9"/>
  <c r="Q2908" i="9"/>
  <c r="Q2909" i="9"/>
  <c r="Q2910" i="9"/>
  <c r="Q2911" i="9"/>
  <c r="Q2912" i="9"/>
  <c r="Q2913" i="9"/>
  <c r="Q2914" i="9"/>
  <c r="Q2915" i="9"/>
  <c r="Q2916" i="9"/>
  <c r="Q2917" i="9"/>
  <c r="Q2918" i="9"/>
  <c r="Q2919" i="9"/>
  <c r="Q2920" i="9"/>
  <c r="Q2921" i="9"/>
  <c r="Q2922" i="9"/>
  <c r="Q2923" i="9"/>
  <c r="Q2924" i="9"/>
  <c r="Q2925" i="9"/>
  <c r="Q2926" i="9"/>
  <c r="Q2927" i="9"/>
  <c r="Q2928" i="9"/>
  <c r="Q2929" i="9"/>
  <c r="Q2930" i="9"/>
  <c r="Q2931" i="9"/>
  <c r="Q2932" i="9"/>
  <c r="Q2933" i="9"/>
  <c r="Q2934" i="9"/>
  <c r="Q2935" i="9"/>
  <c r="Q2936" i="9"/>
  <c r="Q2937" i="9"/>
  <c r="Q2938" i="9"/>
  <c r="Q2939" i="9"/>
  <c r="Q2940" i="9"/>
  <c r="Q2941" i="9"/>
  <c r="Q2942" i="9"/>
  <c r="Q2943" i="9"/>
  <c r="Q2944" i="9"/>
  <c r="Q2945" i="9"/>
  <c r="Q2946" i="9"/>
  <c r="Q2947" i="9"/>
  <c r="Q2948" i="9"/>
  <c r="Q2949" i="9"/>
  <c r="Q2950" i="9"/>
  <c r="Q2951" i="9"/>
  <c r="Q2952" i="9"/>
  <c r="Q2953" i="9"/>
  <c r="Q2954" i="9"/>
  <c r="Q2955" i="9"/>
  <c r="Q2956" i="9"/>
  <c r="Q2957" i="9"/>
  <c r="Q2958" i="9"/>
  <c r="Q2959" i="9"/>
  <c r="Q2960" i="9"/>
  <c r="Q2961" i="9"/>
  <c r="Q2962" i="9"/>
  <c r="Q2963" i="9"/>
  <c r="Q2964" i="9"/>
  <c r="Q2965" i="9"/>
  <c r="Q2966" i="9"/>
  <c r="Q2967" i="9"/>
  <c r="Q2968" i="9"/>
  <c r="Q2969" i="9"/>
  <c r="Q2970" i="9"/>
  <c r="Q2971" i="9"/>
  <c r="Q2972" i="9"/>
  <c r="Q2973" i="9"/>
  <c r="Q2974" i="9"/>
  <c r="Q2975" i="9"/>
  <c r="Q2976" i="9"/>
  <c r="Q2977" i="9"/>
  <c r="Q2978" i="9"/>
  <c r="Q2979" i="9"/>
  <c r="Q2980" i="9"/>
  <c r="Q2981" i="9"/>
  <c r="Q2982" i="9"/>
  <c r="Q2983" i="9"/>
  <c r="Q2984" i="9"/>
  <c r="Q2985" i="9"/>
  <c r="Q2986" i="9"/>
  <c r="Q2987" i="9"/>
  <c r="Q2988" i="9"/>
  <c r="Q2989" i="9"/>
  <c r="Q2990" i="9"/>
  <c r="Q2991" i="9"/>
  <c r="Q2992" i="9"/>
  <c r="Q2993" i="9"/>
  <c r="Q2994" i="9"/>
  <c r="Q2995" i="9"/>
  <c r="Q2996" i="9"/>
  <c r="Q2997" i="9"/>
  <c r="Q2998" i="9"/>
  <c r="Q2999" i="9"/>
  <c r="Q3000" i="9"/>
  <c r="Q3001" i="9"/>
  <c r="Q3002" i="9"/>
  <c r="Q3003" i="9"/>
  <c r="Q3004" i="9"/>
  <c r="Q3005" i="9"/>
  <c r="Q3006" i="9"/>
  <c r="Q3007" i="9"/>
  <c r="Q3008" i="9"/>
  <c r="Q3009" i="9"/>
  <c r="Q3010" i="9"/>
  <c r="Q3011" i="9"/>
  <c r="Q3012" i="9"/>
  <c r="Q3013" i="9"/>
  <c r="Q3014" i="9"/>
  <c r="Q3015" i="9"/>
  <c r="Q3016" i="9"/>
  <c r="Q3017" i="9"/>
  <c r="Q3018" i="9"/>
  <c r="Q3019" i="9"/>
  <c r="Q3020" i="9"/>
  <c r="Q3021" i="9"/>
  <c r="Q3022" i="9"/>
  <c r="Q3023" i="9"/>
  <c r="Q3024" i="9"/>
  <c r="Q3025" i="9"/>
  <c r="Q3026" i="9"/>
  <c r="Q3027" i="9"/>
  <c r="Q3028" i="9"/>
  <c r="Q3029" i="9"/>
  <c r="Q3030" i="9"/>
  <c r="Q3031" i="9"/>
  <c r="Q3032" i="9"/>
  <c r="Q3033" i="9"/>
  <c r="Q3034" i="9"/>
  <c r="Q3035" i="9"/>
  <c r="Q3036" i="9"/>
  <c r="Q3037" i="9"/>
  <c r="Q3038" i="9"/>
  <c r="Q3039" i="9"/>
  <c r="Q3040" i="9"/>
  <c r="Q3041" i="9"/>
  <c r="Q3042" i="9"/>
  <c r="Q3043" i="9"/>
  <c r="Q3044" i="9"/>
  <c r="Q3046" i="9"/>
  <c r="Q3047" i="9"/>
  <c r="Q3048" i="9"/>
  <c r="Q3050" i="9"/>
  <c r="Q3051" i="9"/>
  <c r="Q3052" i="9"/>
  <c r="Q3054" i="9"/>
  <c r="Q3055" i="9"/>
  <c r="Q3056" i="9"/>
  <c r="Q3058" i="9"/>
  <c r="Q3059" i="9"/>
  <c r="Q3060" i="9"/>
  <c r="Q3062" i="9"/>
  <c r="Q3063" i="9"/>
  <c r="Q3064" i="9"/>
  <c r="Q3066" i="9"/>
  <c r="Q3067" i="9"/>
  <c r="Q3068" i="9"/>
  <c r="Q3070" i="9"/>
  <c r="Q3071" i="9"/>
  <c r="Q3072" i="9"/>
  <c r="Q3074" i="9"/>
  <c r="Q3075" i="9"/>
  <c r="Q3076" i="9"/>
  <c r="Q3079" i="9"/>
  <c r="Q3080" i="9"/>
  <c r="Q3083" i="9"/>
  <c r="Q3084" i="9"/>
  <c r="Q3087" i="9"/>
  <c r="Q3088" i="9"/>
  <c r="Q3091" i="9"/>
  <c r="Q3092" i="9"/>
  <c r="Q3095" i="9"/>
  <c r="Q3096" i="9"/>
  <c r="Q3099" i="9"/>
  <c r="Q3100" i="9"/>
  <c r="Q3103" i="9"/>
  <c r="Q3104" i="9"/>
  <c r="Q3107" i="9"/>
  <c r="Q3108" i="9"/>
  <c r="Q3111" i="9"/>
  <c r="Q3112" i="9"/>
  <c r="Q3115" i="9"/>
  <c r="Q3116" i="9"/>
  <c r="Q3119" i="9"/>
  <c r="Q3120" i="9"/>
  <c r="Q3123" i="9"/>
  <c r="Q3124" i="9"/>
  <c r="Q3127" i="9"/>
  <c r="Q3128" i="9"/>
  <c r="Q3131" i="9"/>
  <c r="Q3132" i="9"/>
  <c r="Q3135" i="9"/>
  <c r="Q3136" i="9"/>
  <c r="Q3139" i="9"/>
  <c r="Q3140" i="9"/>
  <c r="Q3143" i="9"/>
  <c r="Q3144" i="9"/>
  <c r="Q3147" i="9"/>
  <c r="Q3148" i="9"/>
  <c r="Q3151" i="9"/>
  <c r="Q3152" i="9"/>
  <c r="Q3155" i="9"/>
  <c r="Q3156" i="9"/>
  <c r="Q3159" i="9"/>
  <c r="Q2" i="9"/>
  <c r="H86" i="16"/>
  <c r="F86" i="16"/>
  <c r="H85" i="16"/>
  <c r="F85" i="16"/>
  <c r="H84" i="16"/>
  <c r="F84" i="16"/>
  <c r="H83" i="16"/>
  <c r="F83" i="16"/>
  <c r="H82" i="16"/>
  <c r="F82" i="16"/>
  <c r="H81" i="16"/>
  <c r="F81" i="16"/>
  <c r="H80" i="16"/>
  <c r="F80" i="16"/>
  <c r="H79" i="16"/>
  <c r="F79" i="16"/>
  <c r="H78" i="16"/>
  <c r="F78" i="16"/>
  <c r="H77" i="16"/>
  <c r="F77" i="16"/>
  <c r="H76" i="16"/>
  <c r="F76" i="16"/>
  <c r="H75" i="16"/>
  <c r="F75" i="16"/>
  <c r="H74" i="16"/>
  <c r="F74" i="16"/>
  <c r="H73" i="16"/>
  <c r="F73" i="16"/>
  <c r="H72" i="16"/>
  <c r="F72" i="16"/>
  <c r="H71" i="16"/>
  <c r="F71" i="16"/>
  <c r="H70" i="16"/>
  <c r="F70" i="16"/>
  <c r="H69" i="16"/>
  <c r="F69" i="16"/>
  <c r="H68" i="16"/>
  <c r="F68" i="16"/>
  <c r="H67" i="16"/>
  <c r="F67" i="16"/>
  <c r="H66" i="16"/>
  <c r="F66" i="16"/>
  <c r="H65" i="16"/>
  <c r="F65" i="16"/>
  <c r="H64" i="16"/>
  <c r="F64" i="16"/>
  <c r="H63" i="16"/>
  <c r="F63" i="16"/>
  <c r="H62" i="16"/>
  <c r="F62" i="16"/>
  <c r="H61" i="16"/>
  <c r="F61" i="16"/>
  <c r="H60" i="16"/>
  <c r="F60" i="16"/>
  <c r="H59" i="16"/>
  <c r="F59" i="16"/>
  <c r="H58" i="16"/>
  <c r="F58" i="16"/>
  <c r="H57" i="16"/>
  <c r="F57" i="16"/>
  <c r="H56" i="16"/>
  <c r="F56" i="16"/>
  <c r="H55" i="16"/>
  <c r="F55" i="16"/>
  <c r="H54" i="16"/>
  <c r="F54" i="16"/>
  <c r="H53" i="16"/>
  <c r="F53" i="16"/>
  <c r="H52" i="16"/>
  <c r="F52" i="16"/>
  <c r="H51" i="16"/>
  <c r="F51" i="16"/>
  <c r="H50" i="16"/>
  <c r="F50" i="16"/>
  <c r="H49" i="16"/>
  <c r="F49" i="16"/>
  <c r="H48" i="16"/>
  <c r="F48" i="16"/>
  <c r="H47" i="16"/>
  <c r="F47" i="16"/>
  <c r="H46" i="16"/>
  <c r="F46" i="16"/>
  <c r="H45" i="16"/>
  <c r="F45" i="16"/>
  <c r="H44" i="16"/>
  <c r="F44" i="16"/>
  <c r="H43" i="16"/>
  <c r="F43" i="16"/>
  <c r="H42" i="16"/>
  <c r="F42" i="16"/>
  <c r="H41" i="16"/>
  <c r="F41" i="16"/>
  <c r="H40" i="16"/>
  <c r="F40" i="16"/>
  <c r="H39" i="16"/>
  <c r="F39" i="16"/>
  <c r="H38" i="16"/>
  <c r="F38" i="16"/>
  <c r="H37" i="16"/>
  <c r="F37" i="16"/>
  <c r="H36" i="16"/>
  <c r="F36" i="16"/>
  <c r="H35" i="16"/>
  <c r="F35" i="16"/>
  <c r="H34" i="16"/>
  <c r="F34" i="16"/>
  <c r="H33" i="16"/>
  <c r="F33" i="16"/>
  <c r="H32" i="16"/>
  <c r="F32" i="16"/>
  <c r="H31" i="16"/>
  <c r="F31" i="16"/>
  <c r="H30" i="16"/>
  <c r="F30" i="16"/>
  <c r="H29" i="16"/>
  <c r="F29" i="16"/>
  <c r="H28" i="16"/>
  <c r="F28" i="16"/>
  <c r="H27" i="16"/>
  <c r="F27" i="16"/>
  <c r="H26" i="16"/>
  <c r="F26" i="16"/>
  <c r="H25" i="16"/>
  <c r="F25" i="16"/>
  <c r="H24" i="16"/>
  <c r="F24" i="16"/>
  <c r="H23" i="16"/>
  <c r="F23" i="16"/>
  <c r="H22" i="16"/>
  <c r="F22" i="16"/>
  <c r="H21" i="16"/>
  <c r="F21" i="16"/>
  <c r="H20" i="16"/>
  <c r="F20" i="16"/>
  <c r="H19" i="16"/>
  <c r="F19" i="16"/>
  <c r="H18" i="16"/>
  <c r="F18" i="16"/>
  <c r="H17" i="16"/>
  <c r="F17" i="16"/>
  <c r="H16" i="16"/>
  <c r="F16" i="16"/>
  <c r="H15" i="16"/>
  <c r="F15" i="16"/>
  <c r="H14" i="16"/>
  <c r="F14" i="16"/>
  <c r="H13" i="16"/>
  <c r="F13" i="16"/>
  <c r="H12" i="16"/>
  <c r="F12" i="16"/>
  <c r="H11" i="16"/>
  <c r="F11" i="16"/>
  <c r="H10" i="16"/>
  <c r="F10" i="16"/>
  <c r="H9" i="16"/>
  <c r="F9" i="16"/>
  <c r="H8" i="16"/>
  <c r="F8" i="16"/>
  <c r="H7" i="16"/>
  <c r="F7" i="16"/>
  <c r="H6" i="16"/>
  <c r="F6" i="16"/>
  <c r="H5" i="16"/>
  <c r="F5" i="16"/>
  <c r="H4" i="16"/>
  <c r="F4" i="16"/>
  <c r="H3" i="16"/>
  <c r="F3" i="16"/>
  <c r="H2" i="16"/>
  <c r="F2" i="16"/>
  <c r="AK14" i="13" l="1"/>
  <c r="AK15" i="13"/>
  <c r="AK16" i="13"/>
  <c r="AK17" i="13"/>
  <c r="AK18" i="13"/>
  <c r="AK19" i="13"/>
  <c r="AK20" i="13"/>
  <c r="AK21" i="13"/>
  <c r="AK22" i="13"/>
  <c r="AK6" i="13"/>
  <c r="AK7" i="13"/>
  <c r="AK8" i="13"/>
  <c r="AK9" i="13"/>
  <c r="AK10" i="13"/>
  <c r="AK11" i="13"/>
  <c r="AK12" i="13"/>
  <c r="AK5" i="13"/>
  <c r="AI6" i="13"/>
  <c r="AI7" i="13"/>
  <c r="AI8" i="13"/>
  <c r="AI9" i="13"/>
  <c r="AI10" i="13"/>
  <c r="AI11" i="13"/>
  <c r="AI12" i="13"/>
  <c r="AI14" i="13"/>
  <c r="AI15" i="13"/>
  <c r="AI16" i="13"/>
  <c r="AI17" i="13"/>
  <c r="AI18" i="13"/>
  <c r="AI19" i="13"/>
  <c r="AI20" i="13"/>
  <c r="AI21" i="13"/>
  <c r="AI22" i="13"/>
  <c r="AI5" i="13"/>
  <c r="AA3" i="13"/>
  <c r="I6" i="12"/>
  <c r="J6" i="12"/>
  <c r="I7" i="12"/>
  <c r="J7" i="12"/>
  <c r="I8" i="12"/>
  <c r="J8" i="12"/>
  <c r="I9" i="12"/>
  <c r="J9" i="12"/>
  <c r="I10" i="12"/>
  <c r="J10" i="12"/>
  <c r="I11" i="12"/>
  <c r="J11" i="12"/>
  <c r="I12" i="12"/>
  <c r="J12" i="12"/>
  <c r="I13" i="12"/>
  <c r="J13" i="12"/>
  <c r="I14" i="12"/>
  <c r="J14" i="12"/>
  <c r="I15" i="12"/>
  <c r="J15" i="12"/>
  <c r="I16" i="12"/>
  <c r="J16" i="12"/>
  <c r="I17" i="12"/>
  <c r="J17" i="12"/>
  <c r="I18" i="12"/>
  <c r="J18" i="12"/>
  <c r="I19" i="12"/>
  <c r="J19" i="12"/>
  <c r="I20" i="12"/>
  <c r="J20" i="12"/>
  <c r="I21" i="12"/>
  <c r="J21" i="12"/>
  <c r="I22" i="12"/>
  <c r="J22" i="12"/>
  <c r="I23" i="12"/>
  <c r="J23" i="12"/>
  <c r="I24" i="12"/>
  <c r="J24" i="12"/>
  <c r="I25" i="12"/>
  <c r="J25" i="12"/>
  <c r="I26" i="12"/>
  <c r="J26" i="12"/>
  <c r="I27" i="12"/>
  <c r="J27" i="12"/>
  <c r="I28" i="12"/>
  <c r="J28" i="12"/>
  <c r="I29" i="12"/>
  <c r="J29" i="12"/>
  <c r="I30" i="12"/>
  <c r="J30" i="12"/>
  <c r="I31" i="12"/>
  <c r="J31" i="12"/>
  <c r="I32" i="12"/>
  <c r="J32" i="12"/>
  <c r="I33" i="12"/>
  <c r="J33" i="12"/>
  <c r="I34" i="12"/>
  <c r="J34" i="12"/>
  <c r="I35" i="12"/>
  <c r="J35" i="12"/>
  <c r="I36" i="12"/>
  <c r="J36" i="12"/>
  <c r="I37" i="12"/>
  <c r="J37" i="12"/>
  <c r="I38" i="12"/>
  <c r="J38" i="12"/>
  <c r="I39" i="12"/>
  <c r="J39" i="12"/>
  <c r="I40" i="12"/>
  <c r="J40" i="12"/>
  <c r="I41" i="12"/>
  <c r="J41" i="12"/>
  <c r="I42" i="12"/>
  <c r="J42" i="12"/>
  <c r="I43" i="12"/>
  <c r="J43" i="12"/>
  <c r="I44" i="12"/>
  <c r="J44" i="12"/>
  <c r="I45" i="12"/>
  <c r="J45" i="12"/>
  <c r="I46" i="12"/>
  <c r="J46" i="12"/>
  <c r="I47" i="12"/>
  <c r="J47" i="12"/>
  <c r="I48" i="12"/>
  <c r="J48" i="12"/>
  <c r="I49" i="12"/>
  <c r="J49" i="12"/>
  <c r="I50" i="12"/>
  <c r="J50" i="12"/>
  <c r="I51" i="12"/>
  <c r="J51" i="12"/>
  <c r="I52" i="12"/>
  <c r="J52" i="12"/>
  <c r="I53" i="12"/>
  <c r="J53" i="12"/>
  <c r="I54" i="12"/>
  <c r="J54" i="12"/>
  <c r="I55" i="12"/>
  <c r="J55" i="12"/>
  <c r="I56" i="12"/>
  <c r="J56" i="12"/>
  <c r="I57" i="12"/>
  <c r="J57" i="12"/>
  <c r="I58" i="12"/>
  <c r="J58" i="12"/>
  <c r="I59" i="12"/>
  <c r="J59" i="12"/>
  <c r="I60" i="12"/>
  <c r="J60" i="12"/>
  <c r="I61" i="12"/>
  <c r="J61" i="12"/>
  <c r="I62" i="12"/>
  <c r="J62" i="12"/>
  <c r="I63" i="12"/>
  <c r="J63" i="12"/>
  <c r="I64" i="12"/>
  <c r="J64" i="12"/>
  <c r="I65" i="12"/>
  <c r="J65" i="12"/>
  <c r="I66" i="12"/>
  <c r="J66" i="12"/>
  <c r="I67" i="12"/>
  <c r="J67" i="12"/>
  <c r="I68" i="12"/>
  <c r="J68" i="12"/>
  <c r="I69" i="12"/>
  <c r="J69" i="12"/>
  <c r="I70" i="12"/>
  <c r="J70" i="12"/>
  <c r="I71" i="12"/>
  <c r="J71" i="12"/>
  <c r="I72" i="12"/>
  <c r="J72" i="12"/>
  <c r="I73" i="12"/>
  <c r="J73" i="12"/>
  <c r="I74" i="12"/>
  <c r="J74" i="12"/>
  <c r="I75" i="12"/>
  <c r="J75" i="12"/>
  <c r="I76" i="12"/>
  <c r="J76" i="12"/>
  <c r="I77" i="12"/>
  <c r="J77" i="12"/>
  <c r="I78" i="12"/>
  <c r="J78" i="12"/>
  <c r="I79" i="12"/>
  <c r="J79" i="12"/>
  <c r="I80" i="12"/>
  <c r="J80" i="12"/>
  <c r="I81" i="12"/>
  <c r="J81" i="12"/>
  <c r="I82" i="12"/>
  <c r="J82" i="12"/>
  <c r="I83" i="12"/>
  <c r="J83" i="12"/>
  <c r="I84" i="12"/>
  <c r="J84" i="12"/>
  <c r="I85" i="12"/>
  <c r="J85" i="12"/>
  <c r="I86" i="12"/>
  <c r="J86" i="12"/>
  <c r="I87" i="12"/>
  <c r="J87" i="12"/>
  <c r="I88" i="12"/>
  <c r="J88" i="12"/>
  <c r="I89" i="12"/>
  <c r="J89" i="12"/>
  <c r="I90" i="12"/>
  <c r="J90" i="12"/>
  <c r="I91" i="12"/>
  <c r="J91" i="12"/>
  <c r="I92" i="12"/>
  <c r="J92" i="12"/>
  <c r="I93" i="12"/>
  <c r="J93" i="12"/>
  <c r="I94" i="12"/>
  <c r="J94" i="12"/>
  <c r="I95" i="12"/>
  <c r="J95" i="12"/>
  <c r="I96" i="12"/>
  <c r="J96" i="12"/>
  <c r="I97" i="12"/>
  <c r="J97" i="12"/>
  <c r="I98" i="12"/>
  <c r="J98" i="12"/>
  <c r="I99" i="12"/>
  <c r="J99" i="12"/>
  <c r="I100" i="12"/>
  <c r="J100" i="12"/>
  <c r="I101" i="12"/>
  <c r="J101" i="12"/>
  <c r="I102" i="12"/>
  <c r="J102" i="12"/>
  <c r="I103" i="12"/>
  <c r="J103" i="12"/>
  <c r="I104" i="12"/>
  <c r="J104" i="12"/>
  <c r="I105" i="12"/>
  <c r="J105" i="12"/>
  <c r="I106" i="12"/>
  <c r="J106" i="12"/>
  <c r="I107" i="12"/>
  <c r="J107" i="12"/>
  <c r="I108" i="12"/>
  <c r="J108" i="12"/>
  <c r="I109" i="12"/>
  <c r="J109" i="12"/>
  <c r="I110" i="12"/>
  <c r="J110" i="12"/>
  <c r="I111" i="12"/>
  <c r="J111" i="12"/>
  <c r="I112" i="12"/>
  <c r="J112" i="12"/>
  <c r="I113" i="12"/>
  <c r="J113" i="12"/>
  <c r="I114" i="12"/>
  <c r="J114" i="12"/>
  <c r="I115" i="12"/>
  <c r="J115" i="12"/>
  <c r="I116" i="12"/>
  <c r="J116" i="12"/>
  <c r="I117" i="12"/>
  <c r="J117" i="12"/>
  <c r="I118" i="12"/>
  <c r="J118" i="12"/>
  <c r="I119" i="12"/>
  <c r="J119" i="12"/>
  <c r="I120" i="12"/>
  <c r="J120" i="12"/>
  <c r="I121" i="12"/>
  <c r="J121" i="12"/>
  <c r="I122" i="12"/>
  <c r="J122" i="12"/>
  <c r="I123" i="12"/>
  <c r="J123" i="12"/>
  <c r="I124" i="12"/>
  <c r="J124" i="12"/>
  <c r="I125" i="12"/>
  <c r="J125" i="12"/>
  <c r="I126" i="12"/>
  <c r="J126" i="12"/>
  <c r="I127" i="12"/>
  <c r="J127" i="12"/>
  <c r="I128" i="12"/>
  <c r="J128" i="12"/>
  <c r="I129" i="12"/>
  <c r="J129" i="12"/>
  <c r="I130" i="12"/>
  <c r="J130" i="12"/>
  <c r="I131" i="12"/>
  <c r="J131" i="12"/>
  <c r="I132" i="12"/>
  <c r="J132" i="12"/>
  <c r="I133" i="12"/>
  <c r="J133" i="12"/>
  <c r="I134" i="12"/>
  <c r="J134" i="12"/>
  <c r="I135" i="12"/>
  <c r="J135" i="12"/>
  <c r="I136" i="12"/>
  <c r="J136" i="12"/>
  <c r="I137" i="12"/>
  <c r="J137" i="12"/>
  <c r="I138" i="12"/>
  <c r="J138" i="12"/>
  <c r="I139" i="12"/>
  <c r="J139" i="12"/>
  <c r="I140" i="12"/>
  <c r="J140" i="12"/>
  <c r="I141" i="12"/>
  <c r="J141" i="12"/>
  <c r="I142" i="12"/>
  <c r="J142" i="12"/>
  <c r="I143" i="12"/>
  <c r="J143" i="12"/>
  <c r="I144" i="12"/>
  <c r="J144" i="12"/>
  <c r="I145" i="12"/>
  <c r="J145" i="12"/>
  <c r="I146" i="12"/>
  <c r="J146" i="12"/>
  <c r="I147" i="12"/>
  <c r="J147" i="12"/>
  <c r="I148" i="12"/>
  <c r="J148" i="12"/>
  <c r="I149" i="12"/>
  <c r="J149" i="12"/>
  <c r="I150" i="12"/>
  <c r="J150" i="12"/>
  <c r="I151" i="12"/>
  <c r="J151" i="12"/>
  <c r="I152" i="12"/>
  <c r="J152" i="12"/>
  <c r="I153" i="12"/>
  <c r="J153" i="12"/>
  <c r="I154" i="12"/>
  <c r="J154" i="12"/>
  <c r="I155" i="12"/>
  <c r="J155" i="12"/>
  <c r="I156" i="12"/>
  <c r="J156" i="12"/>
  <c r="I157" i="12"/>
  <c r="J157" i="12"/>
  <c r="I158" i="12"/>
  <c r="J158" i="12"/>
  <c r="I159" i="12"/>
  <c r="J159" i="12"/>
  <c r="I160" i="12"/>
  <c r="J160" i="12"/>
  <c r="I161" i="12"/>
  <c r="J161" i="12"/>
  <c r="I162" i="12"/>
  <c r="J162" i="12"/>
  <c r="I163" i="12"/>
  <c r="J163" i="12"/>
  <c r="I164" i="12"/>
  <c r="J164" i="12"/>
  <c r="I165" i="12"/>
  <c r="J165" i="12"/>
  <c r="I166" i="12"/>
  <c r="J166" i="12"/>
  <c r="I167" i="12"/>
  <c r="J167" i="12"/>
  <c r="I168" i="12"/>
  <c r="J168" i="12"/>
  <c r="I169" i="12"/>
  <c r="J169" i="12"/>
  <c r="I170" i="12"/>
  <c r="J170" i="12"/>
  <c r="I171" i="12"/>
  <c r="J171" i="12"/>
  <c r="I172" i="12"/>
  <c r="J172" i="12"/>
  <c r="I173" i="12"/>
  <c r="J173" i="12"/>
  <c r="I174" i="12"/>
  <c r="J174" i="12"/>
  <c r="I175" i="12"/>
  <c r="J175" i="12"/>
  <c r="I176" i="12"/>
  <c r="J176" i="12"/>
  <c r="I177" i="12"/>
  <c r="J177" i="12"/>
  <c r="I178" i="12"/>
  <c r="J178" i="12"/>
  <c r="I179" i="12"/>
  <c r="J179" i="12"/>
  <c r="I180" i="12"/>
  <c r="J180" i="12"/>
  <c r="I181" i="12"/>
  <c r="J181" i="12"/>
  <c r="I182" i="12"/>
  <c r="J182" i="12"/>
  <c r="I183" i="12"/>
  <c r="J183" i="12"/>
  <c r="I184" i="12"/>
  <c r="J184" i="12"/>
  <c r="I185" i="12"/>
  <c r="J185" i="12"/>
  <c r="I186" i="12"/>
  <c r="J186" i="12"/>
  <c r="I187" i="12"/>
  <c r="J187" i="12"/>
  <c r="I188" i="12"/>
  <c r="J188" i="12"/>
  <c r="I189" i="12"/>
  <c r="J189" i="12"/>
  <c r="I190" i="12"/>
  <c r="J190" i="12"/>
  <c r="I191" i="12"/>
  <c r="J191" i="12"/>
  <c r="I192" i="12"/>
  <c r="J192" i="12"/>
  <c r="I193" i="12"/>
  <c r="J193" i="12"/>
  <c r="I194" i="12"/>
  <c r="J194" i="12"/>
  <c r="I195" i="12"/>
  <c r="J195" i="12"/>
  <c r="I196" i="12"/>
  <c r="J196" i="12"/>
  <c r="I197" i="12"/>
  <c r="J197" i="12"/>
  <c r="I198" i="12"/>
  <c r="J198" i="12"/>
  <c r="I199" i="12"/>
  <c r="J199" i="12"/>
  <c r="I200" i="12"/>
  <c r="J200" i="12"/>
  <c r="I201" i="12"/>
  <c r="J201" i="12"/>
  <c r="I202" i="12"/>
  <c r="J202" i="12"/>
  <c r="I203" i="12"/>
  <c r="J203" i="12"/>
  <c r="I204" i="12"/>
  <c r="J204" i="12"/>
  <c r="I205" i="12"/>
  <c r="J205" i="12"/>
  <c r="I206" i="12"/>
  <c r="J206" i="12"/>
  <c r="I207" i="12"/>
  <c r="J207" i="12"/>
  <c r="I208" i="12"/>
  <c r="J208" i="12"/>
  <c r="I209" i="12"/>
  <c r="J209" i="12"/>
  <c r="I210" i="12"/>
  <c r="J210" i="12"/>
  <c r="I211" i="12"/>
  <c r="J211" i="12"/>
  <c r="I212" i="12"/>
  <c r="J212" i="12"/>
  <c r="I213" i="12"/>
  <c r="J213" i="12"/>
  <c r="I214" i="12"/>
  <c r="J214" i="12"/>
  <c r="I215" i="12"/>
  <c r="J215" i="12"/>
  <c r="I216" i="12"/>
  <c r="J216" i="12"/>
  <c r="I217" i="12"/>
  <c r="J217" i="12"/>
  <c r="I218" i="12"/>
  <c r="J218" i="12"/>
  <c r="I219" i="12"/>
  <c r="J219" i="12"/>
  <c r="I220" i="12"/>
  <c r="J220" i="12"/>
  <c r="I221" i="12"/>
  <c r="J221" i="12"/>
  <c r="I222" i="12"/>
  <c r="J222" i="12"/>
  <c r="I223" i="12"/>
  <c r="J223" i="12"/>
  <c r="I224" i="12"/>
  <c r="J224" i="12"/>
  <c r="I225" i="12"/>
  <c r="J225" i="12"/>
  <c r="I226" i="12"/>
  <c r="J226" i="12"/>
  <c r="I227" i="12"/>
  <c r="J227" i="12"/>
  <c r="I228" i="12"/>
  <c r="J228" i="12"/>
  <c r="I229" i="12"/>
  <c r="J229" i="12"/>
  <c r="I230" i="12"/>
  <c r="J230" i="12"/>
  <c r="I231" i="12"/>
  <c r="J231" i="12"/>
  <c r="I232" i="12"/>
  <c r="J232" i="12"/>
  <c r="I233" i="12"/>
  <c r="J233" i="12"/>
  <c r="I234" i="12"/>
  <c r="J234" i="12"/>
  <c r="I235" i="12"/>
  <c r="J235" i="12"/>
  <c r="I236" i="12"/>
  <c r="J236" i="12"/>
  <c r="I237" i="12"/>
  <c r="J237" i="12"/>
  <c r="I238" i="12"/>
  <c r="J238" i="12"/>
  <c r="I239" i="12"/>
  <c r="J239" i="12"/>
  <c r="I240" i="12"/>
  <c r="J240" i="12"/>
  <c r="I241" i="12"/>
  <c r="J241" i="12"/>
  <c r="I242" i="12"/>
  <c r="J242" i="12"/>
  <c r="I243" i="12"/>
  <c r="J243" i="12"/>
  <c r="I244" i="12"/>
  <c r="J244" i="12"/>
  <c r="I245" i="12"/>
  <c r="J245" i="12"/>
  <c r="I246" i="12"/>
  <c r="J246" i="12"/>
  <c r="I247" i="12"/>
  <c r="J247" i="12"/>
  <c r="I248" i="12"/>
  <c r="J248" i="12"/>
  <c r="I249" i="12"/>
  <c r="J249" i="12"/>
  <c r="I250" i="12"/>
  <c r="J250" i="12"/>
  <c r="I251" i="12"/>
  <c r="J251" i="12"/>
  <c r="I252" i="12"/>
  <c r="J252" i="12"/>
  <c r="I253" i="12"/>
  <c r="J253" i="12"/>
  <c r="I254" i="12"/>
  <c r="J254" i="12"/>
  <c r="I255" i="12"/>
  <c r="J255" i="12"/>
  <c r="I256" i="12"/>
  <c r="J256" i="12"/>
  <c r="I257" i="12"/>
  <c r="J257" i="12"/>
  <c r="I258" i="12"/>
  <c r="J258" i="12"/>
  <c r="I259" i="12"/>
  <c r="J259" i="12"/>
  <c r="I260" i="12"/>
  <c r="J260" i="12"/>
  <c r="I261" i="12"/>
  <c r="J261" i="12"/>
  <c r="I262" i="12"/>
  <c r="J262" i="12"/>
  <c r="I263" i="12"/>
  <c r="J263" i="12"/>
  <c r="I264" i="12"/>
  <c r="J264" i="12"/>
  <c r="I265" i="12"/>
  <c r="J265" i="12"/>
  <c r="I266" i="12"/>
  <c r="J266" i="12"/>
  <c r="I267" i="12"/>
  <c r="J267" i="12"/>
  <c r="I268" i="12"/>
  <c r="J268" i="12"/>
  <c r="I269" i="12"/>
  <c r="J269" i="12"/>
  <c r="I270" i="12"/>
  <c r="J270" i="12"/>
  <c r="I271" i="12"/>
  <c r="J271" i="12"/>
  <c r="I272" i="12"/>
  <c r="J272" i="12"/>
  <c r="I273" i="12"/>
  <c r="J273" i="12"/>
  <c r="I274" i="12"/>
  <c r="J274" i="12"/>
  <c r="I275" i="12"/>
  <c r="J275" i="12"/>
  <c r="I276" i="12"/>
  <c r="J276" i="12"/>
  <c r="I277" i="12"/>
  <c r="J277" i="12"/>
  <c r="I278" i="12"/>
  <c r="J278" i="12"/>
  <c r="I279" i="12"/>
  <c r="J279" i="12"/>
  <c r="I280" i="12"/>
  <c r="J280" i="12"/>
  <c r="I281" i="12"/>
  <c r="J281" i="12"/>
  <c r="I282" i="12"/>
  <c r="J282" i="12"/>
  <c r="I283" i="12"/>
  <c r="J283" i="12"/>
  <c r="I284" i="12"/>
  <c r="J284" i="12"/>
  <c r="I285" i="12"/>
  <c r="J285" i="12"/>
  <c r="I286" i="12"/>
  <c r="J286" i="12"/>
  <c r="I287" i="12"/>
  <c r="J287" i="12"/>
  <c r="I288" i="12"/>
  <c r="J288" i="12"/>
  <c r="I289" i="12"/>
  <c r="J289" i="12"/>
  <c r="I290" i="12"/>
  <c r="J290" i="12"/>
  <c r="I291" i="12"/>
  <c r="J291" i="12"/>
  <c r="I292" i="12"/>
  <c r="J292" i="12"/>
  <c r="I293" i="12"/>
  <c r="J293" i="12"/>
  <c r="I294" i="12"/>
  <c r="J294" i="12"/>
  <c r="I295" i="12"/>
  <c r="J295" i="12"/>
  <c r="I296" i="12"/>
  <c r="J296" i="12"/>
  <c r="I297" i="12"/>
  <c r="J297" i="12"/>
  <c r="I298" i="12"/>
  <c r="J298" i="12"/>
  <c r="I299" i="12"/>
  <c r="J299" i="12"/>
  <c r="I300" i="12"/>
  <c r="J300" i="12"/>
  <c r="I301" i="12"/>
  <c r="J301" i="12"/>
  <c r="I302" i="12"/>
  <c r="J302" i="12"/>
  <c r="I303" i="12"/>
  <c r="J303" i="12"/>
  <c r="I304" i="12"/>
  <c r="J304" i="12"/>
  <c r="I305" i="12"/>
  <c r="J305" i="12"/>
  <c r="I306" i="12"/>
  <c r="J306" i="12"/>
  <c r="I307" i="12"/>
  <c r="J307" i="12"/>
  <c r="I308" i="12"/>
  <c r="J308" i="12"/>
  <c r="I309" i="12"/>
  <c r="J309" i="12"/>
  <c r="I310" i="12"/>
  <c r="J310" i="12"/>
  <c r="I311" i="12"/>
  <c r="J311" i="12"/>
  <c r="I312" i="12"/>
  <c r="J312" i="12"/>
  <c r="I313" i="12"/>
  <c r="J313" i="12"/>
  <c r="I314" i="12"/>
  <c r="J314" i="12"/>
  <c r="I315" i="12"/>
  <c r="J315" i="12"/>
  <c r="I316" i="12"/>
  <c r="J316" i="12"/>
  <c r="I317" i="12"/>
  <c r="J317" i="12"/>
  <c r="I318" i="12"/>
  <c r="J318" i="12"/>
  <c r="I319" i="12"/>
  <c r="J319" i="12"/>
  <c r="I320" i="12"/>
  <c r="J320" i="12"/>
  <c r="I321" i="12"/>
  <c r="J321" i="12"/>
  <c r="I322" i="12"/>
  <c r="J322" i="12"/>
  <c r="I323" i="12"/>
  <c r="J323" i="12"/>
  <c r="I324" i="12"/>
  <c r="J324" i="12"/>
  <c r="I325" i="12"/>
  <c r="J325" i="12"/>
  <c r="I326" i="12"/>
  <c r="J326" i="12"/>
  <c r="I327" i="12"/>
  <c r="J327" i="12"/>
  <c r="I328" i="12"/>
  <c r="J328" i="12"/>
  <c r="I329" i="12"/>
  <c r="J329" i="12"/>
  <c r="I330" i="12"/>
  <c r="J330" i="12"/>
  <c r="I331" i="12"/>
  <c r="J331" i="12"/>
  <c r="I332" i="12"/>
  <c r="J332" i="12"/>
  <c r="I333" i="12"/>
  <c r="J333" i="12"/>
  <c r="I334" i="12"/>
  <c r="J334" i="12"/>
  <c r="I335" i="12"/>
  <c r="J335" i="12"/>
  <c r="I336" i="12"/>
  <c r="J336" i="12"/>
  <c r="I337" i="12"/>
  <c r="J337" i="12"/>
  <c r="I338" i="12"/>
  <c r="J338" i="12"/>
  <c r="I339" i="12"/>
  <c r="J339" i="12"/>
  <c r="I340" i="12"/>
  <c r="J340" i="12"/>
  <c r="I341" i="12"/>
  <c r="J341" i="12"/>
  <c r="I342" i="12"/>
  <c r="J342" i="12"/>
  <c r="I343" i="12"/>
  <c r="J343" i="12"/>
  <c r="I344" i="12"/>
  <c r="J344" i="12"/>
  <c r="I345" i="12"/>
  <c r="J345" i="12"/>
  <c r="I346" i="12"/>
  <c r="J346" i="12"/>
  <c r="I347" i="12"/>
  <c r="J347" i="12"/>
  <c r="I348" i="12"/>
  <c r="J348" i="12"/>
  <c r="I349" i="12"/>
  <c r="J349" i="12"/>
  <c r="I350" i="12"/>
  <c r="J350" i="12"/>
  <c r="I351" i="12"/>
  <c r="J351" i="12"/>
  <c r="I352" i="12"/>
  <c r="J352" i="12"/>
  <c r="I353" i="12"/>
  <c r="J353" i="12"/>
  <c r="I354" i="12"/>
  <c r="J354" i="12"/>
  <c r="I355" i="12"/>
  <c r="J355" i="12"/>
  <c r="I356" i="12"/>
  <c r="J356" i="12"/>
  <c r="I357" i="12"/>
  <c r="J357" i="12"/>
  <c r="I358" i="12"/>
  <c r="J358" i="12"/>
  <c r="I359" i="12"/>
  <c r="J359" i="12"/>
  <c r="I360" i="12"/>
  <c r="J360" i="12"/>
  <c r="I361" i="12"/>
  <c r="J361" i="12"/>
  <c r="I362" i="12"/>
  <c r="J362" i="12"/>
  <c r="I363" i="12"/>
  <c r="J363" i="12"/>
  <c r="I364" i="12"/>
  <c r="J364" i="12"/>
  <c r="I365" i="12"/>
  <c r="J365" i="12"/>
  <c r="I366" i="12"/>
  <c r="J366" i="12"/>
  <c r="I367" i="12"/>
  <c r="J367" i="12"/>
  <c r="I368" i="12"/>
  <c r="J368" i="12"/>
  <c r="I369" i="12"/>
  <c r="J369" i="12"/>
  <c r="I370" i="12"/>
  <c r="J370" i="12"/>
  <c r="I371" i="12"/>
  <c r="J371" i="12"/>
  <c r="I372" i="12"/>
  <c r="J372" i="12"/>
  <c r="I373" i="12"/>
  <c r="J373" i="12"/>
  <c r="I374" i="12"/>
  <c r="J374" i="12"/>
  <c r="I375" i="12"/>
  <c r="J375" i="12"/>
  <c r="I376" i="12"/>
  <c r="J376" i="12"/>
  <c r="I377" i="12"/>
  <c r="J377" i="12"/>
  <c r="I378" i="12"/>
  <c r="J378" i="12"/>
  <c r="I379" i="12"/>
  <c r="J379" i="12"/>
  <c r="I380" i="12"/>
  <c r="J380" i="12"/>
  <c r="I381" i="12"/>
  <c r="J381" i="12"/>
  <c r="I382" i="12"/>
  <c r="J382" i="12"/>
  <c r="I383" i="12"/>
  <c r="J383" i="12"/>
  <c r="I384" i="12"/>
  <c r="J384" i="12"/>
  <c r="I385" i="12"/>
  <c r="J385" i="12"/>
  <c r="I386" i="12"/>
  <c r="J386" i="12"/>
  <c r="I387" i="12"/>
  <c r="J387" i="12"/>
  <c r="I388" i="12"/>
  <c r="J388" i="12"/>
  <c r="I389" i="12"/>
  <c r="J389" i="12"/>
  <c r="I390" i="12"/>
  <c r="J390" i="12"/>
  <c r="I391" i="12"/>
  <c r="J391" i="12"/>
  <c r="I392" i="12"/>
  <c r="J392" i="12"/>
  <c r="I393" i="12"/>
  <c r="J393" i="12"/>
  <c r="I394" i="12"/>
  <c r="J394" i="12"/>
  <c r="I395" i="12"/>
  <c r="J395" i="12"/>
  <c r="I396" i="12"/>
  <c r="J396" i="12"/>
  <c r="I397" i="12"/>
  <c r="J397" i="12"/>
  <c r="I398" i="12"/>
  <c r="J398" i="12"/>
  <c r="I399" i="12"/>
  <c r="J399" i="12"/>
  <c r="I400" i="12"/>
  <c r="J400" i="12"/>
  <c r="I401" i="12"/>
  <c r="J401" i="12"/>
  <c r="I402" i="12"/>
  <c r="J402" i="12"/>
  <c r="I403" i="12"/>
  <c r="J403" i="12"/>
  <c r="I404" i="12"/>
  <c r="J404" i="12"/>
  <c r="I405" i="12"/>
  <c r="J405" i="12"/>
  <c r="I406" i="12"/>
  <c r="J406" i="12"/>
  <c r="I407" i="12"/>
  <c r="J407" i="12"/>
  <c r="I408" i="12"/>
  <c r="J408" i="12"/>
  <c r="I409" i="12"/>
  <c r="J409" i="12"/>
  <c r="I410" i="12"/>
  <c r="J410" i="12"/>
  <c r="I411" i="12"/>
  <c r="J411" i="12"/>
  <c r="I412" i="12"/>
  <c r="J412" i="12"/>
  <c r="I413" i="12"/>
  <c r="J413" i="12"/>
  <c r="I414" i="12"/>
  <c r="J414" i="12"/>
  <c r="I415" i="12"/>
  <c r="J415" i="12"/>
  <c r="I416" i="12"/>
  <c r="J416" i="12"/>
  <c r="I417" i="12"/>
  <c r="J417" i="12"/>
  <c r="I418" i="12"/>
  <c r="J418" i="12"/>
  <c r="I419" i="12"/>
  <c r="J419" i="12"/>
  <c r="I420" i="12"/>
  <c r="J420" i="12"/>
  <c r="I421" i="12"/>
  <c r="J421" i="12"/>
  <c r="I422" i="12"/>
  <c r="J422" i="12"/>
  <c r="I423" i="12"/>
  <c r="J423" i="12"/>
  <c r="I424" i="12"/>
  <c r="J424" i="12"/>
  <c r="I425" i="12"/>
  <c r="J425" i="12"/>
  <c r="I426" i="12"/>
  <c r="J426" i="12"/>
  <c r="I427" i="12"/>
  <c r="J427" i="12"/>
  <c r="I428" i="12"/>
  <c r="J428" i="12"/>
  <c r="I429" i="12"/>
  <c r="J429" i="12"/>
  <c r="I430" i="12"/>
  <c r="J430" i="12"/>
  <c r="I431" i="12"/>
  <c r="J431" i="12"/>
  <c r="I432" i="12"/>
  <c r="J432" i="12"/>
  <c r="I433" i="12"/>
  <c r="J433" i="12"/>
  <c r="I434" i="12"/>
  <c r="J434" i="12"/>
  <c r="I435" i="12"/>
  <c r="J435" i="12"/>
  <c r="I436" i="12"/>
  <c r="J436" i="12"/>
  <c r="I437" i="12"/>
  <c r="J437" i="12"/>
  <c r="I438" i="12"/>
  <c r="J438" i="12"/>
  <c r="I439" i="12"/>
  <c r="J439" i="12"/>
  <c r="I440" i="12"/>
  <c r="J440" i="12"/>
  <c r="I441" i="12"/>
  <c r="J441" i="12"/>
  <c r="I442" i="12"/>
  <c r="J442" i="12"/>
  <c r="I443" i="12"/>
  <c r="J443" i="12"/>
  <c r="I444" i="12"/>
  <c r="J444" i="12"/>
  <c r="I445" i="12"/>
  <c r="J445" i="12"/>
  <c r="I446" i="12"/>
  <c r="J446" i="12"/>
  <c r="I447" i="12"/>
  <c r="J447" i="12"/>
  <c r="I448" i="12"/>
  <c r="J448" i="12"/>
  <c r="I449" i="12"/>
  <c r="J449" i="12"/>
  <c r="I450" i="12"/>
  <c r="J450" i="12"/>
  <c r="I451" i="12"/>
  <c r="J451" i="12"/>
  <c r="I452" i="12"/>
  <c r="J452" i="12"/>
  <c r="I453" i="12"/>
  <c r="J453" i="12"/>
  <c r="I454" i="12"/>
  <c r="J454" i="12"/>
  <c r="I455" i="12"/>
  <c r="J455" i="12"/>
  <c r="I456" i="12"/>
  <c r="J456" i="12"/>
  <c r="I457" i="12"/>
  <c r="J457" i="12"/>
  <c r="I458" i="12"/>
  <c r="J458" i="12"/>
  <c r="I459" i="12"/>
  <c r="J459" i="12"/>
  <c r="I460" i="12"/>
  <c r="J460" i="12"/>
  <c r="I461" i="12"/>
  <c r="J461" i="12"/>
  <c r="I462" i="12"/>
  <c r="J462" i="12"/>
  <c r="I463" i="12"/>
  <c r="J463" i="12"/>
  <c r="I464" i="12"/>
  <c r="J464" i="12"/>
  <c r="I465" i="12"/>
  <c r="J465" i="12"/>
  <c r="I466" i="12"/>
  <c r="J466" i="12"/>
  <c r="I467" i="12"/>
  <c r="J467" i="12"/>
  <c r="I468" i="12"/>
  <c r="J468" i="12"/>
  <c r="I469" i="12"/>
  <c r="J469" i="12"/>
  <c r="I470" i="12"/>
  <c r="J470" i="12"/>
  <c r="I471" i="12"/>
  <c r="J471" i="12"/>
  <c r="I472" i="12"/>
  <c r="J472" i="12"/>
  <c r="I473" i="12"/>
  <c r="J473" i="12"/>
  <c r="I474" i="12"/>
  <c r="J474" i="12"/>
  <c r="I475" i="12"/>
  <c r="J475" i="12"/>
  <c r="I476" i="12"/>
  <c r="J476" i="12"/>
  <c r="I477" i="12"/>
  <c r="J477" i="12"/>
  <c r="I478" i="12"/>
  <c r="J478" i="12"/>
  <c r="I479" i="12"/>
  <c r="J479" i="12"/>
  <c r="I480" i="12"/>
  <c r="J480" i="12"/>
  <c r="I481" i="12"/>
  <c r="J481" i="12"/>
  <c r="I482" i="12"/>
  <c r="J482" i="12"/>
  <c r="I483" i="12"/>
  <c r="J483" i="12"/>
  <c r="I484" i="12"/>
  <c r="J484" i="12"/>
  <c r="I485" i="12"/>
  <c r="J485" i="12"/>
  <c r="I486" i="12"/>
  <c r="J486" i="12"/>
  <c r="I487" i="12"/>
  <c r="J487" i="12"/>
  <c r="I488" i="12"/>
  <c r="J488" i="12"/>
  <c r="I489" i="12"/>
  <c r="J489" i="12"/>
  <c r="I490" i="12"/>
  <c r="J490" i="12"/>
  <c r="I491" i="12"/>
  <c r="J491" i="12"/>
  <c r="I492" i="12"/>
  <c r="J492" i="12"/>
  <c r="I493" i="12"/>
  <c r="J493" i="12"/>
  <c r="I494" i="12"/>
  <c r="J494" i="12"/>
  <c r="I495" i="12"/>
  <c r="J495" i="12"/>
  <c r="I496" i="12"/>
  <c r="J496" i="12"/>
  <c r="I497" i="12"/>
  <c r="J497" i="12"/>
  <c r="I498" i="12"/>
  <c r="J498" i="12"/>
  <c r="I499" i="12"/>
  <c r="J499" i="12"/>
  <c r="I500" i="12"/>
  <c r="J500" i="12"/>
  <c r="I501" i="12"/>
  <c r="J501" i="12"/>
  <c r="I502" i="12"/>
  <c r="J502" i="12"/>
  <c r="I503" i="12"/>
  <c r="J503" i="12"/>
  <c r="I504" i="12"/>
  <c r="J504" i="12"/>
  <c r="J5" i="12"/>
  <c r="I5" i="12"/>
  <c r="F506" i="11"/>
  <c r="J504" i="11"/>
  <c r="I504" i="11"/>
  <c r="J503" i="11"/>
  <c r="I503" i="11"/>
  <c r="J502" i="11"/>
  <c r="I502" i="11"/>
  <c r="J501" i="11"/>
  <c r="I501" i="11"/>
  <c r="J500" i="11"/>
  <c r="I500" i="11"/>
  <c r="J499" i="11"/>
  <c r="I499" i="11"/>
  <c r="J498" i="11"/>
  <c r="I498" i="11"/>
  <c r="J497" i="11"/>
  <c r="I497" i="11"/>
  <c r="J496" i="11"/>
  <c r="I496" i="11"/>
  <c r="J495" i="11"/>
  <c r="I495" i="11"/>
  <c r="J494" i="11"/>
  <c r="I494" i="11"/>
  <c r="J493" i="11"/>
  <c r="I493" i="11"/>
  <c r="J492" i="11"/>
  <c r="I492" i="11"/>
  <c r="J491" i="11"/>
  <c r="I491" i="11"/>
  <c r="J490" i="11"/>
  <c r="I490" i="11"/>
  <c r="J489" i="11"/>
  <c r="I489" i="11"/>
  <c r="J488" i="11"/>
  <c r="I488" i="11"/>
  <c r="J487" i="11"/>
  <c r="I487" i="11"/>
  <c r="J486" i="11"/>
  <c r="I486" i="11"/>
  <c r="J485" i="11"/>
  <c r="I485" i="11"/>
  <c r="J484" i="11"/>
  <c r="I484" i="11"/>
  <c r="J483" i="11"/>
  <c r="I483" i="11"/>
  <c r="J482" i="11"/>
  <c r="I482" i="11"/>
  <c r="J481" i="11"/>
  <c r="I481" i="11"/>
  <c r="J480" i="11"/>
  <c r="I480" i="11"/>
  <c r="J479" i="11"/>
  <c r="I479" i="11"/>
  <c r="J478" i="11"/>
  <c r="I478" i="11"/>
  <c r="J477" i="11"/>
  <c r="I477" i="11"/>
  <c r="J476" i="11"/>
  <c r="I476" i="11"/>
  <c r="J475" i="11"/>
  <c r="I475" i="11"/>
  <c r="J474" i="11"/>
  <c r="I474" i="11"/>
  <c r="J473" i="11"/>
  <c r="I473" i="11"/>
  <c r="J472" i="11"/>
  <c r="I472" i="11"/>
  <c r="J471" i="11"/>
  <c r="I471" i="11"/>
  <c r="J470" i="11"/>
  <c r="I470" i="11"/>
  <c r="J469" i="11"/>
  <c r="I469" i="11"/>
  <c r="J468" i="11"/>
  <c r="I468" i="11"/>
  <c r="J467" i="11"/>
  <c r="I467" i="11"/>
  <c r="J466" i="11"/>
  <c r="I466" i="11"/>
  <c r="J465" i="11"/>
  <c r="I465" i="11"/>
  <c r="J464" i="11"/>
  <c r="I464" i="11"/>
  <c r="J463" i="11"/>
  <c r="I463" i="11"/>
  <c r="J462" i="11"/>
  <c r="I462" i="11"/>
  <c r="J461" i="11"/>
  <c r="I461" i="11"/>
  <c r="J460" i="11"/>
  <c r="I460" i="11"/>
  <c r="J459" i="11"/>
  <c r="I459" i="11"/>
  <c r="J458" i="11"/>
  <c r="I458" i="11"/>
  <c r="J457" i="11"/>
  <c r="I457" i="11"/>
  <c r="J456" i="11"/>
  <c r="I456" i="11"/>
  <c r="J455" i="11"/>
  <c r="I455" i="11"/>
  <c r="J454" i="11"/>
  <c r="I454" i="11"/>
  <c r="J453" i="11"/>
  <c r="I453" i="11"/>
  <c r="J452" i="11"/>
  <c r="I452" i="11"/>
  <c r="J451" i="11"/>
  <c r="I451" i="11"/>
  <c r="J450" i="11"/>
  <c r="I450" i="11"/>
  <c r="J449" i="11"/>
  <c r="I449" i="11"/>
  <c r="J448" i="11"/>
  <c r="I448" i="11"/>
  <c r="J447" i="11"/>
  <c r="I447" i="11"/>
  <c r="J446" i="11"/>
  <c r="I446" i="11"/>
  <c r="J445" i="11"/>
  <c r="I445" i="11"/>
  <c r="J444" i="11"/>
  <c r="I444" i="11"/>
  <c r="J443" i="11"/>
  <c r="I443" i="11"/>
  <c r="J442" i="11"/>
  <c r="I442" i="11"/>
  <c r="J441" i="11"/>
  <c r="I441" i="11"/>
  <c r="J440" i="11"/>
  <c r="I440" i="11"/>
  <c r="J439" i="11"/>
  <c r="I439" i="11"/>
  <c r="J438" i="11"/>
  <c r="I438" i="11"/>
  <c r="J437" i="11"/>
  <c r="I437" i="11"/>
  <c r="J436" i="11"/>
  <c r="I436" i="11"/>
  <c r="J435" i="11"/>
  <c r="I435" i="11"/>
  <c r="J434" i="11"/>
  <c r="I434" i="11"/>
  <c r="J433" i="11"/>
  <c r="I433" i="11"/>
  <c r="J432" i="11"/>
  <c r="I432" i="11"/>
  <c r="J431" i="11"/>
  <c r="I431" i="11"/>
  <c r="J430" i="11"/>
  <c r="I430" i="11"/>
  <c r="J429" i="11"/>
  <c r="I429" i="11"/>
  <c r="J428" i="11"/>
  <c r="I428" i="11"/>
  <c r="J427" i="11"/>
  <c r="I427" i="11"/>
  <c r="J426" i="11"/>
  <c r="I426" i="11"/>
  <c r="J425" i="11"/>
  <c r="I425" i="11"/>
  <c r="J424" i="11"/>
  <c r="I424" i="11"/>
  <c r="J423" i="11"/>
  <c r="I423" i="11"/>
  <c r="J422" i="11"/>
  <c r="I422" i="11"/>
  <c r="J421" i="11"/>
  <c r="I421" i="11"/>
  <c r="J420" i="11"/>
  <c r="I420" i="11"/>
  <c r="J419" i="11"/>
  <c r="I419" i="11"/>
  <c r="J418" i="11"/>
  <c r="I418" i="11"/>
  <c r="J417" i="11"/>
  <c r="I417" i="11"/>
  <c r="J416" i="11"/>
  <c r="I416" i="11"/>
  <c r="J415" i="11"/>
  <c r="I415" i="11"/>
  <c r="J414" i="11"/>
  <c r="I414" i="11"/>
  <c r="J413" i="11"/>
  <c r="I413" i="11"/>
  <c r="J412" i="11"/>
  <c r="I412" i="11"/>
  <c r="J411" i="11"/>
  <c r="I411" i="11"/>
  <c r="J410" i="11"/>
  <c r="I410" i="11"/>
  <c r="J409" i="11"/>
  <c r="I409" i="11"/>
  <c r="J408" i="11"/>
  <c r="I408" i="11"/>
  <c r="J407" i="11"/>
  <c r="I407" i="11"/>
  <c r="J406" i="11"/>
  <c r="I406" i="11"/>
  <c r="J405" i="11"/>
  <c r="I405" i="11"/>
  <c r="J404" i="11"/>
  <c r="I404" i="11"/>
  <c r="J403" i="11"/>
  <c r="I403" i="11"/>
  <c r="J402" i="11"/>
  <c r="I402" i="11"/>
  <c r="J401" i="11"/>
  <c r="I401" i="11"/>
  <c r="J400" i="11"/>
  <c r="I400" i="11"/>
  <c r="J399" i="11"/>
  <c r="I399" i="11"/>
  <c r="J398" i="11"/>
  <c r="I398" i="11"/>
  <c r="J397" i="11"/>
  <c r="I397" i="11"/>
  <c r="J396" i="11"/>
  <c r="I396" i="11"/>
  <c r="J395" i="11"/>
  <c r="I395" i="11"/>
  <c r="J394" i="11"/>
  <c r="I394" i="11"/>
  <c r="J393" i="11"/>
  <c r="I393" i="11"/>
  <c r="J392" i="11"/>
  <c r="I392" i="11"/>
  <c r="J391" i="11"/>
  <c r="I391" i="11"/>
  <c r="J390" i="11"/>
  <c r="I390" i="11"/>
  <c r="J389" i="11"/>
  <c r="I389" i="11"/>
  <c r="J388" i="11"/>
  <c r="I388" i="11"/>
  <c r="J387" i="11"/>
  <c r="I387" i="11"/>
  <c r="J386" i="11"/>
  <c r="I386" i="11"/>
  <c r="J385" i="11"/>
  <c r="I385" i="11"/>
  <c r="J384" i="11"/>
  <c r="I384" i="11"/>
  <c r="J383" i="11"/>
  <c r="I383" i="11"/>
  <c r="J382" i="11"/>
  <c r="I382" i="11"/>
  <c r="J381" i="11"/>
  <c r="I381" i="11"/>
  <c r="J380" i="11"/>
  <c r="I380" i="11"/>
  <c r="J379" i="11"/>
  <c r="I379" i="11"/>
  <c r="J378" i="11"/>
  <c r="I378" i="11"/>
  <c r="J377" i="11"/>
  <c r="I377" i="11"/>
  <c r="J376" i="11"/>
  <c r="I376" i="11"/>
  <c r="J375" i="11"/>
  <c r="I375" i="11"/>
  <c r="J374" i="11"/>
  <c r="I374" i="11"/>
  <c r="J373" i="11"/>
  <c r="I373" i="11"/>
  <c r="J372" i="11"/>
  <c r="I372" i="11"/>
  <c r="J371" i="11"/>
  <c r="I371" i="11"/>
  <c r="J370" i="11"/>
  <c r="I370" i="11"/>
  <c r="J369" i="11"/>
  <c r="I369" i="11"/>
  <c r="J368" i="11"/>
  <c r="I368" i="11"/>
  <c r="J367" i="11"/>
  <c r="I367" i="11"/>
  <c r="J366" i="11"/>
  <c r="I366" i="11"/>
  <c r="J365" i="11"/>
  <c r="I365" i="11"/>
  <c r="J364" i="11"/>
  <c r="I364" i="11"/>
  <c r="J363" i="11"/>
  <c r="I363" i="11"/>
  <c r="J362" i="11"/>
  <c r="I362" i="11"/>
  <c r="J361" i="11"/>
  <c r="I361" i="11"/>
  <c r="J360" i="11"/>
  <c r="I360" i="11"/>
  <c r="J359" i="11"/>
  <c r="I359" i="11"/>
  <c r="J358" i="11"/>
  <c r="I358" i="11"/>
  <c r="J357" i="11"/>
  <c r="I357" i="11"/>
  <c r="J356" i="11"/>
  <c r="I356" i="11"/>
  <c r="J355" i="11"/>
  <c r="I355" i="11"/>
  <c r="J354" i="11"/>
  <c r="I354" i="11"/>
  <c r="J353" i="11"/>
  <c r="I353" i="11"/>
  <c r="J352" i="11"/>
  <c r="I352" i="11"/>
  <c r="J351" i="11"/>
  <c r="I351" i="11"/>
  <c r="J350" i="11"/>
  <c r="I350" i="11"/>
  <c r="J349" i="11"/>
  <c r="I349" i="11"/>
  <c r="J348" i="11"/>
  <c r="I348" i="11"/>
  <c r="J347" i="11"/>
  <c r="I347" i="11"/>
  <c r="J346" i="11"/>
  <c r="I346" i="11"/>
  <c r="J345" i="11"/>
  <c r="I345" i="11"/>
  <c r="J344" i="11"/>
  <c r="I344" i="11"/>
  <c r="J343" i="11"/>
  <c r="I343" i="11"/>
  <c r="J342" i="11"/>
  <c r="I342" i="11"/>
  <c r="J341" i="11"/>
  <c r="I341" i="11"/>
  <c r="J340" i="11"/>
  <c r="I340" i="11"/>
  <c r="J339" i="11"/>
  <c r="I339" i="11"/>
  <c r="J338" i="11"/>
  <c r="I338" i="11"/>
  <c r="J337" i="11"/>
  <c r="I337" i="11"/>
  <c r="J336" i="11"/>
  <c r="I336" i="11"/>
  <c r="J335" i="11"/>
  <c r="I335" i="11"/>
  <c r="J334" i="11"/>
  <c r="I334" i="11"/>
  <c r="J333" i="11"/>
  <c r="I333" i="11"/>
  <c r="J332" i="11"/>
  <c r="I332" i="11"/>
  <c r="J331" i="11"/>
  <c r="I331" i="11"/>
  <c r="J330" i="11"/>
  <c r="I330" i="11"/>
  <c r="J329" i="11"/>
  <c r="I329" i="11"/>
  <c r="J328" i="11"/>
  <c r="I328" i="11"/>
  <c r="J327" i="11"/>
  <c r="I327" i="11"/>
  <c r="J326" i="11"/>
  <c r="I326" i="11"/>
  <c r="J325" i="11"/>
  <c r="I325" i="11"/>
  <c r="J324" i="11"/>
  <c r="I324" i="11"/>
  <c r="J323" i="11"/>
  <c r="I323" i="11"/>
  <c r="J322" i="11"/>
  <c r="I322" i="11"/>
  <c r="J321" i="11"/>
  <c r="I321" i="11"/>
  <c r="J320" i="11"/>
  <c r="I320" i="11"/>
  <c r="J319" i="11"/>
  <c r="I319" i="11"/>
  <c r="J318" i="11"/>
  <c r="I318" i="11"/>
  <c r="J317" i="11"/>
  <c r="I317" i="11"/>
  <c r="J316" i="11"/>
  <c r="I316" i="11"/>
  <c r="J315" i="11"/>
  <c r="I315" i="11"/>
  <c r="J314" i="11"/>
  <c r="I314" i="11"/>
  <c r="J313" i="11"/>
  <c r="I313" i="11"/>
  <c r="J312" i="11"/>
  <c r="I312" i="11"/>
  <c r="J311" i="11"/>
  <c r="I311" i="11"/>
  <c r="J310" i="11"/>
  <c r="I310" i="11"/>
  <c r="J309" i="11"/>
  <c r="I309" i="11"/>
  <c r="J308" i="11"/>
  <c r="I308" i="11"/>
  <c r="J307" i="11"/>
  <c r="I307" i="11"/>
  <c r="J306" i="11"/>
  <c r="I306" i="11"/>
  <c r="J305" i="11"/>
  <c r="I305" i="11"/>
  <c r="J304" i="11"/>
  <c r="I304" i="11"/>
  <c r="J303" i="11"/>
  <c r="I303" i="11"/>
  <c r="J302" i="11"/>
  <c r="I302" i="11"/>
  <c r="J301" i="11"/>
  <c r="I301" i="11"/>
  <c r="J300" i="11"/>
  <c r="I300" i="11"/>
  <c r="J299" i="11"/>
  <c r="I299" i="11"/>
  <c r="J298" i="11"/>
  <c r="I298" i="11"/>
  <c r="J297" i="11"/>
  <c r="I297" i="11"/>
  <c r="J296" i="11"/>
  <c r="I296" i="11"/>
  <c r="J295" i="11"/>
  <c r="I295" i="11"/>
  <c r="J294" i="11"/>
  <c r="I294" i="11"/>
  <c r="J293" i="11"/>
  <c r="I293" i="11"/>
  <c r="J292" i="11"/>
  <c r="I292" i="11"/>
  <c r="J291" i="11"/>
  <c r="I291" i="11"/>
  <c r="J290" i="11"/>
  <c r="I290" i="11"/>
  <c r="J289" i="11"/>
  <c r="I289" i="11"/>
  <c r="J288" i="11"/>
  <c r="I288" i="11"/>
  <c r="J287" i="11"/>
  <c r="I287" i="11"/>
  <c r="J286" i="11"/>
  <c r="I286" i="11"/>
  <c r="J285" i="11"/>
  <c r="I285" i="11"/>
  <c r="J284" i="11"/>
  <c r="I284" i="11"/>
  <c r="J283" i="11"/>
  <c r="I283" i="11"/>
  <c r="J282" i="11"/>
  <c r="I282" i="11"/>
  <c r="J281" i="11"/>
  <c r="I281" i="11"/>
  <c r="J280" i="11"/>
  <c r="I280" i="11"/>
  <c r="J279" i="11"/>
  <c r="I279" i="11"/>
  <c r="J278" i="11"/>
  <c r="I278" i="11"/>
  <c r="J277" i="11"/>
  <c r="I277" i="11"/>
  <c r="J276" i="11"/>
  <c r="I276" i="11"/>
  <c r="J275" i="11"/>
  <c r="I275" i="11"/>
  <c r="J274" i="11"/>
  <c r="I274" i="11"/>
  <c r="J273" i="11"/>
  <c r="I273" i="11"/>
  <c r="J272" i="11"/>
  <c r="I272" i="11"/>
  <c r="J271" i="11"/>
  <c r="I271" i="11"/>
  <c r="J270" i="11"/>
  <c r="I270" i="11"/>
  <c r="J269" i="11"/>
  <c r="I269" i="11"/>
  <c r="J268" i="11"/>
  <c r="I268" i="11"/>
  <c r="J267" i="11"/>
  <c r="I267" i="11"/>
  <c r="J266" i="11"/>
  <c r="I266" i="11"/>
  <c r="J265" i="11"/>
  <c r="I265" i="11"/>
  <c r="J264" i="11"/>
  <c r="I264" i="11"/>
  <c r="J263" i="11"/>
  <c r="I263" i="11"/>
  <c r="J262" i="11"/>
  <c r="I262" i="11"/>
  <c r="J261" i="11"/>
  <c r="I261" i="11"/>
  <c r="J260" i="11"/>
  <c r="I260" i="11"/>
  <c r="J259" i="11"/>
  <c r="I259" i="11"/>
  <c r="J258" i="11"/>
  <c r="I258" i="11"/>
  <c r="J257" i="11"/>
  <c r="I257" i="11"/>
  <c r="J256" i="11"/>
  <c r="I256" i="11"/>
  <c r="J255" i="11"/>
  <c r="I255" i="11"/>
  <c r="J254" i="11"/>
  <c r="I254" i="11"/>
  <c r="J253" i="11"/>
  <c r="I253" i="11"/>
  <c r="J252" i="11"/>
  <c r="I252" i="11"/>
  <c r="J251" i="11"/>
  <c r="I251" i="11"/>
  <c r="J250" i="11"/>
  <c r="I250" i="11"/>
  <c r="J249" i="11"/>
  <c r="I249" i="11"/>
  <c r="J248" i="11"/>
  <c r="I248" i="11"/>
  <c r="J247" i="11"/>
  <c r="I247" i="11"/>
  <c r="J246" i="11"/>
  <c r="I246" i="11"/>
  <c r="J245" i="11"/>
  <c r="I245" i="11"/>
  <c r="J244" i="11"/>
  <c r="I244" i="11"/>
  <c r="J243" i="11"/>
  <c r="I243" i="11"/>
  <c r="J242" i="11"/>
  <c r="I242" i="11"/>
  <c r="J241" i="11"/>
  <c r="I241" i="11"/>
  <c r="J240" i="11"/>
  <c r="I240" i="11"/>
  <c r="J239" i="11"/>
  <c r="I239" i="11"/>
  <c r="J238" i="11"/>
  <c r="I238" i="11"/>
  <c r="J237" i="11"/>
  <c r="I237" i="11"/>
  <c r="J236" i="11"/>
  <c r="I236" i="11"/>
  <c r="J235" i="11"/>
  <c r="I235" i="11"/>
  <c r="J234" i="11"/>
  <c r="I234" i="11"/>
  <c r="J233" i="11"/>
  <c r="I233" i="11"/>
  <c r="J232" i="11"/>
  <c r="I232" i="11"/>
  <c r="J231" i="11"/>
  <c r="I231" i="11"/>
  <c r="J230" i="11"/>
  <c r="I230" i="11"/>
  <c r="J229" i="11"/>
  <c r="I229" i="11"/>
  <c r="J228" i="11"/>
  <c r="I228" i="11"/>
  <c r="J227" i="11"/>
  <c r="I227" i="11"/>
  <c r="J226" i="11"/>
  <c r="I226" i="11"/>
  <c r="J225" i="11"/>
  <c r="I225" i="11"/>
  <c r="J224" i="11"/>
  <c r="I224" i="11"/>
  <c r="J223" i="11"/>
  <c r="I223" i="11"/>
  <c r="J222" i="11"/>
  <c r="I222" i="11"/>
  <c r="J221" i="11"/>
  <c r="I221" i="11"/>
  <c r="J220" i="11"/>
  <c r="I220" i="11"/>
  <c r="J219" i="11"/>
  <c r="I219" i="11"/>
  <c r="J218" i="11"/>
  <c r="I218" i="11"/>
  <c r="J217" i="11"/>
  <c r="I217" i="11"/>
  <c r="J216" i="11"/>
  <c r="I216" i="11"/>
  <c r="J215" i="11"/>
  <c r="I215" i="11"/>
  <c r="J214" i="11"/>
  <c r="I214" i="11"/>
  <c r="J213" i="11"/>
  <c r="I213" i="11"/>
  <c r="J212" i="11"/>
  <c r="I212" i="11"/>
  <c r="J211" i="11"/>
  <c r="I211" i="11"/>
  <c r="J210" i="11"/>
  <c r="I210" i="11"/>
  <c r="J209" i="11"/>
  <c r="I209" i="11"/>
  <c r="J208" i="11"/>
  <c r="I208" i="11"/>
  <c r="J207" i="11"/>
  <c r="I207" i="11"/>
  <c r="J206" i="11"/>
  <c r="I206" i="11"/>
  <c r="J205" i="11"/>
  <c r="I205" i="11"/>
  <c r="J204" i="11"/>
  <c r="I204" i="11"/>
  <c r="J203" i="11"/>
  <c r="I203" i="11"/>
  <c r="J202" i="11"/>
  <c r="I202" i="11"/>
  <c r="J201" i="11"/>
  <c r="I201" i="11"/>
  <c r="J200" i="11"/>
  <c r="I200" i="11"/>
  <c r="J199" i="11"/>
  <c r="I199" i="11"/>
  <c r="J198" i="11"/>
  <c r="I198" i="11"/>
  <c r="J197" i="11"/>
  <c r="I197" i="11"/>
  <c r="J196" i="11"/>
  <c r="I196" i="11"/>
  <c r="J195" i="11"/>
  <c r="I195" i="11"/>
  <c r="J194" i="11"/>
  <c r="I194" i="11"/>
  <c r="J193" i="11"/>
  <c r="I193" i="11"/>
  <c r="J192" i="11"/>
  <c r="I192" i="11"/>
  <c r="J191" i="11"/>
  <c r="I191" i="11"/>
  <c r="J190" i="11"/>
  <c r="I190" i="11"/>
  <c r="J189" i="11"/>
  <c r="I189" i="11"/>
  <c r="J188" i="11"/>
  <c r="I188" i="11"/>
  <c r="J187" i="11"/>
  <c r="I187" i="11"/>
  <c r="J186" i="11"/>
  <c r="I186" i="11"/>
  <c r="J185" i="11"/>
  <c r="I185" i="11"/>
  <c r="J184" i="11"/>
  <c r="I184" i="11"/>
  <c r="J183" i="11"/>
  <c r="I183" i="11"/>
  <c r="J182" i="11"/>
  <c r="I182" i="11"/>
  <c r="J181" i="11"/>
  <c r="I181" i="11"/>
  <c r="J180" i="11"/>
  <c r="I180" i="11"/>
  <c r="J179" i="11"/>
  <c r="I179" i="11"/>
  <c r="J178" i="11"/>
  <c r="I178" i="11"/>
  <c r="J177" i="11"/>
  <c r="I177" i="11"/>
  <c r="J176" i="11"/>
  <c r="I176" i="11"/>
  <c r="J175" i="11"/>
  <c r="I175" i="11"/>
  <c r="J174" i="11"/>
  <c r="I174" i="11"/>
  <c r="J173" i="11"/>
  <c r="I173" i="11"/>
  <c r="J172" i="11"/>
  <c r="I172" i="11"/>
  <c r="J171" i="11"/>
  <c r="I171" i="11"/>
  <c r="J170" i="11"/>
  <c r="I170" i="11"/>
  <c r="J169" i="11"/>
  <c r="I169" i="11"/>
  <c r="J168" i="11"/>
  <c r="I168" i="11"/>
  <c r="J167" i="11"/>
  <c r="I167" i="11"/>
  <c r="J166" i="11"/>
  <c r="I166" i="11"/>
  <c r="J165" i="11"/>
  <c r="I165" i="11"/>
  <c r="J164" i="11"/>
  <c r="I164" i="11"/>
  <c r="J163" i="11"/>
  <c r="I163" i="11"/>
  <c r="J162" i="11"/>
  <c r="I162" i="11"/>
  <c r="J161" i="11"/>
  <c r="I161" i="11"/>
  <c r="J160" i="11"/>
  <c r="I160" i="11"/>
  <c r="J159" i="11"/>
  <c r="I159" i="11"/>
  <c r="J158" i="11"/>
  <c r="I158" i="11"/>
  <c r="J157" i="11"/>
  <c r="I157" i="11"/>
  <c r="J156" i="11"/>
  <c r="I156" i="11"/>
  <c r="J155" i="11"/>
  <c r="I155" i="11"/>
  <c r="J154" i="11"/>
  <c r="I154" i="11"/>
  <c r="J153" i="11"/>
  <c r="I153" i="11"/>
  <c r="J152" i="11"/>
  <c r="I152" i="11"/>
  <c r="J151" i="11"/>
  <c r="I151" i="11"/>
  <c r="J150" i="11"/>
  <c r="I150" i="11"/>
  <c r="J149" i="11"/>
  <c r="I149" i="11"/>
  <c r="J148" i="11"/>
  <c r="I148" i="11"/>
  <c r="J147" i="11"/>
  <c r="I147" i="11"/>
  <c r="J146" i="11"/>
  <c r="I146" i="11"/>
  <c r="J145" i="11"/>
  <c r="I145" i="11"/>
  <c r="J144" i="11"/>
  <c r="I144" i="11"/>
  <c r="J143" i="11"/>
  <c r="I143" i="11"/>
  <c r="J142" i="11"/>
  <c r="I142" i="11"/>
  <c r="J141" i="11"/>
  <c r="I141" i="11"/>
  <c r="J140" i="11"/>
  <c r="I140" i="11"/>
  <c r="J139" i="11"/>
  <c r="I139" i="11"/>
  <c r="J138" i="11"/>
  <c r="I138" i="11"/>
  <c r="J137" i="11"/>
  <c r="I137" i="11"/>
  <c r="J136" i="11"/>
  <c r="I136" i="11"/>
  <c r="J135" i="11"/>
  <c r="I135" i="11"/>
  <c r="J134" i="11"/>
  <c r="I134" i="11"/>
  <c r="J133" i="11"/>
  <c r="I133" i="11"/>
  <c r="J132" i="11"/>
  <c r="I132" i="11"/>
  <c r="J131" i="11"/>
  <c r="I131" i="11"/>
  <c r="J130" i="11"/>
  <c r="I130" i="11"/>
  <c r="J129" i="11"/>
  <c r="I129" i="11"/>
  <c r="J128" i="11"/>
  <c r="I128" i="11"/>
  <c r="J127" i="11"/>
  <c r="I127" i="11"/>
  <c r="J126" i="11"/>
  <c r="I126" i="11"/>
  <c r="J125" i="11"/>
  <c r="I125" i="11"/>
  <c r="J124" i="11"/>
  <c r="I124" i="11"/>
  <c r="J123" i="11"/>
  <c r="I123" i="11"/>
  <c r="J122" i="11"/>
  <c r="I122" i="11"/>
  <c r="J121" i="11"/>
  <c r="I121" i="11"/>
  <c r="J120" i="11"/>
  <c r="I120" i="11"/>
  <c r="J119" i="11"/>
  <c r="I119" i="11"/>
  <c r="J118" i="11"/>
  <c r="I118" i="11"/>
  <c r="J117" i="11"/>
  <c r="I117" i="11"/>
  <c r="J116" i="11"/>
  <c r="I116" i="11"/>
  <c r="J115" i="11"/>
  <c r="I115" i="11"/>
  <c r="J114" i="11"/>
  <c r="I114" i="11"/>
  <c r="J113" i="11"/>
  <c r="I113" i="11"/>
  <c r="J112" i="11"/>
  <c r="I112" i="11"/>
  <c r="J111" i="11"/>
  <c r="I111" i="11"/>
  <c r="J110" i="11"/>
  <c r="I110" i="11"/>
  <c r="J109" i="11"/>
  <c r="I109" i="11"/>
  <c r="J108" i="11"/>
  <c r="I108" i="11"/>
  <c r="J107" i="11"/>
  <c r="I107" i="11"/>
  <c r="J106" i="11"/>
  <c r="I106" i="11"/>
  <c r="J105" i="11"/>
  <c r="I105" i="11"/>
  <c r="J104" i="11"/>
  <c r="I104" i="11"/>
  <c r="J103" i="11"/>
  <c r="I103" i="11"/>
  <c r="J102" i="11"/>
  <c r="I102" i="11"/>
  <c r="J101" i="11"/>
  <c r="I101" i="11"/>
  <c r="J100" i="11"/>
  <c r="I100" i="11"/>
  <c r="J99" i="11"/>
  <c r="I99" i="11"/>
  <c r="J98" i="11"/>
  <c r="I98" i="11"/>
  <c r="J97" i="11"/>
  <c r="I97" i="11"/>
  <c r="J96" i="11"/>
  <c r="I96" i="11"/>
  <c r="J95" i="11"/>
  <c r="I95" i="11"/>
  <c r="J94" i="11"/>
  <c r="I94" i="11"/>
  <c r="J93" i="11"/>
  <c r="I93" i="11"/>
  <c r="J92" i="11"/>
  <c r="I92" i="11"/>
  <c r="J91" i="11"/>
  <c r="I91" i="11"/>
  <c r="J90" i="11"/>
  <c r="I90" i="11"/>
  <c r="J89" i="11"/>
  <c r="I89" i="11"/>
  <c r="J88" i="11"/>
  <c r="I88" i="11"/>
  <c r="J87" i="11"/>
  <c r="I87" i="11"/>
  <c r="J86" i="11"/>
  <c r="I86" i="11"/>
  <c r="J85" i="11"/>
  <c r="I85" i="11"/>
  <c r="J84" i="11"/>
  <c r="I84" i="11"/>
  <c r="J83" i="11"/>
  <c r="I83" i="11"/>
  <c r="J82" i="11"/>
  <c r="I82" i="11"/>
  <c r="J81" i="11"/>
  <c r="I81" i="11"/>
  <c r="J80" i="11"/>
  <c r="I80" i="11"/>
  <c r="J79" i="11"/>
  <c r="I79" i="11"/>
  <c r="J78" i="11"/>
  <c r="I78" i="11"/>
  <c r="J77" i="11"/>
  <c r="I77" i="11"/>
  <c r="J76" i="11"/>
  <c r="I76" i="11"/>
  <c r="J75" i="11"/>
  <c r="I75" i="11"/>
  <c r="J74" i="11"/>
  <c r="I74" i="11"/>
  <c r="J73" i="11"/>
  <c r="I73" i="11"/>
  <c r="J72" i="11"/>
  <c r="I72" i="11"/>
  <c r="J71" i="11"/>
  <c r="I71" i="11"/>
  <c r="J70" i="11"/>
  <c r="I70" i="11"/>
  <c r="J69" i="11"/>
  <c r="I69" i="11"/>
  <c r="J68" i="11"/>
  <c r="I68" i="11"/>
  <c r="J67" i="11"/>
  <c r="I67" i="11"/>
  <c r="J66" i="11"/>
  <c r="I66" i="11"/>
  <c r="J65" i="11"/>
  <c r="I65" i="11"/>
  <c r="J64" i="11"/>
  <c r="I64" i="11"/>
  <c r="J63" i="11"/>
  <c r="I63" i="11"/>
  <c r="J62" i="11"/>
  <c r="I62" i="11"/>
  <c r="J61" i="11"/>
  <c r="I61" i="11"/>
  <c r="J60" i="11"/>
  <c r="I60" i="11"/>
  <c r="J59" i="11"/>
  <c r="I59" i="11"/>
  <c r="J58" i="11"/>
  <c r="I58" i="11"/>
  <c r="J57" i="11"/>
  <c r="I57" i="11"/>
  <c r="J56" i="11"/>
  <c r="I56" i="11"/>
  <c r="J55" i="11"/>
  <c r="I55" i="11"/>
  <c r="J54" i="11"/>
  <c r="I54" i="11"/>
  <c r="J53" i="11"/>
  <c r="I53" i="11"/>
  <c r="J52" i="11"/>
  <c r="I52" i="11"/>
  <c r="J51" i="11"/>
  <c r="I51" i="11"/>
  <c r="J50" i="11"/>
  <c r="I50" i="11"/>
  <c r="J49" i="11"/>
  <c r="I49" i="11"/>
  <c r="J48" i="11"/>
  <c r="I48" i="11"/>
  <c r="J47" i="11"/>
  <c r="I47" i="11"/>
  <c r="J46" i="11"/>
  <c r="I46" i="11"/>
  <c r="J45" i="11"/>
  <c r="I45" i="11"/>
  <c r="J44" i="11"/>
  <c r="I44" i="11"/>
  <c r="J43" i="11"/>
  <c r="I43" i="11"/>
  <c r="J42" i="11"/>
  <c r="I42" i="11"/>
  <c r="J41" i="11"/>
  <c r="I41" i="11"/>
  <c r="J40" i="11"/>
  <c r="I40" i="11"/>
  <c r="J39" i="11"/>
  <c r="I39" i="11"/>
  <c r="J38" i="11"/>
  <c r="I38" i="11"/>
  <c r="J37" i="11"/>
  <c r="I37" i="11"/>
  <c r="J36" i="11"/>
  <c r="I36" i="11"/>
  <c r="J35" i="11"/>
  <c r="I35" i="11"/>
  <c r="J34" i="11"/>
  <c r="I34" i="11"/>
  <c r="J33" i="11"/>
  <c r="I33" i="11"/>
  <c r="J32" i="11"/>
  <c r="I32" i="11"/>
  <c r="J31" i="11"/>
  <c r="I31" i="11"/>
  <c r="J30" i="11"/>
  <c r="I30" i="11"/>
  <c r="J29" i="11"/>
  <c r="I29" i="11"/>
  <c r="J28" i="11"/>
  <c r="I28" i="11"/>
  <c r="J27" i="11"/>
  <c r="I27" i="11"/>
  <c r="J26" i="11"/>
  <c r="I26" i="11"/>
  <c r="J25" i="11"/>
  <c r="I25" i="11"/>
  <c r="J24" i="11"/>
  <c r="I24" i="11"/>
  <c r="J23" i="11"/>
  <c r="I23" i="11"/>
  <c r="J22" i="11"/>
  <c r="I22" i="11"/>
  <c r="J21" i="11"/>
  <c r="I21" i="11"/>
  <c r="J20" i="11"/>
  <c r="I20" i="11"/>
  <c r="J19" i="11"/>
  <c r="I19" i="11"/>
  <c r="J18" i="11"/>
  <c r="I18" i="11"/>
  <c r="J17" i="11"/>
  <c r="I17" i="11"/>
  <c r="J16" i="11"/>
  <c r="I16" i="11"/>
  <c r="J15" i="11"/>
  <c r="I15" i="11"/>
  <c r="J14" i="11"/>
  <c r="I14" i="11"/>
  <c r="J13" i="11"/>
  <c r="I13" i="11"/>
  <c r="J12" i="11"/>
  <c r="I12" i="11"/>
  <c r="J11" i="11"/>
  <c r="I11" i="11"/>
  <c r="J10" i="11"/>
  <c r="I10" i="11"/>
  <c r="J9" i="11"/>
  <c r="I9" i="11"/>
  <c r="J8" i="11"/>
  <c r="I8" i="11"/>
  <c r="J7" i="11"/>
  <c r="I7" i="11"/>
  <c r="J6" i="11"/>
  <c r="I6" i="11"/>
  <c r="J5" i="11"/>
  <c r="I5" i="11"/>
  <c r="N1" i="9" l="1"/>
  <c r="O2" i="9" l="1"/>
</calcChain>
</file>

<file path=xl/connections.xml><?xml version="1.0" encoding="utf-8"?>
<connections xmlns="http://schemas.openxmlformats.org/spreadsheetml/2006/main">
  <connection id="1" name="Connection112" type="4" refreshedVersion="6" background="1" saveData="1">
    <webPr sourceData="1" parsePre="1" consecutive="1" xl2000="1" url="https://web.snmptn.ac.id/ptn/115" htmlFormat="all"/>
  </connection>
</connections>
</file>

<file path=xl/sharedStrings.xml><?xml version="1.0" encoding="utf-8"?>
<sst xmlns="http://schemas.openxmlformats.org/spreadsheetml/2006/main" count="21602" uniqueCount="1609">
  <si>
    <t>id</t>
  </si>
  <si>
    <t>Kode PTN</t>
  </si>
  <si>
    <t>Kode PRODI</t>
  </si>
  <si>
    <t>Program Studi</t>
  </si>
  <si>
    <t>D.T.</t>
  </si>
  <si>
    <t>Program SNMPTN</t>
  </si>
  <si>
    <t>minimum</t>
  </si>
  <si>
    <t>maksimum</t>
  </si>
  <si>
    <t>median</t>
  </si>
  <si>
    <t>rata2</t>
  </si>
  <si>
    <t>batas aman</t>
  </si>
  <si>
    <t>cukup</t>
  </si>
  <si>
    <t>DESAIN KOMUNIKASI VISUAL</t>
  </si>
  <si>
    <t>SOSHUM</t>
  </si>
  <si>
    <t>KRIYA SENI</t>
  </si>
  <si>
    <t>SENI KARAWITAN</t>
  </si>
  <si>
    <t>SENI RUPA MURNI</t>
  </si>
  <si>
    <t>SENI TARI</t>
  </si>
  <si>
    <t>SENI TEATER</t>
  </si>
  <si>
    <t>ARSITEKTUR</t>
  </si>
  <si>
    <t>SAINTEK</t>
  </si>
  <si>
    <t>BIOLOGI</t>
  </si>
  <si>
    <t>KIMIA</t>
  </si>
  <si>
    <t>PENDIDIKAN TEKNIK ELEKTRO</t>
  </si>
  <si>
    <t>PENDIDIKAN TEKNOLOGI INFORMATIKA</t>
  </si>
  <si>
    <t>TEKNIK LINGKUNGAN</t>
  </si>
  <si>
    <t>TEKNOLOGI INFORMASI</t>
  </si>
  <si>
    <t>BIMBINGAN KONSELING</t>
  </si>
  <si>
    <t>EKONOMI SYARIAH</t>
  </si>
  <si>
    <t>ILMU ADMINISTRASI NEGARA</t>
  </si>
  <si>
    <t>ILMU EKONOMI</t>
  </si>
  <si>
    <t>ILMU HUKUM</t>
  </si>
  <si>
    <t>ILMU PERPUSTAKAAN</t>
  </si>
  <si>
    <t>ILMU POLITIK</t>
  </si>
  <si>
    <t>KESEJAHTERAAN SOSIAL</t>
  </si>
  <si>
    <t>PERBANKAN SYARIAH</t>
  </si>
  <si>
    <t>PSIKOLOGI</t>
  </si>
  <si>
    <t>AGRIBISNIS</t>
  </si>
  <si>
    <t>AGROEKOTEKNOLOGI</t>
  </si>
  <si>
    <t>BUDIDAYA PERAIRAN</t>
  </si>
  <si>
    <t>ILMU KELAUTAN</t>
  </si>
  <si>
    <t>PENDIDIKAN DOKTER</t>
  </si>
  <si>
    <t>PENDIDIKAN FISIKA</t>
  </si>
  <si>
    <t>PENDIDIKAN KIMIA</t>
  </si>
  <si>
    <t>PENDIDIKAN MATEMATIKA</t>
  </si>
  <si>
    <t>PENDIDIKAN TEKNIK MESIN</t>
  </si>
  <si>
    <t>SISTEM INFORMASI</t>
  </si>
  <si>
    <t>TEKNIK ARSITEKTUR</t>
  </si>
  <si>
    <t>TEKNIK ELEKTRO</t>
  </si>
  <si>
    <t>TEKNIK INDUSTRI</t>
  </si>
  <si>
    <t>TEKNIK INFORMATIKA</t>
  </si>
  <si>
    <t>TEKNIK KIMIA</t>
  </si>
  <si>
    <t>TEKNIK MATERIAL</t>
  </si>
  <si>
    <t>TEKNIK MESIN</t>
  </si>
  <si>
    <t>TEKNIK SIPIL</t>
  </si>
  <si>
    <t>AKUNTANSI</t>
  </si>
  <si>
    <t>ANTROPOLOGI</t>
  </si>
  <si>
    <t>EKONOMI ISLAM</t>
  </si>
  <si>
    <t>ILMU ADMINISTRASI NIAGA</t>
  </si>
  <si>
    <t>ILMU EKONOMI &amp; STUDI PEMBANGUNAN</t>
  </si>
  <si>
    <t>ILMU KOMUNIKASI</t>
  </si>
  <si>
    <t>MANAJEMEN</t>
  </si>
  <si>
    <t>SASTRA INDONESIA</t>
  </si>
  <si>
    <t>SOSIOLOGI</t>
  </si>
  <si>
    <t>AGROTEKNOLOGI</t>
  </si>
  <si>
    <t>FISIKA</t>
  </si>
  <si>
    <t>MATEMATIKA</t>
  </si>
  <si>
    <t>PENDIDIKAN BIOLOGI</t>
  </si>
  <si>
    <t>EKONOMI MANAJEMEN</t>
  </si>
  <si>
    <t>EKONOMI PEMBANGUNAN</t>
  </si>
  <si>
    <t>PENDIDIKAN BAHASA INDONESIA</t>
  </si>
  <si>
    <t>PENDIDIKAN BAHASA INGGRIS</t>
  </si>
  <si>
    <t>PENDIDIKAN GEOGRAFI</t>
  </si>
  <si>
    <t>PENDIDIKAN GURU SEKOLAH DASAR</t>
  </si>
  <si>
    <t>PENDIDIKAN OLAHRAGA</t>
  </si>
  <si>
    <t>PENDIDIKAN SEJARAH</t>
  </si>
  <si>
    <t>Agroteknologi (PSDKU GAYO LUES)</t>
  </si>
  <si>
    <t>FARMASI</t>
  </si>
  <si>
    <t>ILMU KEPERAWATAN</t>
  </si>
  <si>
    <t>ILMU TANAH</t>
  </si>
  <si>
    <t>INFORMATIKA</t>
  </si>
  <si>
    <t>KEHUTANAN</t>
  </si>
  <si>
    <t>Kehutanan (PSDKU Gayo Lues)</t>
  </si>
  <si>
    <t>PEMANFAATAN SUMBERDAYA PERIKANAN</t>
  </si>
  <si>
    <t>Pendidikan Biologi (PDSKU Gayo Lues)</t>
  </si>
  <si>
    <t>PENDIDIKAN DOKTER GIGI</t>
  </si>
  <si>
    <t>PENDIDIKAN DOKTER HEWAN</t>
  </si>
  <si>
    <t>PERENCANAAN WILAYAH DAN KOTA</t>
  </si>
  <si>
    <t>PETERNAKAN</t>
  </si>
  <si>
    <t>PROTEKSI TANAMAN</t>
  </si>
  <si>
    <t>STATISTIKA</t>
  </si>
  <si>
    <t>TEKNIK GEOFISIKA</t>
  </si>
  <si>
    <t>TEKNIK GEOLOGI</t>
  </si>
  <si>
    <t>TEKNIK KOMPUTER</t>
  </si>
  <si>
    <t>Teknik Pertambangan</t>
  </si>
  <si>
    <t>TEKNIK PERTANIAN</t>
  </si>
  <si>
    <t>TEKNOLOGI HASIL PERTANIAN</t>
  </si>
  <si>
    <t>ILMU PEMERINTAHAN</t>
  </si>
  <si>
    <t>Manajemen (PSDKU GAYO LUES)</t>
  </si>
  <si>
    <t>PENDIDIKAN BAHASA DAN SASTRA INDONESIA</t>
  </si>
  <si>
    <t>PENDIDIKAN EKONOMI</t>
  </si>
  <si>
    <t>PENDIDIKAN GURU PAUD</t>
  </si>
  <si>
    <t>PENDIDIKAN KESEJAHTERAAN KELUARGA</t>
  </si>
  <si>
    <t>PENDIDIKAN PANCASILA DAN KEWARGANEGARAAN</t>
  </si>
  <si>
    <t>PENDIDIKAN SENI DRAMA TARI DAN MUSIK</t>
  </si>
  <si>
    <t>PEND. JASMANI KESEHATAN DAN REKREASI</t>
  </si>
  <si>
    <t>AKUAKULTUR</t>
  </si>
  <si>
    <t>KESEHATAN MASYARAKAT</t>
  </si>
  <si>
    <t>PERIKANAN</t>
  </si>
  <si>
    <t>SUMBER DAYA AKUATIK</t>
  </si>
  <si>
    <t>ILMU KESEHATAN MASYARAKAT</t>
  </si>
  <si>
    <t>ILMU KOMPUTER</t>
  </si>
  <si>
    <t>HUKUM</t>
  </si>
  <si>
    <t>GIZI</t>
  </si>
  <si>
    <t>ILMU KEOLAHRAGAAN</t>
  </si>
  <si>
    <t>PENDIDIKAN IPA</t>
  </si>
  <si>
    <t>PENDIDIKAN TEKNIK BANGUNAN</t>
  </si>
  <si>
    <t>PENDIDIKAN TEKNIK OTOMOTIF</t>
  </si>
  <si>
    <t>PENDIDIKAN TEKNOLOGI INFORMATIKA DAN KOMPUTER</t>
  </si>
  <si>
    <t>PEND. BAHASA, SASTRA INDONESIA &amp; DAERAH</t>
  </si>
  <si>
    <t>PEND. GURU PENDIDIKAN ANAK USIA DINI</t>
  </si>
  <si>
    <t>PENDIDIKAN ADMINISTRASI PERKANTORAN</t>
  </si>
  <si>
    <t>PENDIDIKAN AKUNTANSI</t>
  </si>
  <si>
    <t>PENDIDIKAN ANTROPOLOGI</t>
  </si>
  <si>
    <t>PENDIDIKAN BAHASA JERMAN</t>
  </si>
  <si>
    <t>PENDIDIKAN BAHASA PERANCIS</t>
  </si>
  <si>
    <t>PENDIDIKAN BIMBINGAN DAN KONSELING</t>
  </si>
  <si>
    <t>PENDIDIKAN GURU SEKOLAH DASAR (PGSD)</t>
  </si>
  <si>
    <t>PENDIDIKAN KEPELATIHAN OLAHRAGA (PKO)</t>
  </si>
  <si>
    <t>PENDIDIKAN LUAR SEKOLAH (PLS)</t>
  </si>
  <si>
    <t>PENDIDIKAN SENI MUSIK</t>
  </si>
  <si>
    <t>PENDIDIKAN SENI RUPA</t>
  </si>
  <si>
    <t>PENDIDIKAN SENI TARI</t>
  </si>
  <si>
    <t>PENDIDIKAN TATA BOGA</t>
  </si>
  <si>
    <t>PENDIDIKAN TATA BUSANA</t>
  </si>
  <si>
    <t>PENDIDIKAN TATA NIAGA</t>
  </si>
  <si>
    <t>PENDIDIKAN TATA RIAS</t>
  </si>
  <si>
    <t>PEND. JASMANI, KESEHATAN &amp; REKREASI</t>
  </si>
  <si>
    <t>PEND. PANCASILA &amp; KEWARGANEGARAAN (PPKN)</t>
  </si>
  <si>
    <t>SASTRA INGGRIS</t>
  </si>
  <si>
    <t>SENI PERTUNJUKAN</t>
  </si>
  <si>
    <t>ILMU DAN TEKNOLOGI PANGAN</t>
  </si>
  <si>
    <t>KETEKNIKAN PERTANIAN</t>
  </si>
  <si>
    <t>MANAJEMEN SUMBER DAYA PERAIRAN</t>
  </si>
  <si>
    <t>ANTROPOLOGI SOSIAL</t>
  </si>
  <si>
    <t>ETNO MUSIKOLOGI</t>
  </si>
  <si>
    <t>ILMU ADMINISTRASI NIAGA/BISNIS</t>
  </si>
  <si>
    <t>ILMU KESEJAHTERAAN SOSIAL</t>
  </si>
  <si>
    <t>ILMU SEJARAH</t>
  </si>
  <si>
    <t>SASTRA ARAB</t>
  </si>
  <si>
    <t>SASTRA CINA</t>
  </si>
  <si>
    <t>SASTRA DAERAH UNTUK SASTRA BATAK</t>
  </si>
  <si>
    <t>SASTRA DAERAH UNTUK SASTRA MELAYU</t>
  </si>
  <si>
    <t>SASTRA JEPANG</t>
  </si>
  <si>
    <t>ANTROPOLOGI BUDAYA</t>
  </si>
  <si>
    <t>DESAIN DAN KOMUNIKASI VISUAL</t>
  </si>
  <si>
    <t>FOTOGRAFI</t>
  </si>
  <si>
    <t>PENDIDIKAN KRIYA</t>
  </si>
  <si>
    <t>SENI KRIYA</t>
  </si>
  <si>
    <t>SENI MURNI</t>
  </si>
  <si>
    <t>SENI MUSIK</t>
  </si>
  <si>
    <t>TV DAN FILM</t>
  </si>
  <si>
    <t>KEBIDANAN</t>
  </si>
  <si>
    <t>PENYULUHAN PERTANIAN</t>
  </si>
  <si>
    <t>PETERNAKAN ( KAMPUS II PAYAKUMBUH)</t>
  </si>
  <si>
    <t>SISTEM KOMPUTER</t>
  </si>
  <si>
    <t>TEKNOLOGI INDUSTRI PERTANIAN</t>
  </si>
  <si>
    <t>EKONOMI PEMBANGUNAN (KAMPUS 2 PAYAKUMBUH)</t>
  </si>
  <si>
    <t>ILMU HUBUNGAN INTERNASIONAL</t>
  </si>
  <si>
    <t>MANAJEMEN (KAMPUS 2 PAYAKUMBUH)</t>
  </si>
  <si>
    <t>SASTRA DAERAH MINANGKABAU</t>
  </si>
  <si>
    <t>BIOLOGI (NK)</t>
  </si>
  <si>
    <t>FISIKA (NK)</t>
  </si>
  <si>
    <t>ILMU KEOLAHRAGAAN (NK)</t>
  </si>
  <si>
    <t>KIMIA (NK)</t>
  </si>
  <si>
    <t>MATEMATIKA (NK)</t>
  </si>
  <si>
    <t>PENDIDIKAN ILMU PENGETAHUAN ALAM</t>
  </si>
  <si>
    <t>PENDIDIKAN TEKNIK ELEKTRONIKA</t>
  </si>
  <si>
    <t>PEND. TEKNIK INFORMATIKA DAN KOMPUTER</t>
  </si>
  <si>
    <t>STATISTIKA (NK)</t>
  </si>
  <si>
    <t>TEKNIK ELEKTRO INDUSTRI (NK)</t>
  </si>
  <si>
    <t>TEKNIK MESIN (NK)</t>
  </si>
  <si>
    <t>TEKNIK PERTAMBANGAN (NK)</t>
  </si>
  <si>
    <t>ADMINISTRASI PENDIDIKAN</t>
  </si>
  <si>
    <t>AKUNTANSI (NK)</t>
  </si>
  <si>
    <t>BAHASA &amp; SASTRA INDONESIA (NK)</t>
  </si>
  <si>
    <t>BAHASA &amp; SASTRA INGGRIS (NK)</t>
  </si>
  <si>
    <t>BIMBINGAN DAN KONSELING</t>
  </si>
  <si>
    <t>DISAIN KOM. VISUAL (NK)</t>
  </si>
  <si>
    <t>EKONOMI PEMBANGUNAN (NK)</t>
  </si>
  <si>
    <t>GEOGRAFI (NK)</t>
  </si>
  <si>
    <t>ILMU ADMINISTRASI NEGARA (NK)</t>
  </si>
  <si>
    <t>MANAJEMEN (NK)</t>
  </si>
  <si>
    <t>MANAJEMEN PERHOTELAN (NK)</t>
  </si>
  <si>
    <t>PENDD. BHS INGGRIS</t>
  </si>
  <si>
    <t>PENDD. BHS &amp; SAST. INDO. &amp; DAERAH</t>
  </si>
  <si>
    <t>PENDD. KEPELATIHAN OLAHRAGA</t>
  </si>
  <si>
    <t>PENDD. KESEJAHTERAAN KELUARGA</t>
  </si>
  <si>
    <t>PENDIDIKAN BAHASA JEPANG</t>
  </si>
  <si>
    <t>PENDIDIKAN KEAGAMAAN ISLAM</t>
  </si>
  <si>
    <t>PENDIDIKAN LUAR BIASA</t>
  </si>
  <si>
    <t>PENDIDIKAN LUAR SEKOLAH</t>
  </si>
  <si>
    <t>PENDIDIKAN MUSIK</t>
  </si>
  <si>
    <t>PENDIDIKAN SENDRATASIK</t>
  </si>
  <si>
    <t>PENDIDIKAN SOSIOLOGI ANTROPOLOGI</t>
  </si>
  <si>
    <t>PENDIDIKAN TARI</t>
  </si>
  <si>
    <t>PENJASKESREK</t>
  </si>
  <si>
    <t>PERPUSTAKAAN DAN ILMU INFORMASI</t>
  </si>
  <si>
    <t>PGSD (PENDIDIKAN GURU SEKOLAH DASAR)</t>
  </si>
  <si>
    <t>TATA RIAS DAN KECANTIKAN (NK)</t>
  </si>
  <si>
    <t>TEKNOLOGI PENDIDIKAN</t>
  </si>
  <si>
    <t>ILMU PERTANIAN (AGROTEKNOLOGI)</t>
  </si>
  <si>
    <t>ILMU PETERNAKAN</t>
  </si>
  <si>
    <t>MANAJEMEN SUMBERDAYA PERAIRAN</t>
  </si>
  <si>
    <t>PEND. BIOLOGI</t>
  </si>
  <si>
    <t>PEND. DOKTER</t>
  </si>
  <si>
    <t>PEND. FISIKA</t>
  </si>
  <si>
    <t>PEND. KIMIA</t>
  </si>
  <si>
    <t>PEND. MATEMATIKA</t>
  </si>
  <si>
    <t>SOSIAL EKONOMI PERIKANAN</t>
  </si>
  <si>
    <t>SOSIAL EKONOMI PERTANIAN (AGRIBISNIS)</t>
  </si>
  <si>
    <t>TEKNIK ARSITEK</t>
  </si>
  <si>
    <t>TEKNOLOGI HASIL PERIKANAN</t>
  </si>
  <si>
    <t>HUBUNGAN INTERNASIONAL</t>
  </si>
  <si>
    <t>PARIWISATA</t>
  </si>
  <si>
    <t>PAUD</t>
  </si>
  <si>
    <t>PEND. BAHASA JEPANG</t>
  </si>
  <si>
    <t>PEND. BAHASA, SASTRA INDONEIA &amp; DAERAH</t>
  </si>
  <si>
    <t>PEND. BHS. INGGRIS</t>
  </si>
  <si>
    <t>PEND. EKONOMI</t>
  </si>
  <si>
    <t>PEND JASMANI KESEHATAN &amp; REKREASI</t>
  </si>
  <si>
    <t>PEND KEPELATIHAN OLAHRAGA</t>
  </si>
  <si>
    <t>PEND. LUAR SEKOLAH</t>
  </si>
  <si>
    <t>PEND. SEJARAH</t>
  </si>
  <si>
    <t>PGSD</t>
  </si>
  <si>
    <t>BUDI DAYA PERAIRAN</t>
  </si>
  <si>
    <t>KEDOKTERAN</t>
  </si>
  <si>
    <t>KEPELATIHAN OLAHRAGA</t>
  </si>
  <si>
    <t>PEND. OLAHRAGA &amp; KESEHATAN</t>
  </si>
  <si>
    <t>TEKNIK PERTAMBANGAN</t>
  </si>
  <si>
    <t>ARKEOLOGI</t>
  </si>
  <si>
    <t>ILMU EKONOMI PEMBANGUNAN</t>
  </si>
  <si>
    <t>PEND. BAHASA INGGRIS</t>
  </si>
  <si>
    <t>PEND. GURU SEKOLAH DASAR</t>
  </si>
  <si>
    <t>PENDIDIKAN BAHASA ARAB</t>
  </si>
  <si>
    <t>SENI DRAMA TARI DAN MUSIK</t>
  </si>
  <si>
    <t>GEOFISIKA</t>
  </si>
  <si>
    <t>JURNALISTIK</t>
  </si>
  <si>
    <t>PENDIDIKAN GURU PENDIDIKAN ANAK USIA DINI</t>
  </si>
  <si>
    <t>PENDIDIKAN JASMANI DAN KESEHATAN</t>
  </si>
  <si>
    <t>AGRONOMI</t>
  </si>
  <si>
    <t>KESEHATAN LINGKUNGAN</t>
  </si>
  <si>
    <t>PEND BIOLOGI</t>
  </si>
  <si>
    <t>PEND FISIKA</t>
  </si>
  <si>
    <t>PEND TEKNIK MESIN</t>
  </si>
  <si>
    <t>BIMB &amp; KONSELING</t>
  </si>
  <si>
    <t>ILMU ADM NEGARA</t>
  </si>
  <si>
    <t>PEND BHS INGGRIS</t>
  </si>
  <si>
    <t>PEND BHS, SATRA IND &amp; DAERAH</t>
  </si>
  <si>
    <t>PEND EKONOMI</t>
  </si>
  <si>
    <t>PEND SEJARAH</t>
  </si>
  <si>
    <t>PENJASKES</t>
  </si>
  <si>
    <t>PPKN</t>
  </si>
  <si>
    <t>EKONOMI</t>
  </si>
  <si>
    <t>ARSITEKTUR LANSKAP</t>
  </si>
  <si>
    <t>SAINS ATMOSFIR DAN KEPLANETAN</t>
  </si>
  <si>
    <t>TEKNIK BIOSISTEM</t>
  </si>
  <si>
    <t>TEKNIK FISIKA</t>
  </si>
  <si>
    <t>TEKNIK GEOMATIKA</t>
  </si>
  <si>
    <t>TEKNIK KELAUTAN</t>
  </si>
  <si>
    <t>TEKNIK SISTEM ENERGI</t>
  </si>
  <si>
    <t>TEKNOLOGI PANGAN</t>
  </si>
  <si>
    <t>BIOLOGI TERAPAN</t>
  </si>
  <si>
    <t>NUTRISI DAN TEKNOLOGI PANGAN TERNAK</t>
  </si>
  <si>
    <t>PENDIDIKAN VOKASIONAL TEKNOLOGI INFORMASI</t>
  </si>
  <si>
    <t>PEND. KEDOKTERAN</t>
  </si>
  <si>
    <t>SUMBERDAYA AKUATIK</t>
  </si>
  <si>
    <t>TEKNIK GEODESI</t>
  </si>
  <si>
    <t>BAHASA PERANCIS</t>
  </si>
  <si>
    <t>BIMB. KONSELING</t>
  </si>
  <si>
    <t>IESP</t>
  </si>
  <si>
    <t>ILMU ADM. NEGARA</t>
  </si>
  <si>
    <t>ILMU ADM. NIAGA/BISNIS</t>
  </si>
  <si>
    <t>PEND. BAHASA INDONESIA</t>
  </si>
  <si>
    <t>PEND. B. INGGRIS</t>
  </si>
  <si>
    <t>PEND. GEOGRAFI</t>
  </si>
  <si>
    <t>Pendidikan Anak Usia Dini</t>
  </si>
  <si>
    <t>PEND. SENI DRAMA,TARI&amp;MUSIK</t>
  </si>
  <si>
    <t>AKTUARIA</t>
  </si>
  <si>
    <t>ARSITEKTUR INTERIOR</t>
  </si>
  <si>
    <t>GEOGRAFI</t>
  </si>
  <si>
    <t>GEOLOGI</t>
  </si>
  <si>
    <t>KESELAMATAN DAN KESEHATAN KERJA</t>
  </si>
  <si>
    <t>TEKNIK BIOMEDIS</t>
  </si>
  <si>
    <t>TEKNIK METALURGI &amp; MATERIAL</t>
  </si>
  <si>
    <t>TEKNIK PERKAPALAN</t>
  </si>
  <si>
    <t>TEKNOLOGI BIOPROSES</t>
  </si>
  <si>
    <t>ARKEOLOGI INDONESIA</t>
  </si>
  <si>
    <t>BAHASA DAN KEBUDAYAAN KOREA</t>
  </si>
  <si>
    <t>BISNIS ISLAM</t>
  </si>
  <si>
    <t>ILMU ADMINISTRASI FISKAL</t>
  </si>
  <si>
    <t>ILMU EKONOMI ISLAM</t>
  </si>
  <si>
    <t>ILMU FILSAFAT</t>
  </si>
  <si>
    <t>ILMU PSIKOLOGI</t>
  </si>
  <si>
    <t>KRIMINOLOGI</t>
  </si>
  <si>
    <t>SASTRA BELANDA</t>
  </si>
  <si>
    <t>SASTRA DAERAH UNTUK SASTRA JAWA</t>
  </si>
  <si>
    <t>SASTRA JERMAN</t>
  </si>
  <si>
    <t>SASTRA PERANCIS</t>
  </si>
  <si>
    <t>SASTRA RUSIA</t>
  </si>
  <si>
    <t>SOSIAL EKONOMI PERTANIAN / AGRIBISNIS</t>
  </si>
  <si>
    <t>BAHASA DAN SASTRA INGGRIS</t>
  </si>
  <si>
    <t>ILMU EKONOMI DAN STUDI PEMBANGUNAN</t>
  </si>
  <si>
    <t>PENDIDIKAN INFORMATIKA</t>
  </si>
  <si>
    <t>PENDIDIKAN VOKASIONAL KONSTRUKSI BANGUNAN</t>
  </si>
  <si>
    <t>PENDIDIKAN VOKASIONAL TEKNIK ELEKTRO</t>
  </si>
  <si>
    <t>PENDIDIKAN VOKASIONAL TEKNIK ELEKTRONIKA</t>
  </si>
  <si>
    <t>PENDIDIKAN VOKASIONAL TEKNIK MESIN</t>
  </si>
  <si>
    <t>REKAYASA KESELAMATAN KEBAKARAN</t>
  </si>
  <si>
    <t>BIMBINGAN &amp; KONSELING</t>
  </si>
  <si>
    <t>KEPELATIHAN KECABANGAN OLAHRAGA</t>
  </si>
  <si>
    <t>MANAJEMEN PENDIDIKAN</t>
  </si>
  <si>
    <t>OLAHRAGA REKREASI</t>
  </si>
  <si>
    <t>PEND. GURU PAUD</t>
  </si>
  <si>
    <t>PENDIDIKAN AGAMA ISLAM</t>
  </si>
  <si>
    <t>PENDIDIKAN BAHASA MANDARIN</t>
  </si>
  <si>
    <t>PENDIDIKAN BAHASA PRANCIS</t>
  </si>
  <si>
    <t>PENDIDIKAN BISNIS</t>
  </si>
  <si>
    <t>PENDIDIKAN ILMU PENGETAHUAN SOSIAL</t>
  </si>
  <si>
    <t>PENDIDIKAN JASMANI</t>
  </si>
  <si>
    <t>PENDIDIKAN KEPELATIHAN OLAHRAGA</t>
  </si>
  <si>
    <t>PENDIDIKAN KHUSUS</t>
  </si>
  <si>
    <t>PENDIDIKAN MASYARAKAT</t>
  </si>
  <si>
    <t>PENDIDIKAN PANCASILA &amp; KEWARGANEGARAAN</t>
  </si>
  <si>
    <t>PENDIDIKAN SOSIOLOGI</t>
  </si>
  <si>
    <t>PENDIDIKAN VOKASIONAL DESAIN FASHION</t>
  </si>
  <si>
    <t>PENDIDIKAN VOKASIONAL KESEJAHTERAAN KELUARGA</t>
  </si>
  <si>
    <t>PENDIDIKAN VOKASIONAL SENI KULINER</t>
  </si>
  <si>
    <t>PENDIDIKAN VOKASIONAL TATA RIAS</t>
  </si>
  <si>
    <t>KEPERAWATAN</t>
  </si>
  <si>
    <t>AGRONOMI DAN HORTIKULTURA</t>
  </si>
  <si>
    <t>ARSITEKTUR LANSEKAP</t>
  </si>
  <si>
    <t>BIOKIMIA</t>
  </si>
  <si>
    <t>BISNIS</t>
  </si>
  <si>
    <t>EKONOMI SUMBERDAYA DAN LINGKUNGAN</t>
  </si>
  <si>
    <t>ILMU DAN TEKNOLOGI KELAUTAN</t>
  </si>
  <si>
    <t>ILMU GIZI</t>
  </si>
  <si>
    <t>ILMU KELUARGA DAN KONSUMEN</t>
  </si>
  <si>
    <t>KEDOKTERAN HEWAN</t>
  </si>
  <si>
    <t>KOMUNIKASI DAN PENGEMBANGAN MASYARAKAT</t>
  </si>
  <si>
    <t>KONSERVASI SUMBERDAYAHUTAN&amp; EKOWISATA</t>
  </si>
  <si>
    <t>MANAJEMEN HUTAN</t>
  </si>
  <si>
    <t>MANAJEMEN SUMBERDAYA LAHAN</t>
  </si>
  <si>
    <t>METEOROLOGI TERAPAN</t>
  </si>
  <si>
    <t>NUTRISI DAN TEKNOLOGI PAKAN</t>
  </si>
  <si>
    <t>SILVIKULTUR</t>
  </si>
  <si>
    <t>TEKNIK PERTANIAN DAN BIOSISTEM</t>
  </si>
  <si>
    <t>TEKNIK SIPIL DAN LINGKUNGAN</t>
  </si>
  <si>
    <t>TEKNOLOGI HASIL HUTAN</t>
  </si>
  <si>
    <t>TEKNOLOGI HASIL PERAIRAN</t>
  </si>
  <si>
    <t>TEKNOLOGI HASIL TERNAK</t>
  </si>
  <si>
    <t>TEKNOLOGI &amp; MANAJEMEN PERIKANAN BUDIDAYA</t>
  </si>
  <si>
    <t>TEKNOLOGI &amp; MANAJEMEN PERIKANAN TANGKAP</t>
  </si>
  <si>
    <t>TEKNOLOGI PRODUKSI TERNAK</t>
  </si>
  <si>
    <t>FAK. ILMU DAN TEKNOLOGI KEBUMIAN (FITB)</t>
  </si>
  <si>
    <t>FAK. MATEMATIKA &amp; ILMU PENGET. ALAM (FMIPA)</t>
  </si>
  <si>
    <t>FAK. TEKNIK PERTAMB. &amp; PERMINYAKAN (FTTM)</t>
  </si>
  <si>
    <t>FAKULTAS TEKNIK MESIN &amp; DIRGANTARA (FTMD)</t>
  </si>
  <si>
    <t>FAKULTAS TEKNIK SIPIL DAN LINGKUNGAN (FTSL) - KAMPUS JATINANGOR</t>
  </si>
  <si>
    <t>FAKULTAS TEKNIK SIPIL &amp; LINGKUNGAN (FTSL) - Kampus Ganesa</t>
  </si>
  <si>
    <t>FAKULTAS TEKNOLOGI INDUSTRI (FTI) - KAMPUS CIREBON</t>
  </si>
  <si>
    <t>FAKULTAS TEKNOLOGI INDUSTRI (FTI) - Kampus Ganesa</t>
  </si>
  <si>
    <t>FAKULTAS TEKNOLOGI INDUSTRI (FTI) - KAMPUS JATINANGOR</t>
  </si>
  <si>
    <t>SEK. ARSITEKTUR, PERENC &amp;amp; PENGEMB KEBIJAKAN (SAPPK) - KAMPUS CIREBON</t>
  </si>
  <si>
    <t>SEK. ARSITEKTUR, PERENC &amp; PENGEMB KEBIJAKAN</t>
  </si>
  <si>
    <t>SEKOLAH FARMASI (SF)</t>
  </si>
  <si>
    <t>SEKOLAH ILMU &amp; TEKNO HAYATI - PROG REKAYASA</t>
  </si>
  <si>
    <t>SEKOLAH ILMU &amp; TEKNO. HAYATI - PROG. SAINS</t>
  </si>
  <si>
    <t>SEKOLAH TEK. ELEKTRO &amp; INFORMATIKA (STEI)</t>
  </si>
  <si>
    <t>FAKULTAS SENIRUPA DAN DESAIN (FSRD)</t>
  </si>
  <si>
    <t>FAKULTAS SENIRUPA DAN DESAIN (FSRD) - KAMPUS CIREBON</t>
  </si>
  <si>
    <t>SEKOLAH BISNIS DAN MANAJEMEN (SBM)</t>
  </si>
  <si>
    <t>KARAWITAN</t>
  </si>
  <si>
    <t>TARI</t>
  </si>
  <si>
    <t>TEATER</t>
  </si>
  <si>
    <t>ADMINISTRASI PUBLIK</t>
  </si>
  <si>
    <t>ILMU KOM. KONST. HUMAS</t>
  </si>
  <si>
    <t>ILMU KOM. KONST. JURNALISTIK</t>
  </si>
  <si>
    <t>HUBUNGAN MASYARAKAT</t>
  </si>
  <si>
    <t>ILMU ADMINISTRASI BISNIS</t>
  </si>
  <si>
    <t>MANAJEMEN KOMUNIKASI</t>
  </si>
  <si>
    <t>SASTRA SUNDA</t>
  </si>
  <si>
    <t>TELEVISI DAN FILM</t>
  </si>
  <si>
    <t>PENDIDIKAN ILMU KOMPUTER</t>
  </si>
  <si>
    <t>PENDIDIKAN KELAUTAN DAN PERIKANAN KAMPUS SERANG</t>
  </si>
  <si>
    <t>PENDIDIKAN MULTIMEDIA KAMPUS CIBIRU</t>
  </si>
  <si>
    <t>PENDIDIKAN SISTEM DAN TEKNOLOGI INFORMASI KAMPUS PURWAKARTA</t>
  </si>
  <si>
    <t>PENDIDIKAN TEKNIK ARSITEKTUR</t>
  </si>
  <si>
    <t>PENDIDIKAN TEKNOLOGI AGRO INDUSTRI</t>
  </si>
  <si>
    <t>BAHASA DAN SASTRA INDONESIA</t>
  </si>
  <si>
    <t>ILMU EKONOMI DAN KEUANGAN ISLAM</t>
  </si>
  <si>
    <t>ILMU PENDIDIKAN AGAMA ISLAM</t>
  </si>
  <si>
    <t>KEWIRAUSAHAAN KAMPUS TASIKMALAYA</t>
  </si>
  <si>
    <t>MANAJEMEN INDUSTRI KATERING</t>
  </si>
  <si>
    <t>MANAJEMEN PEMASARAN PARIWISATA</t>
  </si>
  <si>
    <t>MANAJEMEN RESORT DAN LEISURE</t>
  </si>
  <si>
    <t>PENDIDIKAN BAHASA KOREA</t>
  </si>
  <si>
    <t>PENDIDIKAN BAHASA SUNDA</t>
  </si>
  <si>
    <t>PENDIDIKAN BHS.DAN SASTRA INDONESIA</t>
  </si>
  <si>
    <t>PENDIDIKAN IPS</t>
  </si>
  <si>
    <t>PENDIDIKAN MANAJEMEN PERKANTORAN</t>
  </si>
  <si>
    <t>PENDIDIKAN SENI RUPA DAN KERAJINAN</t>
  </si>
  <si>
    <t>PEND. JASMANI KESEHATAN &amp; REKREASI (PJKR)</t>
  </si>
  <si>
    <t>PERPUSTAKAAN DAN INFORMASI</t>
  </si>
  <si>
    <t>PGPAUD KAMPUS BUMI SILIWANGI</t>
  </si>
  <si>
    <t>PGPAUD KAMPUS CIBIRU</t>
  </si>
  <si>
    <t>PGPAUD KAMPUS PURWAKARTA</t>
  </si>
  <si>
    <t>PGPAUD KAMPUS SERANG</t>
  </si>
  <si>
    <t>PGPAUD KAMPUS TASIKMALAYA</t>
  </si>
  <si>
    <t>PGSD KAMPUS BUMI SILIWANGI</t>
  </si>
  <si>
    <t>PGSD KAMPUS CIBIRU</t>
  </si>
  <si>
    <t>PGSD KAMPUS PURWAKARTA</t>
  </si>
  <si>
    <t>PGSD KAMPUS SERANG</t>
  </si>
  <si>
    <t>PGSD KAMPUS SUMEDANG</t>
  </si>
  <si>
    <t>PGSD KAMPUS TASIKMALAYA</t>
  </si>
  <si>
    <t>PGSD PENDIDIKAN JASMANI KAMPUS SUMEDANG</t>
  </si>
  <si>
    <t>PGSD PEND. JASMANI KAMPUS BUMI SILIWANGI</t>
  </si>
  <si>
    <t>PKN</t>
  </si>
  <si>
    <t>SAINS INFORMASI GEOGRAFI</t>
  </si>
  <si>
    <t>PENDIDIKAN JASMANI, KESEHATAN DAN REKREASI</t>
  </si>
  <si>
    <t>PEND. BAHASA DAN SASTRA INDONESIA</t>
  </si>
  <si>
    <t>PEND. JASMANI, KESEHATAN DAN REKREASI</t>
  </si>
  <si>
    <t>DESAIN INTERIOR</t>
  </si>
  <si>
    <t>ETNOMUSIKOLOGI</t>
  </si>
  <si>
    <t>SENI PEDALANGAN</t>
  </si>
  <si>
    <t>BIOTEKNOLOGI</t>
  </si>
  <si>
    <t>KEDOKTERAN GIGI</t>
  </si>
  <si>
    <t>OCEANOGRAFI</t>
  </si>
  <si>
    <t>PERIKANAN TANGKAP</t>
  </si>
  <si>
    <t>ADMINISTRASI BISNIS</t>
  </si>
  <si>
    <t>BAHASA DAN KEBUDAYAAN JEPANG</t>
  </si>
  <si>
    <t>SEJARAH</t>
  </si>
  <si>
    <t>PENDIDIKAN JASMANI KESEHATAN DAN REKREASI</t>
  </si>
  <si>
    <t>ADMINISTRASI NEGARA</t>
  </si>
  <si>
    <t>BAHASA JEPANG</t>
  </si>
  <si>
    <t>ILMU LINGKUNGAN</t>
  </si>
  <si>
    <t>PEND. TEKNIK INFORMATIKA &amp; KOMPUTER</t>
  </si>
  <si>
    <t>PEND. EKONOMI (PEND. ADMIN. PEKANTORAN)</t>
  </si>
  <si>
    <t>PEND.GURU PEND. ANAK USIA DINI (PGPAUD)</t>
  </si>
  <si>
    <t>PENDIDIKAN BAHASA DAN SASTRA JAWA</t>
  </si>
  <si>
    <t>PENDIDIKAN EKONOMI (PENDIDIKAN AKUNTANSI)</t>
  </si>
  <si>
    <t>PENDIDIKAN EKONOMI (PENDIDIKAN KOPERASI)</t>
  </si>
  <si>
    <t>PENDIDIKAN JASMANI, KESEHATAN &amp; REKREASI</t>
  </si>
  <si>
    <t>PENDIDIKAN JASMANI SEKOLAH DASAR</t>
  </si>
  <si>
    <t>PENDIDIKAN SOSIOLOGI &amp; ANTROPOLOGI</t>
  </si>
  <si>
    <t>Pendidikan Tata Boga</t>
  </si>
  <si>
    <t>Pendidikan Tata Busana</t>
  </si>
  <si>
    <t>PENDIDIKAN TATA KECANTIKAN</t>
  </si>
  <si>
    <t>P. SENI DRAMA, TARI &amp; MUSIK (P. SENI MUSIK)</t>
  </si>
  <si>
    <t>P. SENI DRAMA, TARI &amp; MUSIK (P. SENI TARI)</t>
  </si>
  <si>
    <t>SASTRA JAWA</t>
  </si>
  <si>
    <t>SASTRA PRANCIS</t>
  </si>
  <si>
    <t>SENI RUPA (DKV,LUKIS,PTNG,GRAFIS,GBR KRIYA)</t>
  </si>
  <si>
    <t>AGROTEKNOLOGI / AGROEKOTEKNOLOGI</t>
  </si>
  <si>
    <t>PENDIDIKAN TEKNIK INFORMATIKA &amp; KOMPUTER</t>
  </si>
  <si>
    <t>PENGELOLAAN HUTAN</t>
  </si>
  <si>
    <t>PENYULUHAN DAN KOMUNIKASI PERTANIAN</t>
  </si>
  <si>
    <t>PERENCANAAN WILAYAH DAN KOTA (PWK)</t>
  </si>
  <si>
    <t>KRIYA SENI (DESAIN TEKSTIL)</t>
  </si>
  <si>
    <t>PEND. GURU PEND ANAK USIA DINI (PG-PAUD)</t>
  </si>
  <si>
    <t>PEND. GURU SEKOLAH DASAR (PGSD) KEBUMEN</t>
  </si>
  <si>
    <t>PEND. GURU SEKOLAH DASAR (PGSD) SURAKARTA</t>
  </si>
  <si>
    <t>PENDIDIKAN BAHASA JAWA</t>
  </si>
  <si>
    <t>PENDIDIKAN LUAR BIASA (PENDIDIKAN KHUSUS)</t>
  </si>
  <si>
    <t>SENI RUPA MURNI (LUKIS, GRFS, PTNG, KRMIK)</t>
  </si>
  <si>
    <t>DESAIN PRODUK</t>
  </si>
  <si>
    <t>PENCIPTAAN MUSIK</t>
  </si>
  <si>
    <t>PENDIDIKAN SENI DRAMA, TARI, DAN MUSIK</t>
  </si>
  <si>
    <t>TATA KELOLA SENI</t>
  </si>
  <si>
    <t>AKUAKULTUR (BUDIDAYA PERIKANAN)</t>
  </si>
  <si>
    <t>EKONOMI PERTANIAN DAN AGRIBISNIS</t>
  </si>
  <si>
    <t>ELEKTRONIKA DAN INSTRUMENTASI</t>
  </si>
  <si>
    <t>GEOGRAFI LINGKUNGAN</t>
  </si>
  <si>
    <t>GIZI KESEHATAN</t>
  </si>
  <si>
    <t>HIGIENE GIGI</t>
  </si>
  <si>
    <t>ILMU AKTUARIA</t>
  </si>
  <si>
    <t>ILMU DAN INDUSTRI PETERNAKAN</t>
  </si>
  <si>
    <t>KARTOGRAFI DAN PENGINDERAAN JAUH</t>
  </si>
  <si>
    <t>MANAJEMEN SUMBERDAYA AKUATIK (MANAJEMEN SUMBER DAYA PERIKANAN)</t>
  </si>
  <si>
    <t>MIKROBIOLOGI PERTANIAN</t>
  </si>
  <si>
    <t>PEMBANGUNAN WILAYAH</t>
  </si>
  <si>
    <t>PROTEKSI TANAMAN (ILMU HAMA DAN PENYAKIT TUMBUHAN)</t>
  </si>
  <si>
    <t>TEKNIK NUKLIR</t>
  </si>
  <si>
    <t>TEKNOLOGI PANGAN DAN HASIL PERTANIAN</t>
  </si>
  <si>
    <t>FILSAFAT</t>
  </si>
  <si>
    <t>MANAJEMEN DAN KEBIJAKAN PUBLIK</t>
  </si>
  <si>
    <t>PEMBANGUNAN SOSIAL DAN KESEJAHTERAAN</t>
  </si>
  <si>
    <t>POLITIK DAN PEMERINTAHAN</t>
  </si>
  <si>
    <t>ILMU HUKUM (IH)</t>
  </si>
  <si>
    <t>ILMU KESEJAHTERAAN SOSIAL (IKS)</t>
  </si>
  <si>
    <t>ILMU PERPUSTAKAAN (IP)</t>
  </si>
  <si>
    <t>SASTRA INGGRIS (SI)</t>
  </si>
  <si>
    <t>PENDIDIKAN TEKNIK INFORMATIKA</t>
  </si>
  <si>
    <t>PENDIDIKAN TEKNIK MEKATRONIKA</t>
  </si>
  <si>
    <t>PENDIDIKAN TEKNIK SIPIL &amp; PERENCANAAN</t>
  </si>
  <si>
    <t>PGSD PENDIDIKAN JASMANI</t>
  </si>
  <si>
    <t>TEKNIK MANUFAKTUR</t>
  </si>
  <si>
    <t>BAHASA. DAN SASTRA INDONESIA</t>
  </si>
  <si>
    <t>KEBIJAKAN PENDIDIKAN</t>
  </si>
  <si>
    <t>PENDIDIKAN KEWARGANEGARAAN</t>
  </si>
  <si>
    <t>PENDIDIKAN SENI KERAJINAN</t>
  </si>
  <si>
    <t>PENDIDIKAN TEKNIK BOGA</t>
  </si>
  <si>
    <t>PENDIDIKAN TEKNIK BUSANA</t>
  </si>
  <si>
    <t>METALURGI</t>
  </si>
  <si>
    <t>TEKNIK PERMINYAKAN</t>
  </si>
  <si>
    <t>DESAIN PRODUK INDUSTRI</t>
  </si>
  <si>
    <t>SAINS AKTUARIA</t>
  </si>
  <si>
    <t>TEKNIK BIOMEDIK</t>
  </si>
  <si>
    <t>TEKNIK SISTEM PERKAPALAN</t>
  </si>
  <si>
    <t>TEKNIK TRANSPORTASI LAUT</t>
  </si>
  <si>
    <t>TEK. SIST PERKAPALAN (GLR GANDA ITS-JERMAN)</t>
  </si>
  <si>
    <t>MANAJEMEN BISNIS</t>
  </si>
  <si>
    <t>STUDI PEMBANGUNAN</t>
  </si>
  <si>
    <t>BUDIDAYA PERAIRAN (PSDKU BANYUWANGI)</t>
  </si>
  <si>
    <t>ILMU DAN TEKNOLOGI LINGKUNGAN</t>
  </si>
  <si>
    <t>KESEHATAN MASYARAKAT (PSDKU BANYUWANGI)</t>
  </si>
  <si>
    <t>Pendidikan Apoteker</t>
  </si>
  <si>
    <t>Pendidikan Bidan</t>
  </si>
  <si>
    <t>PENDIDIKAN DOKTER HEWAN (PSDKU BANYUWANGI)</t>
  </si>
  <si>
    <t>Pendidikan Ners</t>
  </si>
  <si>
    <t>Statistika</t>
  </si>
  <si>
    <t>TEKNOBIOMEDIK</t>
  </si>
  <si>
    <t>TEKNOLOGI INDUSTRI HASIL PERIKANAN</t>
  </si>
  <si>
    <t>AKUNTANSI (PSDKU BANYUWANGI)</t>
  </si>
  <si>
    <t>ILMU INFORMASI DAN PERPUSTAKAAN</t>
  </si>
  <si>
    <t>AGRIBISNIS (PSDKU KEDIRI)</t>
  </si>
  <si>
    <t>AGROBISNIS PERIKANAN</t>
  </si>
  <si>
    <t>AGROEKOTEKNOLOGI (PSDKU KEDIRI)</t>
  </si>
  <si>
    <t>AKUAKULTUR (PSDKU KEDIRI)</t>
  </si>
  <si>
    <t>GIZI KESEHATAN / ILMU GIZI</t>
  </si>
  <si>
    <t>INSTRUMENTASI</t>
  </si>
  <si>
    <t>PENDIDIKAN TEKNOLOGI INFORMASI</t>
  </si>
  <si>
    <t>PERENCANAAN WILAYAH &amp; KOTA</t>
  </si>
  <si>
    <t>PETERNAKAN (PSDKU KEDIRI)</t>
  </si>
  <si>
    <t>SOSIAL EKONOMI PERIKANAN (PSDKU KEDIRI)</t>
  </si>
  <si>
    <t>TEKNIK PENGAIRAN</t>
  </si>
  <si>
    <t>ADMINISTRASI PERPAJAKAN</t>
  </si>
  <si>
    <t>BAHASA DAN SASTRA PERANCIS</t>
  </si>
  <si>
    <t>EKONOMI, KEUANGAN DAN PERBANKAN</t>
  </si>
  <si>
    <t>ILMU ADMINISTRASI PUBLIK</t>
  </si>
  <si>
    <t>KEWIRAUSAHAAN</t>
  </si>
  <si>
    <t>PENDIDIKAN BHS &amp; SASTRA INDONESIA</t>
  </si>
  <si>
    <t>PENDIDIKAN BHS &amp; SASTRA INGGRIS</t>
  </si>
  <si>
    <t>PENDIDIKAN BHS &amp; SASTRA JEPANG</t>
  </si>
  <si>
    <t>ILMU PERTANIAN</t>
  </si>
  <si>
    <t>TEKNIK KONSTRUKSI PERKAPALAN</t>
  </si>
  <si>
    <t>EKONOMI SYARIAH KAMPUS BONDOWOSO</t>
  </si>
  <si>
    <t>PEND. GURU SEKOLAH DASAR KAMPUS BONDOWOSO</t>
  </si>
  <si>
    <t>PENDIDIKAN BHS. &amp; SASTRA INDO.</t>
  </si>
  <si>
    <t>PG PAUD</t>
  </si>
  <si>
    <t>TELEVISI &amp; FILM</t>
  </si>
  <si>
    <t>EKONOMI DAN STUDI PEMBANGUNAN</t>
  </si>
  <si>
    <t>PENDIDIKAN GURU PEND. ANAK USIA DINI</t>
  </si>
  <si>
    <t>PENDIDIKAN SENI TARI DAN MUSIK</t>
  </si>
  <si>
    <t>PEND. SAINS</t>
  </si>
  <si>
    <t>PEND. TEKNIK BANGUNAN</t>
  </si>
  <si>
    <t>PEND. TEKNIK ELEKTRO</t>
  </si>
  <si>
    <t>PEND. TEKNIK MESIN</t>
  </si>
  <si>
    <t>KURIKULUM DAN TEKNOLOGI PENDIDIKAN</t>
  </si>
  <si>
    <t>P. BAHASA DAERAH (JAWA)</t>
  </si>
  <si>
    <t>P. BAHASA DAN SASTRA INDONESIA</t>
  </si>
  <si>
    <t>P. BAHASA INGGRIS</t>
  </si>
  <si>
    <t>P. BAHASA JEPANG</t>
  </si>
  <si>
    <t>P. BAHASA JERMAN</t>
  </si>
  <si>
    <t>P. EKONOMI</t>
  </si>
  <si>
    <t>PEND. ADM. PERKANTORAN</t>
  </si>
  <si>
    <t>PEND. AKUNTANSI</t>
  </si>
  <si>
    <t>PEND. BAHASA MANDARIN</t>
  </si>
  <si>
    <t>PEND. ILMU PENGETAHUAN SOSIAL</t>
  </si>
  <si>
    <t>PENDI. LUAR BIASA</t>
  </si>
  <si>
    <t>PEND. KEPELATIHAN OLAHRAGA</t>
  </si>
  <si>
    <t>PEND. PANCASILA DAN KEWARGANEGARAAN</t>
  </si>
  <si>
    <t>PEND. TATA BOGA</t>
  </si>
  <si>
    <t>PEND. TATA BUSANA</t>
  </si>
  <si>
    <t>PEND. TATA NIAGA</t>
  </si>
  <si>
    <t>PEND. TATA RIAS</t>
  </si>
  <si>
    <t>P. GEOGRAFI</t>
  </si>
  <si>
    <t>PG-PAUD</t>
  </si>
  <si>
    <t>P. SENDRATASIK</t>
  </si>
  <si>
    <t>P. SENI RUPA</t>
  </si>
  <si>
    <t>PSIKOLOGI PENDIDIKAN DAN BIMBINGAN</t>
  </si>
  <si>
    <t>TEKNIK MEKATRONIKA</t>
  </si>
  <si>
    <t>HUKUM BISNIS SYARIAH</t>
  </si>
  <si>
    <t>PENDIDIKAN GURU ANAK USIA DINI</t>
  </si>
  <si>
    <t>ADMINISTRASI BISNIS/NIAGA</t>
  </si>
  <si>
    <t>TEKNIK METALURGI</t>
  </si>
  <si>
    <t>PENDIDIKAN ANAK USIA DINI</t>
  </si>
  <si>
    <t>PENDIDIKAN KONSELING</t>
  </si>
  <si>
    <t>KRIYA</t>
  </si>
  <si>
    <t>MUSIK</t>
  </si>
  <si>
    <t>PENDIDIKAN BAHASA BALI</t>
  </si>
  <si>
    <t>ARSITEKTUR PERTAMANAN</t>
  </si>
  <si>
    <t>FISIOTERAPI</t>
  </si>
  <si>
    <t>ILMU KOMPUTER/TEKNIK INFORMATIKA</t>
  </si>
  <si>
    <t>DESTINASI PARIWISATA</t>
  </si>
  <si>
    <t>INDUSTRI PERJALANAN WISATA</t>
  </si>
  <si>
    <t>SASTRA DAERAH JAWA KUNA</t>
  </si>
  <si>
    <t>SASTRA DAERAH UNTUK SASTRA BALI</t>
  </si>
  <si>
    <t>AGRONOMI/AGROEKOTEKNOLOGI</t>
  </si>
  <si>
    <t>BUDIDAYA PERIKANAN</t>
  </si>
  <si>
    <t>ILMU ADM.NEGARA</t>
  </si>
  <si>
    <t>ILMU ADM.NIAGA</t>
  </si>
  <si>
    <t>PEND. ANAK USIA DINI</t>
  </si>
  <si>
    <t>PEND. BHS &amp; SASTRA INDO.</t>
  </si>
  <si>
    <t>ADM. NEGARA</t>
  </si>
  <si>
    <t>EKO. PEMBANGUNAN</t>
  </si>
  <si>
    <t>PERENCANAAN WILAYAH KOTA</t>
  </si>
  <si>
    <t>STATISTIK</t>
  </si>
  <si>
    <t>AKUNTANSI (KELAS INTERNASIONAL)</t>
  </si>
  <si>
    <t>EKONOMI PEMBANGUAN</t>
  </si>
  <si>
    <t>ILMU SOSIATRI/PEM. MASYARAKAT</t>
  </si>
  <si>
    <t>MANAJEMEN (KELAS INTERNASIONAL)</t>
  </si>
  <si>
    <t>MANAJEMEN SUMBER PERAIRAN</t>
  </si>
  <si>
    <t>PEND. BIMBINGAN KONSELING</t>
  </si>
  <si>
    <t>PEND. GURU PEND. ANAK USIA DINI (PGPAUD)</t>
  </si>
  <si>
    <t>PEND. GURU SEKOLAH DASAR (PGSD)</t>
  </si>
  <si>
    <t>PEND. JASMANI,KESEHATAN &amp; REKREASI</t>
  </si>
  <si>
    <t>PEND. SENI TARI DAN MUSIK</t>
  </si>
  <si>
    <t>PEND. SOSIOLOGI</t>
  </si>
  <si>
    <t>ILMU SOSIAL EKONOMI PERTANIAN (AGRIBISNIS)</t>
  </si>
  <si>
    <t>TEKNIK PERANGKAT LUNAK (TEK. INFORMATIKA)</t>
  </si>
  <si>
    <t>PEND. GURU PEND ANAK USIA DINI (PG PAUD)</t>
  </si>
  <si>
    <t>AGRIBISNIS PERIKANAN</t>
  </si>
  <si>
    <t>MANAJEMEN SD PERAIRAN</t>
  </si>
  <si>
    <t>PEMANFAATAN SD PERIKANAN</t>
  </si>
  <si>
    <t>PRODUKSI TERNAK</t>
  </si>
  <si>
    <t>EKONOMI &amp; STUDI PEMBANGUNAN</t>
  </si>
  <si>
    <t>PEND. BHS SASTRA IND. &amp; DAERAH</t>
  </si>
  <si>
    <t>PEND PANCASILA &amp; KN</t>
  </si>
  <si>
    <t>TEKNIK MATERIAL DAN METALURGI</t>
  </si>
  <si>
    <t>FARMASI KLINIS</t>
  </si>
  <si>
    <t>PENDIDIKAN KOMPUTER</t>
  </si>
  <si>
    <t>ILMU SOSIATRI</t>
  </si>
  <si>
    <t>PEND. BAHASA, SASTRA INDO. &amp; DAERAH</t>
  </si>
  <si>
    <t>ILMU BIOLOGI</t>
  </si>
  <si>
    <t>ILMU FISIKA</t>
  </si>
  <si>
    <t>ILMU GEOGRAFI</t>
  </si>
  <si>
    <t>ILMU KIMIA</t>
  </si>
  <si>
    <t>PEND. INF./KOM</t>
  </si>
  <si>
    <t>PEND. TEK BANGUNAN</t>
  </si>
  <si>
    <t>PEND. TEK ELEKTRO</t>
  </si>
  <si>
    <t>PEND. TEK MESIN</t>
  </si>
  <si>
    <t>BAH &amp; SASTRA INGGRIS</t>
  </si>
  <si>
    <t>MANAJEMEN S1</t>
  </si>
  <si>
    <t>PEND. BAH INGGRIS</t>
  </si>
  <si>
    <t>PEND. BAH. JERMAN</t>
  </si>
  <si>
    <t>PEND. BAH. PERANCIS</t>
  </si>
  <si>
    <t>PEND EKONOMI S1</t>
  </si>
  <si>
    <t>PEND GEOGRAFI</t>
  </si>
  <si>
    <t>PEND. JASMANI, KES. REK</t>
  </si>
  <si>
    <t>PEND. KEPELATIHAN OR</t>
  </si>
  <si>
    <t>PEND. KES. KEL</t>
  </si>
  <si>
    <t>PEND. SENI MUSIK</t>
  </si>
  <si>
    <t>PEND. SENI RUPA</t>
  </si>
  <si>
    <t>PLB/P.KH</t>
  </si>
  <si>
    <t>PLS</t>
  </si>
  <si>
    <t>EKONOMI PEMBANGNAN</t>
  </si>
  <si>
    <t>AGROTEKNOLOGI (PSDKU MOROWALI)</t>
  </si>
  <si>
    <t>AGROTEKNOLOGI (PSDKU TOUNA)</t>
  </si>
  <si>
    <t>TEKNIK GEO FISIKA</t>
  </si>
  <si>
    <t>TEKNIK SIPIL (PSDKU MOROWALI)</t>
  </si>
  <si>
    <t>TEKNIK SIPIL (PSDKU TOUNA)</t>
  </si>
  <si>
    <t>ADMINSTRASI NEGARA</t>
  </si>
  <si>
    <t>EKONOMI AKUNTANSI</t>
  </si>
  <si>
    <t>MANAJEMEN (PSDKU MOROWALI)</t>
  </si>
  <si>
    <t>MANAJEMEN (PSDKU TOUNA)</t>
  </si>
  <si>
    <t>FISOTERAPI</t>
  </si>
  <si>
    <t>TEKNIK PENGEMB. WILAYAH KOTA</t>
  </si>
  <si>
    <t>BAHASA MANDARIN DAN KEBUDAYAAN TIONGKOK</t>
  </si>
  <si>
    <t>HUKUM ADMINISTRASI NEGARA</t>
  </si>
  <si>
    <t>SASTRA ASIA BARAT/ARAB</t>
  </si>
  <si>
    <t>SASTRA DAERAH/BUGIS MAKASSAR</t>
  </si>
  <si>
    <t>SASTRA PERANCIS/ BARAT ROMAN</t>
  </si>
  <si>
    <t>TEKNIK PERENCANAAN WILAYAH DAN KOTA</t>
  </si>
  <si>
    <t>PEND. BIOLOGI KLS INTERNASIONAL (BILINGUAL)</t>
  </si>
  <si>
    <t>PEND. FISIKA KLS INTERNASIONAL (BILINGUAL)</t>
  </si>
  <si>
    <t>PENDIDIKAN IPA KLS INTERNASIONAL (BILINGUAL)</t>
  </si>
  <si>
    <t>PENDIDIKAN TEKNOLOGI PERTANIAN</t>
  </si>
  <si>
    <t>PENDIDIKAN VOKASIONAL MEKATRONIKA</t>
  </si>
  <si>
    <t>PEND. KIMIA KLS INTERNASIONAL (BILINGUAL)</t>
  </si>
  <si>
    <t>PEND. MATEMATIKA KLS INTERNAS. (BILINGUAL)</t>
  </si>
  <si>
    <t>PEND. TEKNIK ELEKTRONIKA</t>
  </si>
  <si>
    <t>PEND. TEKNIK OTOMOTIF</t>
  </si>
  <si>
    <t>PEND. ADMINISTRASI PERKANTORAN</t>
  </si>
  <si>
    <t>PEND. GEOGRAFI KLS INTERNAS. (BILINGUAL)</t>
  </si>
  <si>
    <t>PEND. GURU SEK. DASAR (KAMPUS MAKASSAR)</t>
  </si>
  <si>
    <t>PEND. GURU SEK. DASAR (KAMPUS PARE-PARE)</t>
  </si>
  <si>
    <t>PEND. GURU SEKOLAH DASAR (KAMPUS BONE)</t>
  </si>
  <si>
    <t>PENDIDIKAAN SOSIOLOGI</t>
  </si>
  <si>
    <t>PENDIDIKAN BAHASA DAN SASTRA DAERAH</t>
  </si>
  <si>
    <t>P. GURU SEK DASAR BILINGUAL (KAMP MAKASSAR)</t>
  </si>
  <si>
    <t>OSEANOGRAFI</t>
  </si>
  <si>
    <t>REKAYASA INFRASTRUKTUR DAN LINGKUNGAN</t>
  </si>
  <si>
    <t>AKUTANSI</t>
  </si>
  <si>
    <t>PEND. GURU SEKOLAH DASAR (PGSD) S1</t>
  </si>
  <si>
    <t>PENDIDIKAN ANAK USIA DINI (PG-PAUD)</t>
  </si>
  <si>
    <t>PEND. PANCASILA &amp; KEWARGANEGARAAN</t>
  </si>
  <si>
    <t>TRADISI LISAN</t>
  </si>
  <si>
    <t>ILMU PERIKANAN</t>
  </si>
  <si>
    <t>ILMU TEKNOLOGI PANGAN</t>
  </si>
  <si>
    <t>MANAJAMEN SUMBERDAYA PERAIRAN</t>
  </si>
  <si>
    <t>PENDIDIKAN GURU SD</t>
  </si>
  <si>
    <t>PENDIDIKAN KEPELATIHAN</t>
  </si>
  <si>
    <t>PENDIDIKAN PANCASLA DAN KEWARGANEGARAAN</t>
  </si>
  <si>
    <t>IL. KELAUTAN</t>
  </si>
  <si>
    <t>MAJEMEN SUMB.PERAIRAN</t>
  </si>
  <si>
    <t>PEMULIAAN TANAMAN</t>
  </si>
  <si>
    <t>PENDIDIKAN MATEMATIKA (PSDKU KAB. ARU)</t>
  </si>
  <si>
    <t>PENDIDIKAN MATEMATIKA (PSDKU KAB. MBD)</t>
  </si>
  <si>
    <t>PETERNAKAN (PSDKU KAB. MBD)</t>
  </si>
  <si>
    <t>TEK. HASIL PERIKANAN</t>
  </si>
  <si>
    <t>TEK. HASIL PERTANIAN</t>
  </si>
  <si>
    <t>TEKNIK SISTIM PERKAPALAN</t>
  </si>
  <si>
    <t>AKUNTANSI (PSDKU KAB. ARU)</t>
  </si>
  <si>
    <t>AKUNTANSI (PSDKU KAB. MBD)</t>
  </si>
  <si>
    <t>IL. ADM. NEGARA</t>
  </si>
  <si>
    <t>IL. HUKUM</t>
  </si>
  <si>
    <t>ILMU HUKUM (PSDKU KAB. ARU)</t>
  </si>
  <si>
    <t>ILMU HUKUM (PSDKU KAB. MBD)</t>
  </si>
  <si>
    <t>IL. PEMERINTAHAN</t>
  </si>
  <si>
    <t>PEND. BAHASA INGGRIS (PSDKU KAB. ARU)</t>
  </si>
  <si>
    <t>PEND. BAHASA INGGRIS (PSDKU KAB. MBD)</t>
  </si>
  <si>
    <t>PEND. BAHASA JERMAN</t>
  </si>
  <si>
    <t>PEND. GURU SEKOLAH DASAR (PSDKU KAB. ARU)</t>
  </si>
  <si>
    <t>PEND. GURU SEKOLAH DASAR (PSDKU KAB. MBD)</t>
  </si>
  <si>
    <t>PEND. JASMANI, KESEHATAN, DAN REKREASI (PSDKU KAB. ARU)</t>
  </si>
  <si>
    <t>PGSD S1</t>
  </si>
  <si>
    <t>PEMANFAATAN SUMBERDAYA PERAIRAN</t>
  </si>
  <si>
    <t>TEKNOLOGI PERTANIAN</t>
  </si>
  <si>
    <t>PERENCANAAN WILAYAH DAN KOTA/PLANOLOGI</t>
  </si>
  <si>
    <t>MANAJEMEN ADMINISTRASI PERKANTORAN</t>
  </si>
  <si>
    <t>PEND. BHS. SASTRA IND. &amp; DAERAH</t>
  </si>
  <si>
    <t>PENDIDKAN JASMANI KESEHATAN REKREASI</t>
  </si>
  <si>
    <t>PEND. PANCASILA &amp; KEWARGANEG.</t>
  </si>
  <si>
    <t>Pendidikan Guru Pendidikan Anak Usia Dini</t>
  </si>
  <si>
    <t>Pendidikan Guru Sekolah Dasar</t>
  </si>
  <si>
    <t>NUTRISI DAN TEKNOLOGI PAKAN TERNAK</t>
  </si>
  <si>
    <t>No.</t>
  </si>
  <si>
    <t>PTN</t>
  </si>
  <si>
    <t>Alamat Website PMB</t>
  </si>
  <si>
    <t>Universitas Syiah Kuala</t>
  </si>
  <si>
    <t>http://www.pmb.unsyiah.ac.id</t>
  </si>
  <si>
    <t>ISBI ACEH</t>
  </si>
  <si>
    <t>NO</t>
  </si>
  <si>
    <t>Kode</t>
  </si>
  <si>
    <t>Lembaga</t>
  </si>
  <si>
    <t>Universitas Malikussaleh</t>
  </si>
  <si>
    <t>http://pmb.unimal.ac.id</t>
  </si>
  <si>
    <t>Universitas Gadjah Mada</t>
  </si>
  <si>
    <t>Universitas Teuku Umar</t>
  </si>
  <si>
    <t>http://www.utu.ac.id</t>
  </si>
  <si>
    <t>Universitas Indonesia</t>
  </si>
  <si>
    <t>Universitas Samudera</t>
  </si>
  <si>
    <t>http://pmb.unsam.ac.id</t>
  </si>
  <si>
    <t>UNIVERSITAS ISLAM NEGERI AR-RANIRY</t>
  </si>
  <si>
    <t>Universitas Sumatera Utara</t>
  </si>
  <si>
    <t>ISBI Aceh</t>
  </si>
  <si>
    <t>http://isbiaceh.ac.id/</t>
  </si>
  <si>
    <t>Universitas Airlangga</t>
  </si>
  <si>
    <t>UIN AR-Raniry</t>
  </si>
  <si>
    <t>http://www.pmb.ar-raniry.ac.id/</t>
  </si>
  <si>
    <t>Universitas Hasanuddin</t>
  </si>
  <si>
    <t>http://www.usu.ac.id</t>
  </si>
  <si>
    <t>UNIVERSITAS MALIKUSSALEH</t>
  </si>
  <si>
    <t>Universitas Andalas</t>
  </si>
  <si>
    <t>Universitas Negeri Medan</t>
  </si>
  <si>
    <t>http://spmb.unimed.ac.id</t>
  </si>
  <si>
    <t>Universitas Padjadjaran</t>
  </si>
  <si>
    <t>UIN Sumatera Utara</t>
  </si>
  <si>
    <t>http://www.uinsu.ac.id</t>
  </si>
  <si>
    <t>Universitas Diponegoro</t>
  </si>
  <si>
    <t>Universitas Riau</t>
  </si>
  <si>
    <t>http://admisi.unri.ac.id</t>
  </si>
  <si>
    <t>UNIVERSITAS SAMUDRA</t>
  </si>
  <si>
    <t>Universitas Sriwijaya</t>
  </si>
  <si>
    <t>UIN Sultan Syarif Kasim Riau</t>
  </si>
  <si>
    <t>http://akademik.uin-suska.ac.id/</t>
  </si>
  <si>
    <t>Universitas Lambung Mangkurat</t>
  </si>
  <si>
    <t>Universitas Maritim Raja Ali Haji</t>
  </si>
  <si>
    <t>https://penerimaan.umrah.ac.id/</t>
  </si>
  <si>
    <t>http://pmb.unand.ac.id</t>
  </si>
  <si>
    <t>UNIVERSITAS SYIAH KUALA</t>
  </si>
  <si>
    <t>Universitas Sam Ratulangi</t>
  </si>
  <si>
    <t>Universitas Negeri Padang</t>
  </si>
  <si>
    <t>http://spmb.unp.ac.id</t>
  </si>
  <si>
    <t>Universitas Udayana</t>
  </si>
  <si>
    <t>ISI Padang Panjang</t>
  </si>
  <si>
    <t>http://isi-padangpanjang.ac.id/</t>
  </si>
  <si>
    <t>Universitas Nusa Cendana</t>
  </si>
  <si>
    <t>Universitas Jambi</t>
  </si>
  <si>
    <t>https://www.unja.ac.id/</t>
  </si>
  <si>
    <t>UNIVERSITAS TEUKU UMAR</t>
  </si>
  <si>
    <t>Universitas Mulawarman</t>
  </si>
  <si>
    <t>Universitas Bengkulu</t>
  </si>
  <si>
    <t>http://admisi.unib.ac.id</t>
  </si>
  <si>
    <t>Universitas Mataram</t>
  </si>
  <si>
    <t>http://www.reg.unsri.ac.id</t>
  </si>
  <si>
    <t>UIN Raden Fatah</t>
  </si>
  <si>
    <t>http://spmb.radenfatah.ac.id</t>
  </si>
  <si>
    <t>UNIVERSITAS ISLAM NEGERI SUMATERA UTARA</t>
  </si>
  <si>
    <t>Universitas Cenderawasih</t>
  </si>
  <si>
    <t>Universitas Bangka Belitung</t>
  </si>
  <si>
    <t>http://www.ubb.ac.id</t>
  </si>
  <si>
    <t>Universitas Brawijaya</t>
  </si>
  <si>
    <t>Universitas Lampung</t>
  </si>
  <si>
    <t>http://simanila.unila.ac.id</t>
  </si>
  <si>
    <t>Institut Teknologi Sumatera</t>
  </si>
  <si>
    <t>http://pmb.itera.ac.id/</t>
  </si>
  <si>
    <t>UNIVERSITAS NEGERI MEDAN</t>
  </si>
  <si>
    <t>Universitas Pattimura</t>
  </si>
  <si>
    <t>Universitas Sultan Ageng Tirtayasa</t>
  </si>
  <si>
    <t>http://spmb.untirta.ac.id/</t>
  </si>
  <si>
    <t>Universitas Tanjungpura</t>
  </si>
  <si>
    <t>http://penerimaan.ui.ac.id/</t>
  </si>
  <si>
    <t>Universitas Jenderal Soedirman</t>
  </si>
  <si>
    <t>UIN Syarif Hidayatullah Jakarta</t>
  </si>
  <si>
    <t>https://spmb.uinjkt.ac.id</t>
  </si>
  <si>
    <t>UNIVERSITAS SUMATERA UTARA</t>
  </si>
  <si>
    <t>Universitas Palangka Raya</t>
  </si>
  <si>
    <t>Universitas Negeri Jakarta</t>
  </si>
  <si>
    <t>http://penmaba.unj.ac.id</t>
  </si>
  <si>
    <t>Universitas Jember</t>
  </si>
  <si>
    <t>UPN Veteran Jakarta</t>
  </si>
  <si>
    <t>https://penmaru.upnvj.ac.id/</t>
  </si>
  <si>
    <t>Universitas Singaperbangsa Karawang</t>
  </si>
  <si>
    <t>http://pmb.unsika.ac.id</t>
  </si>
  <si>
    <t>ISI PADANG PANJANG</t>
  </si>
  <si>
    <t>Universitas Sebelas Maret</t>
  </si>
  <si>
    <t>Institut Teknologi Bandung</t>
  </si>
  <si>
    <t>http://usm.itb.ac.id/wp</t>
  </si>
  <si>
    <t>Universitas Tadulako</t>
  </si>
  <si>
    <t>http://smup.unpad.ac.id</t>
  </si>
  <si>
    <t>Universitas Halu Oleo</t>
  </si>
  <si>
    <t>Universitas Pendidikan Indonesia</t>
  </si>
  <si>
    <t>http://pmb.upi.edu</t>
  </si>
  <si>
    <t>UNIVERSITAS ANDALAS</t>
  </si>
  <si>
    <t>ISBI Bandung</t>
  </si>
  <si>
    <t>http://isbi.ac.id</t>
  </si>
  <si>
    <t>Universitas Terbuka</t>
  </si>
  <si>
    <t>UIN Sunan Gunung Djati Bandung</t>
  </si>
  <si>
    <t>http://www.uinsgd.ac.id</t>
  </si>
  <si>
    <t>Institut Pertanian Bogor</t>
  </si>
  <si>
    <t>http://admisi.ipb.ac.id</t>
  </si>
  <si>
    <t>UNIVERSITAS NEGERI PADANG</t>
  </si>
  <si>
    <t>Universitas Negeri Malang</t>
  </si>
  <si>
    <t>Universitas Siliwangi</t>
  </si>
  <si>
    <t>http://pmb.unsil.ac.id</t>
  </si>
  <si>
    <t>http://www.unsoed.ac.id</t>
  </si>
  <si>
    <t>Universitas Negeri Manado</t>
  </si>
  <si>
    <t>Universitas Tidar</t>
  </si>
  <si>
    <t>http://um.untidar.ac.id/</t>
  </si>
  <si>
    <t>UNIVERSITAS ISLAM NEGERI SULTAN SYARIF KASIM</t>
  </si>
  <si>
    <t>Universitas Negeri Makassar</t>
  </si>
  <si>
    <t>http://spmb.uns.ac.id</t>
  </si>
  <si>
    <t>ISI Surakarta</t>
  </si>
  <si>
    <t>https://spmb.isi-ska.ac.id/</t>
  </si>
  <si>
    <t>Universitas Negeri Yogyakarta</t>
  </si>
  <si>
    <t>http://um.undip.ac.id</t>
  </si>
  <si>
    <t>UNIVERSITAS RIAU</t>
  </si>
  <si>
    <t>Universitas Negeri Surabaya</t>
  </si>
  <si>
    <t>Universitas Negeri Semarang</t>
  </si>
  <si>
    <t>http://penerimaan.unnes.ac.id</t>
  </si>
  <si>
    <t>UIN Walisongo Semarang</t>
  </si>
  <si>
    <t>http://pmb.walisongo.ac.id</t>
  </si>
  <si>
    <t>http://um.ugm.ac.id</t>
  </si>
  <si>
    <t>UNIVERSITAS MARITIM RAJA ALI HAJI</t>
  </si>
  <si>
    <t>http://pmb.uny.ac.id</t>
  </si>
  <si>
    <t>Universitas Trunojoyo</t>
  </si>
  <si>
    <t>UPN Veteran Yogyakarta</t>
  </si>
  <si>
    <t>http://pmb.upnyk.ac.id</t>
  </si>
  <si>
    <t>Universitas Khairun</t>
  </si>
  <si>
    <t>ISI Yogyakarta</t>
  </si>
  <si>
    <t>http://isi.ac.id</t>
  </si>
  <si>
    <t>UNIVERSITAS JAMBI</t>
  </si>
  <si>
    <t>Universitas Papua</t>
  </si>
  <si>
    <t>UIN Sunan Kalijaga Yogyakarta</t>
  </si>
  <si>
    <t>http://www.uin-suka.ac.id</t>
  </si>
  <si>
    <t>http://www.unej.ac.id</t>
  </si>
  <si>
    <t>Universitas Negeri Gorontalo</t>
  </si>
  <si>
    <t>http://selma.ub.ac.id</t>
  </si>
  <si>
    <t>UNIVERSITAS BENGKULU</t>
  </si>
  <si>
    <t>Universitas Pendidikan Ganesha</t>
  </si>
  <si>
    <t>http://seleksi.um.ac.id</t>
  </si>
  <si>
    <t>UIN Malik Ibrahim Malang</t>
  </si>
  <si>
    <t>http://pmb.uin-malang.ac.id</t>
  </si>
  <si>
    <t>Universitas Borneo Tarakan</t>
  </si>
  <si>
    <t>http://ppmb.unair.ac.id</t>
  </si>
  <si>
    <t>UNIVERSITAS ISLAM NEGERI RADEN FATAH</t>
  </si>
  <si>
    <t>Universitas Musamus Merauke</t>
  </si>
  <si>
    <t>Institut Teknologi Sepuluh Nopember</t>
  </si>
  <si>
    <t>http://smits.its.ac.id</t>
  </si>
  <si>
    <t>Universitas Maritim Raja Ali Haji (UMRAH)</t>
  </si>
  <si>
    <t>http://www.unesa.ac.id</t>
  </si>
  <si>
    <t>Universitas Samudra</t>
  </si>
  <si>
    <t>Universitas Trunojoyo Madura</t>
  </si>
  <si>
    <t>http://pmb.trunojoyo.ac.id</t>
  </si>
  <si>
    <t>UNIVERSITAS SRIWIJAYA</t>
  </si>
  <si>
    <t>Universitas Sulawesi Barat</t>
  </si>
  <si>
    <t>UPN Veteran Jawa Timur</t>
  </si>
  <si>
    <t>http://simaba.upnjatim.ac.id</t>
  </si>
  <si>
    <t>Universitas Sembilanbelas November Kolaka</t>
  </si>
  <si>
    <t>UIN Sunan Ampel Surabaya</t>
  </si>
  <si>
    <t>http://www.uinsby.ac.id</t>
  </si>
  <si>
    <t>http://scmb.untan.ac.id</t>
  </si>
  <si>
    <t>UNIVERSITAS BANGKA BELITUNG</t>
  </si>
  <si>
    <t>Universitas Palangkaraya</t>
  </si>
  <si>
    <t>http://www.upr.ac.id/</t>
  </si>
  <si>
    <t>http://ulm.ac.id/id/</t>
  </si>
  <si>
    <t>Universitas Pembangunan Nasional Veteran Jawa Timur</t>
  </si>
  <si>
    <t>http://www.unmul.ac.id</t>
  </si>
  <si>
    <t>INSTITUT TEKNOLOGI SUMATERA</t>
  </si>
  <si>
    <t>Universitas Timor</t>
  </si>
  <si>
    <t>Institut Teknologi Kalimantan</t>
  </si>
  <si>
    <t>http://www.itk.ac.id</t>
  </si>
  <si>
    <t>Universitas Pembangunan Nasional Veteran Jakarta</t>
  </si>
  <si>
    <t>http://snmptn.borneo.ac.id</t>
  </si>
  <si>
    <t>Universitas Pembangunan Nasional Veteran Yogyakarta</t>
  </si>
  <si>
    <t>https://infoseleksi.unud.ac.id/</t>
  </si>
  <si>
    <t>UNIVERSITAS LAMPUNG</t>
  </si>
  <si>
    <t>http://undiksha.ac.id/id</t>
  </si>
  <si>
    <t>ISI Denpasar</t>
  </si>
  <si>
    <t>http://spmb.isi-dps.ac.id/</t>
  </si>
  <si>
    <t>http://pmb.unram.ac.id</t>
  </si>
  <si>
    <t>UNIVERSITAS INDONESIA</t>
  </si>
  <si>
    <t>http://www.undana.ac.id</t>
  </si>
  <si>
    <t>Institut Seni Indonesia Yogyakarta</t>
  </si>
  <si>
    <t>http://www.unimor.ac.id</t>
  </si>
  <si>
    <t>Institut Seni Indonesia Denpasar</t>
  </si>
  <si>
    <t>http://www.unhas.ac.id/pmb</t>
  </si>
  <si>
    <t>UNIVERSITAS ISLAM NEGERI JAKARTA</t>
  </si>
  <si>
    <t>Institut Seni Indonesia Surakarta</t>
  </si>
  <si>
    <t>http://www.unm.ac.id</t>
  </si>
  <si>
    <t>Institut Seni Indonesia Padang Panjang</t>
  </si>
  <si>
    <t>UIN Alauddin Makassar</t>
  </si>
  <si>
    <t>http://siadin.uin-alauddin.ac.id</t>
  </si>
  <si>
    <t>Institut Seni Budaya Indonesia Bandung</t>
  </si>
  <si>
    <t>http://www.unsrat.ac.id</t>
  </si>
  <si>
    <t>UNIVERSITAS NEGERI JAKARTA</t>
  </si>
  <si>
    <t>Institut Seni Budaya Indonesia Aceh</t>
  </si>
  <si>
    <t>http://www.unima.ac.id</t>
  </si>
  <si>
    <t>Institut Seni Budaya Indonesia Tanah Papua</t>
  </si>
  <si>
    <t>http://www.untad.ac.id</t>
  </si>
  <si>
    <t>https://unsulbar.ac.id</t>
  </si>
  <si>
    <t>UPN "VETERAN" JAKARTA</t>
  </si>
  <si>
    <t>Universitas Haluoleo</t>
  </si>
  <si>
    <t>http://www.uho.ac.id</t>
  </si>
  <si>
    <t>Institut Teknologi Bacharuddin Jusuf Habibie</t>
  </si>
  <si>
    <t>http://www.ung.ac.id</t>
  </si>
  <si>
    <t>Politeknik Manufaktur Bandung</t>
  </si>
  <si>
    <t>Universitas Sembilan Belas November Kolaka</t>
  </si>
  <si>
    <t>http://pmb.usn.ac.id</t>
  </si>
  <si>
    <t>INSTITUT PERTANIAN BOGOR</t>
  </si>
  <si>
    <t>Politeknik Negeri Jakarta</t>
  </si>
  <si>
    <t>http://pmb.unpatti.ac.id/</t>
  </si>
  <si>
    <t>Politeknik Negeri Medan</t>
  </si>
  <si>
    <t>http://www.unkhair.ac.id</t>
  </si>
  <si>
    <t>Politeknik Negeri Bandung</t>
  </si>
  <si>
    <t>http://www.unicen.ac.id</t>
  </si>
  <si>
    <t>INSTITUT TEKNOLOGI BANDUNG</t>
  </si>
  <si>
    <t>Politeknik Negeri Semarang</t>
  </si>
  <si>
    <t>http://www.unmus.ac.id</t>
  </si>
  <si>
    <t>Politeknik Negeri Sriwijaya</t>
  </si>
  <si>
    <t>ISBI Tanah Papua</t>
  </si>
  <si>
    <t>http://isbi-tanahpapua.ac.id</t>
  </si>
  <si>
    <t>Politeknik Negeri Lampung</t>
  </si>
  <si>
    <t>http://unipa.ac.id</t>
  </si>
  <si>
    <t>ISBI BANDUNG</t>
  </si>
  <si>
    <t>Politeknik Negeri Ambon</t>
  </si>
  <si>
    <t>Politeknik Negeri Padang</t>
  </si>
  <si>
    <t>Politeknik Negeri Bali</t>
  </si>
  <si>
    <t>UNIVERSITAS ISLAM NEGERI SUNAN GUNUNG DJATI</t>
  </si>
  <si>
    <t>Politeknik Negeri Pontianak</t>
  </si>
  <si>
    <t>Politeknik Negeri Ujung Pandang</t>
  </si>
  <si>
    <t>Politeknik Negeri Manado</t>
  </si>
  <si>
    <t>UNIVERSITAS PADJADJARAN</t>
  </si>
  <si>
    <t>Politeknik Perkapalan Negeri Surabaya</t>
  </si>
  <si>
    <t>Politeknik Negeri Banjarmasin</t>
  </si>
  <si>
    <t>Politeknik Negeri Lhokseumawe</t>
  </si>
  <si>
    <t>UNIVERSITAS PENDIDIKAN INDONESIA</t>
  </si>
  <si>
    <t>Politeknik Negeri Kupang</t>
  </si>
  <si>
    <t>Politeknik Elektronik Negeri Surabaya</t>
  </si>
  <si>
    <t>Politeknik Negeri Jember</t>
  </si>
  <si>
    <t>UNIVERSITAS SILIWANGI</t>
  </si>
  <si>
    <t>Politeknik Pertanian Negeri Pangkajene Kepulauan</t>
  </si>
  <si>
    <t>Politeknik Pertanian Negeri Kupang</t>
  </si>
  <si>
    <t>Politeknik Perikanan Negeri Tual</t>
  </si>
  <si>
    <t>UNIVERSITAS SINGAPERBANGSA KARAWANG</t>
  </si>
  <si>
    <t>Politeknik Negeri Malang</t>
  </si>
  <si>
    <t>Politeknik Pertanian Negeri Samarinda</t>
  </si>
  <si>
    <t>Politeknik Pertanian Negeri Payakumbuh</t>
  </si>
  <si>
    <t>ISI SURAKARTA</t>
  </si>
  <si>
    <t>Politeknik Negeri Samarinda</t>
  </si>
  <si>
    <t>Politeknik Negeri Media Kreatif</t>
  </si>
  <si>
    <t>Politeknik Manufaktur Negeri Bangka Belitung</t>
  </si>
  <si>
    <t>UNIVERSITAS DIPONEGORO</t>
  </si>
  <si>
    <t>Politeknik Negeri Batam</t>
  </si>
  <si>
    <t>Politeknik Negeri Nusa Utara</t>
  </si>
  <si>
    <t>Politeknik Negeri Bengkalis</t>
  </si>
  <si>
    <t>UNIVERSITAS ISLAM NEGERI WALISONGO</t>
  </si>
  <si>
    <t>Politeknik Negeri Balikpapan</t>
  </si>
  <si>
    <t>Politeknik Negeri Madura</t>
  </si>
  <si>
    <t>Politeknik Maritim Negeri Indonesia</t>
  </si>
  <si>
    <t>UNIVERSITAS JENDERAL SOEDIRMAN</t>
  </si>
  <si>
    <t>Politeknik Negeri Banyuwangi</t>
  </si>
  <si>
    <t>Politeknik Negeri Madiun</t>
  </si>
  <si>
    <t>Politeknik Negeri Fakfak</t>
  </si>
  <si>
    <t>UNIVERSITAS NEGERI SEMARANG</t>
  </si>
  <si>
    <t>Politeknik Negeri Sambas</t>
  </si>
  <si>
    <t>Politeknik Negeri Tanah Laut</t>
  </si>
  <si>
    <t>Politeknik Negeri Subang</t>
  </si>
  <si>
    <t>UNIVERSITAS SEBELAS MARET</t>
  </si>
  <si>
    <t>Politeknik Negeri Ketapang</t>
  </si>
  <si>
    <t>Politeknik Negeri Cilacap</t>
  </si>
  <si>
    <t>Politeknik Negeri Indramayu</t>
  </si>
  <si>
    <t>UNIVERSITAS TIDAR</t>
  </si>
  <si>
    <t>Akademi Komunitas Negeri Pacitan</t>
  </si>
  <si>
    <t>Akademi Komunitas Negeri Putra Sang Fajar Blitar</t>
  </si>
  <si>
    <t>Akademi Komunitas Negeri Aceh Barat</t>
  </si>
  <si>
    <t>ISI YOGYAKARTA</t>
  </si>
  <si>
    <t>UNIVERSITAS GADJAH MADA</t>
  </si>
  <si>
    <t>UNIVERSITAS ISLAM NEGERI SUNAN KALIJAGA</t>
  </si>
  <si>
    <t>UNIVERSITAS NEGERI YOGYAKARTA</t>
  </si>
  <si>
    <t>UPN "VETERAN" YOGYAKARTA</t>
  </si>
  <si>
    <t>INSTITUT TEKNOLOGI SEPULUH NOPEMBER</t>
  </si>
  <si>
    <t>UNIVERSITAS AIRLANGGA</t>
  </si>
  <si>
    <t>UNIVERSITAS BRAWIJAYA</t>
  </si>
  <si>
    <t>UNIVERSITAS ISLAM NEGERI MALANG</t>
  </si>
  <si>
    <t>UNIVERSITAS ISLAM NEGERI SUNAN AMPEL SURABAYA</t>
  </si>
  <si>
    <t>UNIVERSITAS JEMBER</t>
  </si>
  <si>
    <t>UNIVERSITAS NEGERI MALANG</t>
  </si>
  <si>
    <t>UNIVERSITAS NEGERI SURABAYA</t>
  </si>
  <si>
    <t>UNIVERSITAS TRUNOJOYO MADURA</t>
  </si>
  <si>
    <t>UPN "VETERAN" JAWA TIMUR</t>
  </si>
  <si>
    <t>UNIVERSITAS SULTAN AGENG TIRTAYASA</t>
  </si>
  <si>
    <t>ISI DENPASAR</t>
  </si>
  <si>
    <t>UNIVERSITAS PENDIDIKAN GANESHA</t>
  </si>
  <si>
    <t>UNIVERSITAS UDAYANA</t>
  </si>
  <si>
    <t>UNIVERSITAS MATARAM</t>
  </si>
  <si>
    <t>UNIVERSITAS NUSA CENDANA</t>
  </si>
  <si>
    <t>UNIVERSITAS TIMOR</t>
  </si>
  <si>
    <t>UNIVERSITAS TANJUNGPURA</t>
  </si>
  <si>
    <t>UNIVERSITAS PALANGKARAYA</t>
  </si>
  <si>
    <t>UNIVERSITAS LAMBUNG MANGKURAT</t>
  </si>
  <si>
    <t>INSTITUT TEKNOLOGI KALIMANTAN</t>
  </si>
  <si>
    <t>UNIVERSITAS MULAWARMAN</t>
  </si>
  <si>
    <t>UNIVERSITAS BORNEO TARAKAN</t>
  </si>
  <si>
    <t>UNIVERSITAS NEGERI MANADO</t>
  </si>
  <si>
    <t>UNIVERSITAS SAM RATULANGI</t>
  </si>
  <si>
    <t>UNIVERSITAS TADULAKO</t>
  </si>
  <si>
    <t>UNIVERSITAS HASANUDDIN</t>
  </si>
  <si>
    <t>UNIVERSITAS ISLAM NEGERI ALAUDDIN</t>
  </si>
  <si>
    <t>UNIVERSITAS NEGERI MAKASSAR</t>
  </si>
  <si>
    <t>UNIVERSITAS HALUOLEO</t>
  </si>
  <si>
    <t>UNIVERSITAS SEMBILAN BELAS NOVEMBER KOLAKA</t>
  </si>
  <si>
    <t>UNIVERSITAS NEGERI GORONTALO</t>
  </si>
  <si>
    <t>UNIVERSITAS SULAWESI BARAT</t>
  </si>
  <si>
    <t>UNIVERSITAS PATTIMURA</t>
  </si>
  <si>
    <t>UNIVERSITAS KHAIRUN</t>
  </si>
  <si>
    <t>ISBI TANAH PAPUA</t>
  </si>
  <si>
    <t>UNIVERSITAS CENDERAWASIH</t>
  </si>
  <si>
    <t>UNIVERSITAS MUSAMUS MERAUKE</t>
  </si>
  <si>
    <t>UNIVERSITAS PAPUA</t>
  </si>
  <si>
    <t>UI</t>
  </si>
  <si>
    <t>RATAAN</t>
  </si>
  <si>
    <t>K3::701-800</t>
  </si>
  <si>
    <t>UNAIR</t>
  </si>
  <si>
    <t>UGM</t>
  </si>
  <si>
    <t>UNPAD</t>
  </si>
  <si>
    <t xml:space="preserve">SEKOLAH TEK. ELEKTRO &amp; INFORMATIKA (STEI) </t>
  </si>
  <si>
    <t>ITB</t>
  </si>
  <si>
    <t>FAKULTAS TEKNOLOGI INDUSTRI (FTI) - KAMPUS GANESA</t>
  </si>
  <si>
    <t xml:space="preserve">FAKULTAS TEKNIK MESIN &amp; DIRGANTARA (FTMD) </t>
  </si>
  <si>
    <t>UNDIP</t>
  </si>
  <si>
    <t>UNBRA</t>
  </si>
  <si>
    <t>UNS</t>
  </si>
  <si>
    <t>FAKULTAS TEKNIK SIPIL &amp; LINGKUNGAN (FTSL) - KAMPUS GANESA</t>
  </si>
  <si>
    <t>K4::601-700</t>
  </si>
  <si>
    <t>UNUD</t>
  </si>
  <si>
    <t>UNSOED</t>
  </si>
  <si>
    <t>UNEJ</t>
  </si>
  <si>
    <t>ITS</t>
  </si>
  <si>
    <t xml:space="preserve">FAK. TEKNIK PERTAMB. &amp; PERMINYAKAN (FTTM) </t>
  </si>
  <si>
    <t>UNHAS</t>
  </si>
  <si>
    <t xml:space="preserve">SEKOLAH FARMASI (SF) </t>
  </si>
  <si>
    <t>USU</t>
  </si>
  <si>
    <t>UPN “VETERAN” JAKARTA</t>
  </si>
  <si>
    <t>UNAND</t>
  </si>
  <si>
    <t>UNSRI</t>
  </si>
  <si>
    <t>IPB</t>
  </si>
  <si>
    <t>UIN MALIKI MALANG</t>
  </si>
  <si>
    <t>UIN JAKARTA</t>
  </si>
  <si>
    <t xml:space="preserve">FAK. ILMU DAN TEKNOLOGI KEBUMIAN (FITB) </t>
  </si>
  <si>
    <t xml:space="preserve">TEKNIK LINGKUNGAN </t>
  </si>
  <si>
    <t>UNRAM</t>
  </si>
  <si>
    <t>UNLAM</t>
  </si>
  <si>
    <t>UNSYIAH</t>
  </si>
  <si>
    <t>UR</t>
  </si>
  <si>
    <t>PENDIDIKAN APOTEKER</t>
  </si>
  <si>
    <t>UNDIKSHA</t>
  </si>
  <si>
    <t>UNTAN</t>
  </si>
  <si>
    <t>UNMUL</t>
  </si>
  <si>
    <t>UNJ</t>
  </si>
  <si>
    <t>UNSRAT</t>
  </si>
  <si>
    <t>UNY</t>
  </si>
  <si>
    <t>UNJA</t>
  </si>
  <si>
    <t>UNIB</t>
  </si>
  <si>
    <t>UNDANA</t>
  </si>
  <si>
    <t>SEK. ARSITEKTUR, PERENC &amp; PENGEMB KEBIJAKAN (SAPPK) - KAMPUS CIREBON</t>
  </si>
  <si>
    <t>UNCEN</t>
  </si>
  <si>
    <t>UPN “VETERAN”” YOGYAKARTA</t>
  </si>
  <si>
    <t>UNIMA</t>
  </si>
  <si>
    <t xml:space="preserve">TEK. SIST PERKAPALAN (GLR GANDA ITS-JERMAN) </t>
  </si>
  <si>
    <t xml:space="preserve">PERENCANAAN WILAYAH DAN KOTA (PWK) </t>
  </si>
  <si>
    <t>FAK. TEKNIK PERTAMB. &amp; PERMINYAKAN (FTTM) - KAMPUS CIREBON</t>
  </si>
  <si>
    <t>UPI</t>
  </si>
  <si>
    <t>UIN SUNAN KALIJAGA</t>
  </si>
  <si>
    <t xml:space="preserve"> </t>
  </si>
  <si>
    <t>UNHALU</t>
  </si>
  <si>
    <t>UNNES</t>
  </si>
  <si>
    <t>UM</t>
  </si>
  <si>
    <t>UIN ALAUDDIN</t>
  </si>
  <si>
    <t xml:space="preserve">AKUAKULTUR (BUDIDAYA PERIKANAN) </t>
  </si>
  <si>
    <t xml:space="preserve">MANAJEMEN SUMBERDAYA AKUATIK (MANAJEMEN SUMBER DAYA PERIKANAN) </t>
  </si>
  <si>
    <t xml:space="preserve">PENDIDIKAN DOKTER </t>
  </si>
  <si>
    <t>UNKRIP</t>
  </si>
  <si>
    <t xml:space="preserve">PROTEKSI TANAMAN (ILMU HAMA DAN PENYAKIT TUMBUHAN) </t>
  </si>
  <si>
    <t>PENDIDIKAN BIDAN</t>
  </si>
  <si>
    <t>KONSERVASI SUMBERDAYAHUTAN &amp; EKOWISATA</t>
  </si>
  <si>
    <t xml:space="preserve">FISIKA </t>
  </si>
  <si>
    <t>UPN “VETERAN” JAWA TIMUR</t>
  </si>
  <si>
    <t>UNTAD</t>
  </si>
  <si>
    <t>UNESA</t>
  </si>
  <si>
    <t>UNPATTI</t>
  </si>
  <si>
    <t>PENDIDIKAN NERS</t>
  </si>
  <si>
    <t>UIN SGD</t>
  </si>
  <si>
    <t>K5::501-600</t>
  </si>
  <si>
    <t>UNTIDAR</t>
  </si>
  <si>
    <t xml:space="preserve">ILMU HUKUM </t>
  </si>
  <si>
    <t xml:space="preserve">AKUNTANSI </t>
  </si>
  <si>
    <t xml:space="preserve">ILMU KOMUNIKASI </t>
  </si>
  <si>
    <t xml:space="preserve">MANAJEMEN </t>
  </si>
  <si>
    <t xml:space="preserve">SASTRA INGGRIS </t>
  </si>
  <si>
    <t xml:space="preserve">ILMU ADMINISTRASI NIAGA/BISNIS </t>
  </si>
  <si>
    <t xml:space="preserve">PSIKOLOGI </t>
  </si>
  <si>
    <t xml:space="preserve">HUBUNGAN INTERNASIONAL </t>
  </si>
  <si>
    <t xml:space="preserve">EKONOMI PEMBANGUNAN </t>
  </si>
  <si>
    <t xml:space="preserve">ILMU ADMINISTRASI NEGARA </t>
  </si>
  <si>
    <t xml:space="preserve">ILMU HUBUNGAN INTERNASIONAL </t>
  </si>
  <si>
    <t xml:space="preserve">BAHASA &amp; SASTRA INGGRIS (NK) </t>
  </si>
  <si>
    <t>UNP</t>
  </si>
  <si>
    <t xml:space="preserve">MANAJEMEN (NK) </t>
  </si>
  <si>
    <t xml:space="preserve">AKUNTANSI (NK) </t>
  </si>
  <si>
    <t>Unila</t>
  </si>
  <si>
    <t xml:space="preserve">IESP </t>
  </si>
  <si>
    <t xml:space="preserve">ILMU ADM. NIAGA/BISNIS </t>
  </si>
  <si>
    <t>UNTIRTA</t>
  </si>
  <si>
    <t xml:space="preserve">ADMINISTRASI NEGARA </t>
  </si>
  <si>
    <t>UIN Jakarta</t>
  </si>
  <si>
    <t xml:space="preserve">ILMU EKONOMI DAN STUDI PEMBANGUNAN </t>
  </si>
  <si>
    <t xml:space="preserve">ILMU PERPUSTAKAAN </t>
  </si>
  <si>
    <t xml:space="preserve">JURNALISTIK </t>
  </si>
  <si>
    <t xml:space="preserve">ILMU POLITIK </t>
  </si>
  <si>
    <t xml:space="preserve">KESEJAHTERAAN SOSIAL </t>
  </si>
  <si>
    <t xml:space="preserve">SOSIOLOGI </t>
  </si>
  <si>
    <t xml:space="preserve">BAHASA DAN SASTRA INGGRIS </t>
  </si>
  <si>
    <t xml:space="preserve">BIMBINGAN &amp; KONSELING </t>
  </si>
  <si>
    <t xml:space="preserve">PENDIDIKAN GURU SEKOLAH DASAR </t>
  </si>
  <si>
    <t xml:space="preserve">PENDIDIKAN BAHASA INDONESIA </t>
  </si>
  <si>
    <t xml:space="preserve">PENDIDIKAN BAHASA INGGRIS </t>
  </si>
  <si>
    <t xml:space="preserve">PENDIDIKAN BAHASA JERMAN </t>
  </si>
  <si>
    <t xml:space="preserve">PENDIDIKAN BAHASA ARAB </t>
  </si>
  <si>
    <t xml:space="preserve">PENDIDIKAN BAHASA JEPANG </t>
  </si>
  <si>
    <t xml:space="preserve">PENDIDIKAN GEOGRAFI </t>
  </si>
  <si>
    <t xml:space="preserve">PENDIDIKAN AGAMA ISLAM </t>
  </si>
  <si>
    <t xml:space="preserve">PENDIDIKAN SOSIOLOGI </t>
  </si>
  <si>
    <t xml:space="preserve">PENDIDIKAN VOKASIONAL KESEJAHTERAAN KELUARGA </t>
  </si>
  <si>
    <t xml:space="preserve">PENDIDIKAN EKONOMI </t>
  </si>
  <si>
    <t xml:space="preserve">PENDIDIKAN ILMU PENGETAHUAN SOSIAL </t>
  </si>
  <si>
    <t xml:space="preserve">PENDIDIKAN VOKASIONAL SENI KULINER </t>
  </si>
  <si>
    <t xml:space="preserve">PENDIDIKAN VOKASIONAL DESAIN FASHION </t>
  </si>
  <si>
    <t xml:space="preserve">PENDIDIKAN VOKASIONAL TATA RIAS </t>
  </si>
  <si>
    <t xml:space="preserve">PENDIDIKAN BISNIS </t>
  </si>
  <si>
    <t xml:space="preserve">PENDIDIKAN ADMINISTRASI PERKANTORAN </t>
  </si>
  <si>
    <t>UPN "Veteran" Jakarta</t>
  </si>
  <si>
    <t xml:space="preserve">HUKUM </t>
  </si>
  <si>
    <t xml:space="preserve">EKONOMI SYARIAH </t>
  </si>
  <si>
    <t>Unsika</t>
  </si>
  <si>
    <t xml:space="preserve">TELEVISI DAN FILM </t>
  </si>
  <si>
    <t>BISNIS DIGITAL</t>
  </si>
  <si>
    <t>ADMINISTRASI BISNIS PSDKU PANGANDARAN</t>
  </si>
  <si>
    <t xml:space="preserve">ILMU KOMUNIKASI PSDKU PANGANDARAN </t>
  </si>
  <si>
    <t xml:space="preserve">BIMBINGAN DAN KONSELING </t>
  </si>
  <si>
    <t xml:space="preserve">PENDIDIKAN MASYARAKAT </t>
  </si>
  <si>
    <t xml:space="preserve">PENDIDIKAN KHUSUS </t>
  </si>
  <si>
    <t xml:space="preserve">TEKNOLOGI PENDIDIKAN </t>
  </si>
  <si>
    <t xml:space="preserve">PKN </t>
  </si>
  <si>
    <t xml:space="preserve">PENDIDIKAN SEJARAH </t>
  </si>
  <si>
    <t xml:space="preserve">ILMU PENDIDIKAN AGAMA ISLAM </t>
  </si>
  <si>
    <t xml:space="preserve">MANAJEMEN RESORT DAN LEISURE </t>
  </si>
  <si>
    <t xml:space="preserve">MANAJEMEN PEMASARAN PARIWISATA </t>
  </si>
  <si>
    <t xml:space="preserve">MANAJEMEN INDUSTRI KATERING </t>
  </si>
  <si>
    <t xml:space="preserve">PENDIDIKAN BAHASA PERANCIS </t>
  </si>
  <si>
    <t xml:space="preserve">BAHASA DAN SASTRA INDONESIA </t>
  </si>
  <si>
    <t xml:space="preserve">PENDIDIKAN TATA BOGA </t>
  </si>
  <si>
    <t xml:space="preserve">PENDIDIKAN AKUNTANSI </t>
  </si>
  <si>
    <t xml:space="preserve">PENDIDIKAN MANAJEMEN PERKANTORAN </t>
  </si>
  <si>
    <t xml:space="preserve">PERPUSTAKAAN DAN INFORMASI </t>
  </si>
  <si>
    <t xml:space="preserve">ILMU EKONOMI DAN KEUANGAN ISLAM </t>
  </si>
  <si>
    <t xml:space="preserve">SAINS INFORMASI GEOGRAFI </t>
  </si>
  <si>
    <t xml:space="preserve">BISNIS DIGITAL (KAMPUS UPI TASIKMALAYA) </t>
  </si>
  <si>
    <t xml:space="preserve">ADMINISTRASI PUBLIK </t>
  </si>
  <si>
    <t xml:space="preserve">ILMU KOM. KONST. HUMAS </t>
  </si>
  <si>
    <t>UNSIL</t>
  </si>
  <si>
    <t xml:space="preserve">PENDIDIKAN BAHASA DAN SASTRA INDONESIA </t>
  </si>
  <si>
    <t xml:space="preserve">PEND. PANCASILA &amp; KEWARGANEGARAAN (PPKN) </t>
  </si>
  <si>
    <t xml:space="preserve">PEND. BAHASA, SASTRA INDONESIA &amp; DAERAH </t>
  </si>
  <si>
    <t xml:space="preserve">PENDIDIKAN SOSIOLOGI ANTROPOLOGI </t>
  </si>
  <si>
    <t xml:space="preserve">DESAIN KOMUNIKASI VISUAL </t>
  </si>
  <si>
    <t>ILMU POLITIK 1</t>
  </si>
  <si>
    <t>UIN Walisongo</t>
  </si>
  <si>
    <t xml:space="preserve">KEBIJAKAN PENDIDIKAN </t>
  </si>
  <si>
    <t>UPN "Veteran" Yogyakarta</t>
  </si>
  <si>
    <t xml:space="preserve">HUBUNGAN MASYARAKAT </t>
  </si>
  <si>
    <t xml:space="preserve">PENDIDIKAN MUSIK </t>
  </si>
  <si>
    <t xml:space="preserve">PENCIPTAAN MUSIK </t>
  </si>
  <si>
    <t xml:space="preserve">SENI RUPA MURNI </t>
  </si>
  <si>
    <t xml:space="preserve">DESAIN INTERIOR </t>
  </si>
  <si>
    <t xml:space="preserve">DESAIN PRODUK </t>
  </si>
  <si>
    <t xml:space="preserve">ILMU PERPUSTAKAAN (IP) </t>
  </si>
  <si>
    <t>UIN Sunan Kalijaga</t>
  </si>
  <si>
    <t xml:space="preserve">SASTRA INGGRIS (SI) </t>
  </si>
  <si>
    <t xml:space="preserve">ILMU HUKUM (IH) </t>
  </si>
  <si>
    <t xml:space="preserve">ILMU KESEJAHTERAAN SOSIAL (IKS) </t>
  </si>
  <si>
    <t xml:space="preserve">ILMU ADMINISTRASI BISNIS </t>
  </si>
  <si>
    <t>UNIBRAW</t>
  </si>
  <si>
    <t xml:space="preserve">ILMU ADMINISTRASI PUBLIK </t>
  </si>
  <si>
    <t xml:space="preserve">SASTRA JEPANG </t>
  </si>
  <si>
    <t>PENDIDIKAN BAHASA &amp; SASTRA INGGRIS</t>
  </si>
  <si>
    <t>PENDIDIKAN BAHASA &amp; SASTRA JEPANG</t>
  </si>
  <si>
    <t xml:space="preserve">SASTRA CINA </t>
  </si>
  <si>
    <t xml:space="preserve">ANTROPOLOGI SOSIAL </t>
  </si>
  <si>
    <t xml:space="preserve">PENDIDIKAN TATA BUSANA </t>
  </si>
  <si>
    <t xml:space="preserve">ILMU SEJARAH </t>
  </si>
  <si>
    <t xml:space="preserve">EKONOMI DAN STUDI PEMBANGUNAN </t>
  </si>
  <si>
    <t xml:space="preserve">GEOGRAFI </t>
  </si>
  <si>
    <t>UIN Malang</t>
  </si>
  <si>
    <t xml:space="preserve">MANAJEMEN BISNIS </t>
  </si>
  <si>
    <t xml:space="preserve">PSIKOLOGI PENDIDIKAN DAN BIMBINGAN </t>
  </si>
  <si>
    <t xml:space="preserve">KURIKULUM DAN TEKNOLOGI PENDIDIKAN </t>
  </si>
  <si>
    <t xml:space="preserve">P. BAHASA INGGRIS </t>
  </si>
  <si>
    <t xml:space="preserve">SASTRA INDONESIA </t>
  </si>
  <si>
    <t xml:space="preserve">SASTRA JERMAN </t>
  </si>
  <si>
    <t xml:space="preserve">P. GEOGRAFI </t>
  </si>
  <si>
    <t xml:space="preserve">P. EKONOMI </t>
  </si>
  <si>
    <t xml:space="preserve">PEND. ADM. PERKANTORAN </t>
  </si>
  <si>
    <t xml:space="preserve">EKONOMI ISLAM </t>
  </si>
  <si>
    <t xml:space="preserve">EKONOMI </t>
  </si>
  <si>
    <t>UPN "Veteran" Jawa Timur</t>
  </si>
  <si>
    <t xml:space="preserve">ADMINISTRASI BISNIS/NIAGA </t>
  </si>
  <si>
    <t xml:space="preserve">PEND. BAHASA INGGRIS </t>
  </si>
  <si>
    <t xml:space="preserve">DESTINASI PARIWISATA </t>
  </si>
  <si>
    <t>tambahan</t>
  </si>
  <si>
    <t>Jumlah prodi</t>
  </si>
  <si>
    <t>Kode rumus</t>
  </si>
  <si>
    <t>kode lama</t>
  </si>
  <si>
    <t>KODE</t>
  </si>
  <si>
    <t>NAMA</t>
  </si>
  <si>
    <t>UNIVERSITAS SAMUDERA</t>
  </si>
  <si>
    <t>UIN AR-RANIRY</t>
  </si>
  <si>
    <t>UIN SUMATERA UTARA</t>
  </si>
  <si>
    <t>UIN SULTAN SYARIF KASIM RIAU</t>
  </si>
  <si>
    <t>UIN RADEN FATAH</t>
  </si>
  <si>
    <t>UIN SYARIF HIDAYATULLAH JAKARTA</t>
  </si>
  <si>
    <t>UPN VETERAN JAKARTA</t>
  </si>
  <si>
    <t>UIN SUNAN GUNUNG DJATI BANDUNG</t>
  </si>
  <si>
    <t>UIN WALISONGO SEMARANG</t>
  </si>
  <si>
    <t>UPN VETERAN YOGYAKARTA</t>
  </si>
  <si>
    <t>UIN SUNAN KALIJAGA YOGYAKARTA</t>
  </si>
  <si>
    <t>UIN MALIK IBRAHIM MALANG</t>
  </si>
  <si>
    <t>UPN VETERAN JAWA TIMUR</t>
  </si>
  <si>
    <t>UIN SUNAN AMPEL SURABAYA</t>
  </si>
  <si>
    <t>UIN ALAUDDIN MAKASSAR</t>
  </si>
  <si>
    <t>-</t>
  </si>
  <si>
    <t>TOP 500 NILAI MINIMAL DITERIMA PRODI(SAINTEK)</t>
  </si>
  <si>
    <t>KODE PRODI</t>
  </si>
  <si>
    <t>NAMA PRODI</t>
  </si>
  <si>
    <t>S.BAKU</t>
  </si>
  <si>
    <t>MIN</t>
  </si>
  <si>
    <t>MAX</t>
  </si>
  <si>
    <t>B-Atas</t>
  </si>
  <si>
    <t>B-Bawah</t>
  </si>
  <si>
    <t>PENDDIDIKAN DOKTER</t>
  </si>
  <si>
    <t>SEKOLAH TEK.ELEKTRO &amp; INFORMATIKA (STEI)</t>
  </si>
  <si>
    <t>SEK.ARSITEKTUR, PERENC &amp; PENGEMB KEBIJAKAN</t>
  </si>
  <si>
    <t xml:space="preserve">PENDIDIKAN DOKTER   </t>
  </si>
  <si>
    <t xml:space="preserve">ARSITEKTUR  </t>
  </si>
  <si>
    <t xml:space="preserve">UNIVERSITAS SUMATERA UTARA </t>
  </si>
  <si>
    <t xml:space="preserve">UNIVERSITAS ISLAM NEGERI MALANG </t>
  </si>
  <si>
    <t xml:space="preserve">UNIVERSITAS ANDALAS </t>
  </si>
  <si>
    <t xml:space="preserve">INSTITUT TEKNOLOGI BANDUNG </t>
  </si>
  <si>
    <t xml:space="preserve">FAK. MATEMATIKA &amp; ILMU PENGET. ALAM (FMIPA) </t>
  </si>
  <si>
    <t xml:space="preserve">UNIVERSITAS PADJADJARAN </t>
  </si>
  <si>
    <t xml:space="preserve">UNIVERSITAS HASANUDDIN </t>
  </si>
  <si>
    <t xml:space="preserve">UNIVERSITAS GADJAH MADA </t>
  </si>
  <si>
    <t xml:space="preserve">TEKNIK MESIN </t>
  </si>
  <si>
    <t xml:space="preserve">UNIVERSITAS INDONESIA </t>
  </si>
  <si>
    <t xml:space="preserve">TEKNIK KIMIA </t>
  </si>
  <si>
    <t xml:space="preserve">STATISTIKA </t>
  </si>
  <si>
    <t xml:space="preserve">UNIVERSITAS AIRLANGGA </t>
  </si>
  <si>
    <t xml:space="preserve">PENDIDIKAN DOKTER GIGI </t>
  </si>
  <si>
    <t xml:space="preserve">TEKNIK BIOMEDIS </t>
  </si>
  <si>
    <t xml:space="preserve">MATEMATIKA </t>
  </si>
  <si>
    <t xml:space="preserve">TEKNIK INDUSTRI </t>
  </si>
  <si>
    <t xml:space="preserve">TEKNIK SIPIL </t>
  </si>
  <si>
    <t xml:space="preserve">SEKOLAH ILMU &amp; TEKNO. HAYATI - PROG. SAINS </t>
  </si>
  <si>
    <t xml:space="preserve">TEKNIK KOMPUTER </t>
  </si>
  <si>
    <t xml:space="preserve">KIMIA </t>
  </si>
  <si>
    <t xml:space="preserve">TEKNOLOGI BIOPROSES </t>
  </si>
  <si>
    <t xml:space="preserve">INSTITUT TEKNOLOGI SEPULUH NOPEMBER </t>
  </si>
  <si>
    <t xml:space="preserve">SISTEM INFORMASI </t>
  </si>
  <si>
    <t xml:space="preserve">FARMASI </t>
  </si>
  <si>
    <t xml:space="preserve">GIZI </t>
  </si>
  <si>
    <t xml:space="preserve">TEKNIK ELEKTRO </t>
  </si>
  <si>
    <t xml:space="preserve">UNIVERSITAS ISLAM NEGERI JAKARTA </t>
  </si>
  <si>
    <t xml:space="preserve">UNIVERSITAS MATARAM </t>
  </si>
  <si>
    <t xml:space="preserve">TEKNOLOGI PANGAN DAN HASIL PERTANIAN </t>
  </si>
  <si>
    <t xml:space="preserve">SAINS AKTUARIA </t>
  </si>
  <si>
    <t xml:space="preserve">INSTITUT PERTANIAN BOGOR </t>
  </si>
  <si>
    <t xml:space="preserve">ILMU KESEHATAN MASYARAKAT </t>
  </si>
  <si>
    <t xml:space="preserve">ARSITEKTUR </t>
  </si>
  <si>
    <t xml:space="preserve">ILMU KOMPUTER </t>
  </si>
  <si>
    <t xml:space="preserve">UNIVERSITAS LAMPUNG </t>
  </si>
  <si>
    <t xml:space="preserve">PEND. KEDOKTERAN </t>
  </si>
  <si>
    <t xml:space="preserve">ILMU AKTUARIA </t>
  </si>
  <si>
    <t xml:space="preserve">KESELAMATAN DAN KESEHATAN KERJA </t>
  </si>
  <si>
    <t xml:space="preserve">TEKNIK FISIKA </t>
  </si>
  <si>
    <t xml:space="preserve">UNIVERSITAS SYIAH KUALA </t>
  </si>
  <si>
    <t xml:space="preserve">TEKNIK INFORMATIKA </t>
  </si>
  <si>
    <t xml:space="preserve">SEKOLAH ILMU &amp; TEKNO HAYATI - PROG REKAYASA </t>
  </si>
  <si>
    <t xml:space="preserve">PERENCANAAN WILAYAH DAN KOTA </t>
  </si>
  <si>
    <t xml:space="preserve">AKTUARIA </t>
  </si>
  <si>
    <t xml:space="preserve">UNIVERSITAS JEMBER </t>
  </si>
  <si>
    <t xml:space="preserve">PENDIDIKANDOKTER GIGI </t>
  </si>
  <si>
    <t xml:space="preserve">UNIVERSITAS BRAWIJAYA </t>
  </si>
  <si>
    <t xml:space="preserve">UNIVERSITAS JENDERAL SOEDIRMAN </t>
  </si>
  <si>
    <t xml:space="preserve">GIZI KESEHATAN </t>
  </si>
  <si>
    <t xml:space="preserve">UNIVERSITAS RIAU </t>
  </si>
  <si>
    <t xml:space="preserve">PEND. DOKTER </t>
  </si>
  <si>
    <t xml:space="preserve">KESEHATAN LINGKUNGAN </t>
  </si>
  <si>
    <t xml:space="preserve">UNIVERSITAS DIPONEGORO </t>
  </si>
  <si>
    <t xml:space="preserve">TEKNIK GEODESI </t>
  </si>
  <si>
    <t xml:space="preserve">UNIVERSITAS SEBELAS MARET </t>
  </si>
  <si>
    <t xml:space="preserve">INFORMATIKA </t>
  </si>
  <si>
    <t xml:space="preserve">TEKNOLOGI INFORMASI </t>
  </si>
  <si>
    <t xml:space="preserve">GEOLOGI </t>
  </si>
  <si>
    <t xml:space="preserve">FAKULTAS TEKNOLOGI INDUSTRI (FTI) - KAMPUS CIREBON </t>
  </si>
  <si>
    <t xml:space="preserve">ELEKTRONIKA DAN INSTRUMENTASI </t>
  </si>
  <si>
    <t xml:space="preserve">FAKULTAS TEKNIK SIPIL DAN LINGKUNGAN (FTSL) - KAMPUS JATINANGOR </t>
  </si>
  <si>
    <t xml:space="preserve">GEOFISIKA </t>
  </si>
  <si>
    <t xml:space="preserve">KEDOKTERAN GIGI </t>
  </si>
  <si>
    <t xml:space="preserve">TEKNIK BIOMEDIK </t>
  </si>
  <si>
    <t xml:space="preserve">UNIVERSITAS PENDIDIKAN GANESHA </t>
  </si>
  <si>
    <t xml:space="preserve">KEDOKTERAN </t>
  </si>
  <si>
    <t xml:space="preserve">TEKNOLOGI PANGAN </t>
  </si>
  <si>
    <t xml:space="preserve">BIOLOGI </t>
  </si>
  <si>
    <t xml:space="preserve">TEKNIK SIPIL DAN LINGKUNGAN </t>
  </si>
  <si>
    <t xml:space="preserve">UNIVERSITAS MULAWARMAN </t>
  </si>
  <si>
    <t xml:space="preserve">TEKNIK GEOLOGI </t>
  </si>
  <si>
    <t xml:space="preserve">PENDIDIKAN APOTEKER </t>
  </si>
  <si>
    <t xml:space="preserve">UNIVERSITAS LAMBUNG MANGKURAT </t>
  </si>
  <si>
    <t xml:space="preserve">TEKNOLOGI INDUSTRI PERTANIAN </t>
  </si>
  <si>
    <t xml:space="preserve">ILMU GIZI </t>
  </si>
  <si>
    <t xml:space="preserve">UNIVERSITAS TANJUNGPURA </t>
  </si>
  <si>
    <t xml:space="preserve">UNIVERSITAS UDAYANA </t>
  </si>
  <si>
    <t xml:space="preserve">UNIVERSITAS JAMBI </t>
  </si>
  <si>
    <t xml:space="preserve">BIOKIMIA </t>
  </si>
  <si>
    <t xml:space="preserve">PEMBANGUNAN WILAYAH </t>
  </si>
  <si>
    <t xml:space="preserve">TEKNOLOGIPANGAN </t>
  </si>
  <si>
    <t xml:space="preserve">TEKNIK NUKLIR </t>
  </si>
  <si>
    <t xml:space="preserve">TEKNIK PERKAPALAN </t>
  </si>
  <si>
    <t xml:space="preserve">KARTOGRAFI DAN PENGINDERAAN JAUH </t>
  </si>
  <si>
    <t xml:space="preserve">TEKNIK MATERIAL </t>
  </si>
  <si>
    <t xml:space="preserve">EKONOMI PERTANIAN DAN AGRIBISNIS </t>
  </si>
  <si>
    <t xml:space="preserve">UNIVERSITAS SAM RATULANGI </t>
  </si>
  <si>
    <t xml:space="preserve">UNIVERSITAS NEGERI YOGYAKARTA </t>
  </si>
  <si>
    <t xml:space="preserve">PENDIDIKAN MATEMATIKA </t>
  </si>
  <si>
    <t xml:space="preserve">UNIVERSITAS NEGERI JAKARTA </t>
  </si>
  <si>
    <t xml:space="preserve">UNIVERSITAS CENDERAWASIH </t>
  </si>
  <si>
    <t xml:space="preserve">TEKNOBIOMEDIK </t>
  </si>
  <si>
    <t xml:space="preserve">ILMU DAN TEKNOLOGI PANGAN </t>
  </si>
  <si>
    <t xml:space="preserve">FAKULTAS TEKNOLOGI INDUSTRI (FTI) - KAMPUS JATINANGOR </t>
  </si>
  <si>
    <t xml:space="preserve">UNIVERSITAS BENGKULU </t>
  </si>
  <si>
    <t xml:space="preserve">GEOGRAFI LINGKUNGAN </t>
  </si>
  <si>
    <t xml:space="preserve">TEKNIK SISTEM PERKAPALAN </t>
  </si>
  <si>
    <t xml:space="preserve">KEDOKTERAN HEWAN </t>
  </si>
  <si>
    <t xml:space="preserve">TEKNIK GEOFISIKA </t>
  </si>
  <si>
    <t xml:space="preserve">UNIVERSITAS MALIKUSSALEH </t>
  </si>
  <si>
    <t xml:space="preserve">ARSITEKTUR LANSEKAP </t>
  </si>
  <si>
    <t xml:space="preserve">ILMU KEPERAWATAN </t>
  </si>
  <si>
    <t xml:space="preserve">UNIVERSITAS SRIWIJAYA </t>
  </si>
  <si>
    <t xml:space="preserve">TEKNIK PERTANIAN </t>
  </si>
  <si>
    <t xml:space="preserve">TEKNIK KELAUTAN </t>
  </si>
  <si>
    <t xml:space="preserve">BISNIS </t>
  </si>
  <si>
    <t xml:space="preserve">MIKROBIOLOGI PERTANIAN </t>
  </si>
  <si>
    <t xml:space="preserve">BIOTEKNOLOGI </t>
  </si>
  <si>
    <t xml:space="preserve">TEKNIK GEOMATIKA </t>
  </si>
  <si>
    <t xml:space="preserve">UNIVERSITAS PENDIDIKAN INDONESIA </t>
  </si>
  <si>
    <t xml:space="preserve">GIZI KESEHATAN / ILMU GIZI </t>
  </si>
  <si>
    <t xml:space="preserve">KESEHATAN MASYARAKAT </t>
  </si>
  <si>
    <t xml:space="preserve">SEK. ARSITEKTUR, PERENC &amp; PENGEMB KEBIJAKAN (SAPPK) - KAMPUS CIREBON </t>
  </si>
  <si>
    <t xml:space="preserve">UNIVERSITAS NUSA CENDANA </t>
  </si>
  <si>
    <t xml:space="preserve">UPN "VETERAN" YOGYAKARTA </t>
  </si>
  <si>
    <t xml:space="preserve">PENDIDIKAN KIMIA </t>
  </si>
  <si>
    <t xml:space="preserve">METEOROLOGI TERAPAN </t>
  </si>
  <si>
    <t xml:space="preserve">TEKNIK PERTAMBANGAN </t>
  </si>
  <si>
    <t xml:space="preserve">ILMU TANAH </t>
  </si>
  <si>
    <t xml:space="preserve">TEKNIK TRANSPORTASI LAUT </t>
  </si>
  <si>
    <t xml:space="preserve">UNIVERSITAS ISLAM NEGERI SUNAN KALIJAGA </t>
  </si>
  <si>
    <t xml:space="preserve">UNIVERSITAS PALANGKARAYA </t>
  </si>
  <si>
    <t xml:space="preserve">UNIVERSITAS NEGERI SEMARANG </t>
  </si>
  <si>
    <t xml:space="preserve">PERENCANAAN WILAYAH &amp; KOTA </t>
  </si>
  <si>
    <t xml:space="preserve">AGRONOMI </t>
  </si>
  <si>
    <t xml:space="preserve">UPN "VETERAN" JAKARTA </t>
  </si>
  <si>
    <t xml:space="preserve">UNIVERSITAS HALUOLEO </t>
  </si>
  <si>
    <t xml:space="preserve">HIGIENE GIGI </t>
  </si>
  <si>
    <t xml:space="preserve">KEHUTANAN </t>
  </si>
  <si>
    <t xml:space="preserve">TEKNOLOGI HASIL PERIKANAN </t>
  </si>
  <si>
    <t xml:space="preserve">FAK. TEKNIK PERTAMB. &amp; PERMINYAKAN (FTTM) - KAMPUS CIREBON </t>
  </si>
  <si>
    <t xml:space="preserve">EKONOMI SUMBERDAYA DAN LINGKUNGAN </t>
  </si>
  <si>
    <t xml:space="preserve">AGRIBISNIS </t>
  </si>
  <si>
    <t xml:space="preserve">UNIVERSITAS ISLAM NEGERI ALAUDDIN </t>
  </si>
  <si>
    <t xml:space="preserve">ILMU DAN TEKNOLOGI LINGKUNGAN </t>
  </si>
  <si>
    <t xml:space="preserve">PENDIDIKAN BIDAN </t>
  </si>
  <si>
    <t xml:space="preserve">TEKNIK PENGAIRAN </t>
  </si>
  <si>
    <t xml:space="preserve">UNIVERSITAS NEGERI MALANG </t>
  </si>
  <si>
    <t xml:space="preserve">PENDIDIKAN BIOLOGI </t>
  </si>
  <si>
    <t xml:space="preserve">KOMUNIKASI DAN PENGEMBANGAN MASYARAKAT </t>
  </si>
  <si>
    <t xml:space="preserve">ILMU DAN TEKNOLOGI KELAUTAN </t>
  </si>
  <si>
    <t xml:space="preserve">PENDIDIKAN FISIKA </t>
  </si>
  <si>
    <t xml:space="preserve">UPN "VETERAN" JAWA TIMUR </t>
  </si>
  <si>
    <t xml:space="preserve">MANAJEMEN SUMBERDAYA LAHAN </t>
  </si>
  <si>
    <t xml:space="preserve">TEKNIK PERMINYAKAN </t>
  </si>
  <si>
    <t xml:space="preserve">ILMU DAN INDUSTRI PETERNAKAN </t>
  </si>
  <si>
    <t xml:space="preserve">AGRONOMI DAN HORTIKULTURA </t>
  </si>
  <si>
    <t xml:space="preserve">PENYULUHAN DAN KOMUNIKASI PERTANIAN </t>
  </si>
  <si>
    <t xml:space="preserve">UNIVERSITAS PATTIMURA </t>
  </si>
  <si>
    <t xml:space="preserve">INSTRUMENTASI </t>
  </si>
  <si>
    <t xml:space="preserve">AGROTEKNOLOGI </t>
  </si>
  <si>
    <t xml:space="preserve">UNIVERSITAS TADULAKO </t>
  </si>
  <si>
    <t xml:space="preserve">OCEANOGRAFI </t>
  </si>
  <si>
    <t xml:space="preserve">TEKNIK ARSITEKTUR </t>
  </si>
  <si>
    <t xml:space="preserve">KONSERVASI SUMBERDAYAHUTAN&amp; EKOWISATA </t>
  </si>
  <si>
    <t xml:space="preserve">UNIVERSITAS NEGERI SURABAYA </t>
  </si>
  <si>
    <t xml:space="preserve">KEPERAWATAN </t>
  </si>
  <si>
    <t xml:space="preserve">METALURGI </t>
  </si>
  <si>
    <t xml:space="preserve">PENDIDIKAN DOKTER HEWAN </t>
  </si>
  <si>
    <t xml:space="preserve">AGROTEKNOLOGI / AGROEKOTEKNOLOGI </t>
  </si>
  <si>
    <t xml:space="preserve">DESAIN PRODUK INDUSTRI </t>
  </si>
  <si>
    <t xml:space="preserve">MANAJEMEN SUMBERDAYA PERAIRAN </t>
  </si>
  <si>
    <t xml:space="preserve">TEKNIK PERTANIAN DAN BIOSISTEM </t>
  </si>
  <si>
    <t xml:space="preserve">PENDIDIKAN IPA </t>
  </si>
  <si>
    <t xml:space="preserve">PENDIDIKAN TEKNIK INFORMATIKA </t>
  </si>
  <si>
    <t xml:space="preserve">TEKNOLOGI &amp; MANAJEMEN PERIKANAN TANGKAP </t>
  </si>
  <si>
    <t xml:space="preserve">PROTEKSI TANAMAN </t>
  </si>
  <si>
    <t xml:space="preserve">ILMU LINGKUNGAN </t>
  </si>
  <si>
    <t xml:space="preserve">ILMU KELAUTAN </t>
  </si>
  <si>
    <t xml:space="preserve">KEBIDANAN </t>
  </si>
  <si>
    <t xml:space="preserve">ILMU KELUARGA DAN KONSUMEN </t>
  </si>
  <si>
    <t xml:space="preserve">MANAJEMEN HUTAN </t>
  </si>
  <si>
    <t xml:space="preserve">NUTRISI DAN TEKNOLOGI PAKAN </t>
  </si>
  <si>
    <t xml:space="preserve">PEND. MATEMATIKA </t>
  </si>
  <si>
    <t xml:space="preserve">AKUAKULTUR </t>
  </si>
  <si>
    <t xml:space="preserve">FISIOTERAPI </t>
  </si>
  <si>
    <t xml:space="preserve">PENDIDIKAN TEKNIK ARSITEKTUR </t>
  </si>
  <si>
    <t xml:space="preserve">UNIVERSITAS TIDAR </t>
  </si>
  <si>
    <t xml:space="preserve">SILVIKULTUR </t>
  </si>
  <si>
    <t xml:space="preserve">AGROEKOTEKNOLOGI </t>
  </si>
  <si>
    <t xml:space="preserve">TEKNOLOGI HASIL PERAIRAN </t>
  </si>
  <si>
    <t xml:space="preserve">PENDIDIKAN NERS </t>
  </si>
  <si>
    <t xml:space="preserve">PENDIDIKAN TEKNIK SIPIL &amp; PERENCANAAN </t>
  </si>
  <si>
    <t xml:space="preserve">TEKNIK MANUFAKTUR </t>
  </si>
  <si>
    <t xml:space="preserve">UNIVERSITAS ISLAM NEGERI SUNAN GUNUNG DJATI </t>
  </si>
  <si>
    <t xml:space="preserve">TEKNOLOGI HASIL TERNAK </t>
  </si>
  <si>
    <t xml:space="preserve">ILMU KOMPUTER/TEKNIK INFORMATIKA </t>
  </si>
  <si>
    <t xml:space="preserve">PENDIDIKAN ILMU PENGETAHUAN ALAM </t>
  </si>
  <si>
    <t xml:space="preserve">SISTEM KOMPUTER </t>
  </si>
  <si>
    <t>TOP 500 NILAI MINIMAL DITERIMA PRODI(SOSHUM)</t>
  </si>
  <si>
    <t xml:space="preserve">ILMU EKONOMI </t>
  </si>
  <si>
    <t xml:space="preserve">SEKOLAH BISNIS DAN MANAJEMEN (SBM) </t>
  </si>
  <si>
    <t xml:space="preserve">ILMU PSIKOLOGI </t>
  </si>
  <si>
    <t xml:space="preserve">ILMU EKONOMI ISLAM </t>
  </si>
  <si>
    <t xml:space="preserve">MANAJEMEN DAN KEBIJAKAN PUBLIK </t>
  </si>
  <si>
    <t xml:space="preserve">ILMU ADMINISTRASI FISKAL </t>
  </si>
  <si>
    <t xml:space="preserve">ILMU ADMINISTRASI NIAGA </t>
  </si>
  <si>
    <t xml:space="preserve">BAHASA DAN KEBUDAYAAN KOREA </t>
  </si>
  <si>
    <t xml:space="preserve">PEMBANGUNAN SOSIAL DAN KESEJAHTERAAN </t>
  </si>
  <si>
    <t xml:space="preserve">POLITIK DAN PEMERINTAHAN </t>
  </si>
  <si>
    <t xml:space="preserve">KRIMINOLOGI </t>
  </si>
  <si>
    <t xml:space="preserve">FAKULTAS SENIRUPA DAN DESAIN (FSRD) </t>
  </si>
  <si>
    <t xml:space="preserve">PARIWISATA </t>
  </si>
  <si>
    <t xml:space="preserve">BISNIS ISLAM </t>
  </si>
  <si>
    <t xml:space="preserve">SEJARAH </t>
  </si>
  <si>
    <t xml:space="preserve">BISNIS DIGITAL </t>
  </si>
  <si>
    <t xml:space="preserve">ANTROPOLOGI BUDAYA </t>
  </si>
  <si>
    <t xml:space="preserve">ILMU KESEJAHTERAAN SOSIAL </t>
  </si>
  <si>
    <t xml:space="preserve">MANAJEMEN KOMUNIKASI </t>
  </si>
  <si>
    <t xml:space="preserve">EKONOMIPEMBANGUNAN </t>
  </si>
  <si>
    <t xml:space="preserve">SASTRA BELANDA </t>
  </si>
  <si>
    <t xml:space="preserve">SASTRA PERANCIS </t>
  </si>
  <si>
    <t xml:space="preserve">SASTRA ARAB </t>
  </si>
  <si>
    <t xml:space="preserve">ISI YOGYAKARTA </t>
  </si>
  <si>
    <t xml:space="preserve">ARKEOLOGI </t>
  </si>
  <si>
    <t xml:space="preserve">ADMINISTRASI BISNIS </t>
  </si>
  <si>
    <t xml:space="preserve">ARKEOLOGI INDONESIA </t>
  </si>
  <si>
    <t xml:space="preserve">SASTRA RUSIA </t>
  </si>
  <si>
    <t xml:space="preserve">SASTRA PRANCIS </t>
  </si>
  <si>
    <t xml:space="preserve">ILMU PEMERINTAHAN </t>
  </si>
  <si>
    <t xml:space="preserve">ANTROPOLOGI </t>
  </si>
  <si>
    <t xml:space="preserve">FILSAFAT </t>
  </si>
  <si>
    <t xml:space="preserve">ILMU FILSAFAT </t>
  </si>
  <si>
    <t xml:space="preserve">ISBI TANAH PAPUA </t>
  </si>
  <si>
    <t xml:space="preserve">ADMINISTRASI PERPAJAKAN </t>
  </si>
  <si>
    <t xml:space="preserve">STUDI PEMBANGUNAN </t>
  </si>
  <si>
    <t xml:space="preserve">FAKULTAS SENIRUPA DAN DESAIN (FSRD) - KAMPUS CIREBON </t>
  </si>
  <si>
    <t xml:space="preserve">EKONOMI, KEUANGAN DAN PERBANKAN </t>
  </si>
  <si>
    <t xml:space="preserve">SASTRA DAERAH UNTUK SASTRA JAWA </t>
  </si>
  <si>
    <t xml:space="preserve">KEWIRAUSAHAAN </t>
  </si>
  <si>
    <t xml:space="preserve">MANAJEMEN PENDIDIKAN </t>
  </si>
  <si>
    <t xml:space="preserve">SASTRA JAWA </t>
  </si>
  <si>
    <t xml:space="preserve">PENDIDIKAN TEKNIK BOGA </t>
  </si>
  <si>
    <t xml:space="preserve">PENDIDIKAN BAHASA KOREA </t>
  </si>
  <si>
    <t xml:space="preserve">BAHASA DAN SASTRA PERANCIS </t>
  </si>
  <si>
    <t xml:space="preserve">PENDIDIKAN IPS </t>
  </si>
  <si>
    <t xml:space="preserve">BAHASA DAN KEBUDAYAAN JEPANG </t>
  </si>
  <si>
    <t xml:space="preserve">PENDIDIKAN TEKNIK BUSANA </t>
  </si>
  <si>
    <t xml:space="preserve">PEND. GURU SEKOLAH DASAR (PGSD) SURAKARTA </t>
  </si>
  <si>
    <t xml:space="preserve">ISI SURAKARTA </t>
  </si>
  <si>
    <t xml:space="preserve">PENDIDIKAN KEWARGANEGARAAN </t>
  </si>
  <si>
    <t xml:space="preserve">BAHASA JEPANG </t>
  </si>
  <si>
    <t xml:space="preserve">BAHASA. DAN SASTRA INDONESIA </t>
  </si>
  <si>
    <t xml:space="preserve">PENDIDIKAN EKONOMI (PENDIDIKAN AKUNTANSI) </t>
  </si>
  <si>
    <t xml:space="preserve">PENDIDIKAN BAHASA PRANCIS </t>
  </si>
  <si>
    <t xml:space="preserve">PENDIDIKAN LUAR SEKOLAH </t>
  </si>
  <si>
    <t xml:space="preserve">PENDIDIKAN BAHASA MANDARIN </t>
  </si>
  <si>
    <t xml:space="preserve">PENDIDIKAN SOSIOLOGI &amp; ANTROPOLOGI </t>
  </si>
  <si>
    <t xml:space="preserve">ADMINISTRASI BISNIS PSDKU PANGANDARAN </t>
  </si>
  <si>
    <t xml:space="preserve">PENDIDIKAN BHS &amp; SASTRA INGGRIS </t>
  </si>
  <si>
    <t xml:space="preserve">PENDIDIKAN BHS &amp; SASTRA JEPANG </t>
  </si>
  <si>
    <t xml:space="preserve">UNIVERSITAS SULTAN AGENG TIRTAYASA </t>
  </si>
  <si>
    <t xml:space="preserve">PENDIDIKAN BAHASA JAWA </t>
  </si>
  <si>
    <t xml:space="preserve">ADMINISTRASI PENDIDIKAN </t>
  </si>
  <si>
    <t xml:space="preserve">PEND. EKONOMI (PEND. ADMIN. PEKANTORAN) </t>
  </si>
  <si>
    <t xml:space="preserve">ILMU INFORMASI DAN PERPUSTAKAAN </t>
  </si>
  <si>
    <t xml:space="preserve">P. BAHASA JEPANG </t>
  </si>
  <si>
    <t xml:space="preserve">PENDIDIKAN LUAR BIASA </t>
  </si>
  <si>
    <t xml:space="preserve">PENDIDIKAN LUAR BIASA (PENDIDIKAN KHUSUS) </t>
  </si>
  <si>
    <t xml:space="preserve">UNIVERSITAS SILIWANGI </t>
  </si>
  <si>
    <t xml:space="preserve">PENDIDIKAN PANCASILA &amp; KEWARGANEGARAAN </t>
  </si>
  <si>
    <t xml:space="preserve">PENDIDIKAN BHS &amp; SASTRA INDONESIA </t>
  </si>
  <si>
    <t xml:space="preserve">UNIVERSITAS NEGERI PADANG </t>
  </si>
  <si>
    <t xml:space="preserve">PENDIDIKAN GURU PAUD </t>
  </si>
  <si>
    <t xml:space="preserve">PENDIDIKAN SENI MUSIK </t>
  </si>
  <si>
    <t xml:space="preserve">PENDIDIKAN EKONOMI (PENDIDIKAN KOPERASI) </t>
  </si>
  <si>
    <t xml:space="preserve">UNIVERSITAS SINGAPERBANGSA KARAWANG </t>
  </si>
  <si>
    <t xml:space="preserve">PENDIDIKAN BHS.DAN SASTRA INDONESIA </t>
  </si>
  <si>
    <t xml:space="preserve">PEND. AKUNTANSI </t>
  </si>
  <si>
    <t xml:space="preserve">PEND. GURU SEKOLAH DASAR (PGSD) KEBUMEN </t>
  </si>
  <si>
    <t xml:space="preserve">SENI RUPA (DKV,LUKIS,PTNG,GRAFIS,GBR KRIYA) </t>
  </si>
  <si>
    <t xml:space="preserve">AKUNTANSI (PSDKU BANYUWANGI) </t>
  </si>
  <si>
    <t xml:space="preserve">UNIVERSITAS ISLAM NEGERI WALISONGO </t>
  </si>
  <si>
    <t>values only</t>
  </si>
  <si>
    <t>13 &amp; 14 April 2019</t>
  </si>
  <si>
    <t>KPU</t>
  </si>
  <si>
    <t>PK</t>
  </si>
  <si>
    <t>PPU</t>
  </si>
  <si>
    <t>KMBM</t>
  </si>
  <si>
    <t>MAT</t>
  </si>
  <si>
    <t>FIS</t>
  </si>
  <si>
    <t>KIM</t>
  </si>
  <si>
    <t>BIO</t>
  </si>
  <si>
    <t>GEO</t>
  </si>
  <si>
    <t>SEJ</t>
  </si>
  <si>
    <t>SOS</t>
  </si>
  <si>
    <t>EKO</t>
  </si>
  <si>
    <t>N</t>
  </si>
  <si>
    <t>&lt;300</t>
  </si>
  <si>
    <t>301-400</t>
  </si>
  <si>
    <t>401-500</t>
  </si>
  <si>
    <t>501-600</t>
  </si>
  <si>
    <t>601-700</t>
  </si>
  <si>
    <t>701-800</t>
  </si>
  <si>
    <t>801-900</t>
  </si>
  <si>
    <t>&gt;901</t>
  </si>
  <si>
    <t>kode prodi</t>
  </si>
  <si>
    <t>b-atas</t>
  </si>
  <si>
    <t>b-bawah</t>
  </si>
  <si>
    <t>=VLOOKUP(C2;'++bamangab'!$A$2:$C$1001;2;FALSE)</t>
  </si>
  <si>
    <t>=VLOOKUP(C2;'++bamangab'!$A$2:$C$1001;3;FALSE)</t>
  </si>
  <si>
    <t>=VLOOKUP(C2;PRODI_LTMPT19!A:F;6;FALSE)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</si>
</sst>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4" x14ac:knownFonts="1">
    <font>
      <sz val="11"/>
      <color theme="1"/>
      <name val="Calibri"/>
      <family val="2"/>
      <charset val="1"/>
      <scheme val="minor"/>
    </font>
    <font>
      <b/>
      <sz val="11"/>
      <color rgb="FF333333"/>
      <name val="Arial"/>
      <family val="2"/>
    </font>
    <font>
      <sz val="11"/>
      <name val="Arial"/>
      <family val="2"/>
    </font>
    <font>
      <sz val="11"/>
      <color rgb="FF333333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charset val="1"/>
      <scheme val="minor"/>
    </font>
    <font>
      <b/>
      <sz val="10"/>
      <color rgb="FFFFFFFF"/>
      <name val="Arial"/>
      <family val="2"/>
    </font>
    <font>
      <b/>
      <sz val="10"/>
      <color rgb="FF555555"/>
      <name val="Arial"/>
      <family val="2"/>
    </font>
    <font>
      <sz val="11"/>
      <color rgb="FFAAAAAA"/>
      <name val="Arial"/>
      <family val="2"/>
    </font>
    <font>
      <b/>
      <sz val="10"/>
      <color rgb="FF555555"/>
      <name val="Calibri"/>
      <family val="2"/>
      <charset val="1"/>
      <scheme val="minor"/>
    </font>
    <font>
      <b/>
      <sz val="10"/>
      <color rgb="FFFFFFFF"/>
      <name val="Calibri"/>
      <family val="2"/>
      <charset val="1"/>
      <scheme val="minor"/>
    </font>
    <font>
      <sz val="11"/>
      <color rgb="FFAAAAAA"/>
      <name val="Calibri"/>
      <family val="2"/>
      <charset val="1"/>
      <scheme val="minor"/>
    </font>
    <font>
      <sz val="13"/>
      <color rgb="FF6A6C6E"/>
      <name val="Arial"/>
      <family val="2"/>
    </font>
    <font>
      <sz val="13.5"/>
      <color rgb="FF9DA5AD"/>
      <name val="Arial"/>
      <family val="2"/>
    </font>
    <font>
      <sz val="11"/>
      <color rgb="FFFF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0"/>
      <color rgb="FF333333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FF0000"/>
      <name val="Arial"/>
      <family val="2"/>
    </font>
    <font>
      <sz val="11"/>
      <color rgb="FFFF0000"/>
      <name val="Arial"/>
      <family val="2"/>
    </font>
    <font>
      <b/>
      <sz val="10"/>
      <color rgb="FFFF0000"/>
      <name val="Calibri"/>
      <family val="2"/>
      <charset val="1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rgb="FFDDDDDD"/>
      </top>
      <bottom/>
      <diagonal/>
    </border>
    <border>
      <left/>
      <right/>
      <top style="medium">
        <color rgb="FFDDDDDD"/>
      </top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/>
      <right/>
      <top/>
      <bottom style="medium">
        <color rgb="FFDDDDDD"/>
      </bottom>
      <diagonal/>
    </border>
    <border>
      <left style="thick">
        <color rgb="FFFFFFFF"/>
      </left>
      <right/>
      <top style="thick">
        <color rgb="FFFFFFFF"/>
      </top>
      <bottom style="thick">
        <color rgb="FFDDDDDD"/>
      </bottom>
      <diagonal/>
    </border>
    <border>
      <left/>
      <right/>
      <top style="thick">
        <color rgb="FFFFFFFF"/>
      </top>
      <bottom style="thick">
        <color rgb="FFDDDDDD"/>
      </bottom>
      <diagonal/>
    </border>
    <border>
      <left/>
      <right style="thick">
        <color rgb="FFFFFFFF"/>
      </right>
      <top style="thick">
        <color rgb="FFFFFFFF"/>
      </top>
      <bottom style="thick">
        <color rgb="FFDDDDDD"/>
      </bottom>
      <diagonal/>
    </border>
    <border>
      <left style="thick">
        <color rgb="FFFFFFFF"/>
      </left>
      <right/>
      <top style="medium">
        <color rgb="FFDDDDDD"/>
      </top>
      <bottom/>
      <diagonal/>
    </border>
    <border>
      <left/>
      <right style="thick">
        <color rgb="FFFFFFFF"/>
      </right>
      <top style="medium">
        <color rgb="FFDDDDDD"/>
      </top>
      <bottom/>
      <diagonal/>
    </border>
    <border>
      <left style="thick">
        <color rgb="FFFFFFFF"/>
      </left>
      <right/>
      <top style="medium">
        <color rgb="FFDDDDDD"/>
      </top>
      <bottom style="thick">
        <color rgb="FFFFFFFF"/>
      </bottom>
      <diagonal/>
    </border>
    <border>
      <left/>
      <right style="thick">
        <color rgb="FFFFFFFF"/>
      </right>
      <top style="medium">
        <color rgb="FFDDDDDD"/>
      </top>
      <bottom style="thick">
        <color rgb="FFFFFFFF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/>
      <bottom/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/>
      <top/>
      <bottom style="thick">
        <color rgb="FFDDDDDD"/>
      </bottom>
      <diagonal/>
    </border>
    <border>
      <left/>
      <right/>
      <top style="thick">
        <color rgb="FFDDDDDD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3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4" fillId="4" borderId="1" xfId="0" applyFont="1" applyFill="1" applyBorder="1" applyAlignment="1">
      <alignment horizontal="center" vertical="top"/>
    </xf>
    <xf numFmtId="0" fontId="4" fillId="5" borderId="1" xfId="0" applyFont="1" applyFill="1" applyBorder="1" applyAlignment="1">
      <alignment horizontal="center" vertical="top"/>
    </xf>
    <xf numFmtId="0" fontId="4" fillId="4" borderId="2" xfId="0" applyFont="1" applyFill="1" applyBorder="1" applyAlignment="1">
      <alignment horizontal="center" vertical="top"/>
    </xf>
    <xf numFmtId="0" fontId="0" fillId="5" borderId="3" xfId="0" applyFill="1" applyBorder="1" applyAlignment="1">
      <alignment horizontal="center"/>
    </xf>
    <xf numFmtId="0" fontId="4" fillId="5" borderId="2" xfId="0" applyFont="1" applyFill="1" applyBorder="1" applyAlignment="1">
      <alignment horizontal="center" vertical="top"/>
    </xf>
    <xf numFmtId="0" fontId="0" fillId="4" borderId="1" xfId="0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3" fillId="4" borderId="2" xfId="0" applyFont="1" applyFill="1" applyBorder="1" applyAlignment="1">
      <alignment horizontal="center" vertical="top"/>
    </xf>
    <xf numFmtId="0" fontId="5" fillId="0" borderId="0" xfId="1" applyAlignment="1">
      <alignment horizontal="left" vertical="center"/>
    </xf>
    <xf numFmtId="0" fontId="0" fillId="0" borderId="0" xfId="0" applyAlignment="1"/>
    <xf numFmtId="0" fontId="5" fillId="0" borderId="4" xfId="1" applyBorder="1" applyAlignment="1">
      <alignment horizontal="left" vertical="center"/>
    </xf>
    <xf numFmtId="0" fontId="6" fillId="5" borderId="5" xfId="0" applyFont="1" applyFill="1" applyBorder="1" applyAlignment="1">
      <alignment horizontal="center"/>
    </xf>
    <xf numFmtId="0" fontId="7" fillId="5" borderId="6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right" vertical="top"/>
    </xf>
    <xf numFmtId="0" fontId="4" fillId="4" borderId="9" xfId="0" applyFont="1" applyFill="1" applyBorder="1" applyAlignment="1">
      <alignment vertical="top"/>
    </xf>
    <xf numFmtId="0" fontId="4" fillId="5" borderId="9" xfId="0" applyFont="1" applyFill="1" applyBorder="1" applyAlignment="1">
      <alignment vertical="top"/>
    </xf>
    <xf numFmtId="0" fontId="8" fillId="4" borderId="10" xfId="0" applyFont="1" applyFill="1" applyBorder="1" applyAlignment="1">
      <alignment horizontal="right" vertical="top"/>
    </xf>
    <xf numFmtId="0" fontId="4" fillId="4" borderId="11" xfId="0" applyFont="1" applyFill="1" applyBorder="1" applyAlignment="1">
      <alignment vertical="top"/>
    </xf>
    <xf numFmtId="0" fontId="9" fillId="5" borderId="7" xfId="0" applyFont="1" applyFill="1" applyBorder="1" applyAlignment="1">
      <alignment horizontal="center"/>
    </xf>
    <xf numFmtId="0" fontId="0" fillId="4" borderId="9" xfId="0" applyFill="1" applyBorder="1" applyAlignment="1">
      <alignment vertical="top"/>
    </xf>
    <xf numFmtId="0" fontId="0" fillId="5" borderId="9" xfId="0" applyFill="1" applyBorder="1" applyAlignment="1">
      <alignment vertical="top"/>
    </xf>
    <xf numFmtId="0" fontId="0" fillId="5" borderId="12" xfId="0" applyFill="1" applyBorder="1" applyAlignment="1"/>
    <xf numFmtId="0" fontId="3" fillId="5" borderId="2" xfId="0" applyFont="1" applyFill="1" applyBorder="1" applyAlignment="1">
      <alignment horizontal="center" vertical="top"/>
    </xf>
    <xf numFmtId="0" fontId="10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11" fillId="4" borderId="8" xfId="0" applyFont="1" applyFill="1" applyBorder="1" applyAlignment="1">
      <alignment horizontal="right" vertical="top"/>
    </xf>
    <xf numFmtId="0" fontId="11" fillId="5" borderId="8" xfId="0" applyFont="1" applyFill="1" applyBorder="1" applyAlignment="1">
      <alignment horizontal="right" vertical="top"/>
    </xf>
    <xf numFmtId="0" fontId="4" fillId="5" borderId="11" xfId="0" applyFont="1" applyFill="1" applyBorder="1" applyAlignment="1">
      <alignment vertical="top"/>
    </xf>
    <xf numFmtId="0" fontId="8" fillId="5" borderId="10" xfId="0" applyFont="1" applyFill="1" applyBorder="1" applyAlignment="1">
      <alignment horizontal="right" vertical="top"/>
    </xf>
    <xf numFmtId="0" fontId="5" fillId="0" borderId="0" xfId="1" applyAlignment="1">
      <alignment horizontal="left" vertical="center" wrapText="1" indent="1"/>
    </xf>
    <xf numFmtId="0" fontId="5" fillId="0" borderId="4" xfId="1" applyBorder="1" applyAlignment="1">
      <alignment horizontal="left" vertical="center" wrapText="1" indent="1"/>
    </xf>
    <xf numFmtId="0" fontId="6" fillId="5" borderId="5" xfId="0" applyFont="1" applyFill="1" applyBorder="1" applyAlignment="1">
      <alignment horizontal="center" wrapText="1"/>
    </xf>
    <xf numFmtId="0" fontId="7" fillId="5" borderId="6" xfId="0" applyFont="1" applyFill="1" applyBorder="1" applyAlignment="1">
      <alignment horizontal="center" wrapText="1"/>
    </xf>
    <xf numFmtId="0" fontId="7" fillId="5" borderId="7" xfId="0" applyFont="1" applyFill="1" applyBorder="1" applyAlignment="1">
      <alignment horizontal="center" wrapText="1"/>
    </xf>
    <xf numFmtId="0" fontId="8" fillId="4" borderId="8" xfId="0" applyFont="1" applyFill="1" applyBorder="1" applyAlignment="1">
      <alignment horizontal="right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4" borderId="9" xfId="0" applyFont="1" applyFill="1" applyBorder="1" applyAlignment="1">
      <alignment vertical="top" wrapText="1"/>
    </xf>
    <xf numFmtId="0" fontId="8" fillId="5" borderId="8" xfId="0" applyFont="1" applyFill="1" applyBorder="1" applyAlignment="1">
      <alignment horizontal="right" vertical="top" wrapText="1"/>
    </xf>
    <xf numFmtId="0" fontId="4" fillId="5" borderId="1" xfId="0" applyFont="1" applyFill="1" applyBorder="1" applyAlignment="1">
      <alignment horizontal="center" vertical="top" wrapText="1"/>
    </xf>
    <xf numFmtId="0" fontId="4" fillId="5" borderId="9" xfId="0" applyFont="1" applyFill="1" applyBorder="1" applyAlignment="1">
      <alignment vertical="top" wrapText="1"/>
    </xf>
    <xf numFmtId="0" fontId="8" fillId="4" borderId="10" xfId="0" applyFont="1" applyFill="1" applyBorder="1" applyAlignment="1">
      <alignment horizontal="right" vertical="top" wrapText="1"/>
    </xf>
    <xf numFmtId="0" fontId="4" fillId="4" borderId="2" xfId="0" applyFont="1" applyFill="1" applyBorder="1" applyAlignment="1">
      <alignment horizontal="center" vertical="top" wrapText="1"/>
    </xf>
    <xf numFmtId="0" fontId="4" fillId="4" borderId="11" xfId="0" applyFont="1" applyFill="1" applyBorder="1" applyAlignment="1">
      <alignment vertical="top" wrapText="1"/>
    </xf>
    <xf numFmtId="0" fontId="0" fillId="4" borderId="2" xfId="0" applyFill="1" applyBorder="1" applyAlignment="1">
      <alignment horizontal="center" vertical="top"/>
    </xf>
    <xf numFmtId="0" fontId="4" fillId="5" borderId="2" xfId="0" applyFont="1" applyFill="1" applyBorder="1" applyAlignment="1">
      <alignment horizontal="center" vertical="top" wrapText="1"/>
    </xf>
    <xf numFmtId="0" fontId="0" fillId="5" borderId="3" xfId="0" applyFill="1" applyBorder="1" applyAlignment="1"/>
    <xf numFmtId="0" fontId="4" fillId="4" borderId="13" xfId="0" applyFont="1" applyFill="1" applyBorder="1" applyAlignment="1">
      <alignment vertical="top"/>
    </xf>
    <xf numFmtId="0" fontId="4" fillId="4" borderId="0" xfId="0" applyFont="1" applyFill="1" applyBorder="1" applyAlignment="1">
      <alignment vertical="top"/>
    </xf>
    <xf numFmtId="0" fontId="12" fillId="5" borderId="14" xfId="0" applyFont="1" applyFill="1" applyBorder="1" applyAlignment="1">
      <alignment horizontal="left" vertical="center"/>
    </xf>
    <xf numFmtId="0" fontId="12" fillId="5" borderId="15" xfId="0" applyFont="1" applyFill="1" applyBorder="1" applyAlignment="1">
      <alignment horizontal="left" vertical="center"/>
    </xf>
    <xf numFmtId="0" fontId="12" fillId="5" borderId="16" xfId="0" applyFont="1" applyFill="1" applyBorder="1" applyAlignment="1">
      <alignment horizontal="left" vertical="center"/>
    </xf>
    <xf numFmtId="0" fontId="12" fillId="5" borderId="17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13" fillId="0" borderId="0" xfId="0" applyFont="1" applyAlignment="1">
      <alignment vertical="center"/>
    </xf>
    <xf numFmtId="0" fontId="15" fillId="2" borderId="0" xfId="0" applyFont="1" applyFill="1"/>
    <xf numFmtId="0" fontId="0" fillId="6" borderId="0" xfId="0" applyFill="1"/>
    <xf numFmtId="0" fontId="0" fillId="7" borderId="0" xfId="0" applyFill="1"/>
    <xf numFmtId="1" fontId="0" fillId="0" borderId="0" xfId="0" applyNumberFormat="1"/>
    <xf numFmtId="0" fontId="14" fillId="0" borderId="0" xfId="0" applyFont="1"/>
    <xf numFmtId="0" fontId="12" fillId="6" borderId="16" xfId="0" applyFont="1" applyFill="1" applyBorder="1" applyAlignment="1">
      <alignment horizontal="left" vertical="center"/>
    </xf>
    <xf numFmtId="0" fontId="12" fillId="6" borderId="17" xfId="0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0" fontId="16" fillId="6" borderId="0" xfId="0" applyFont="1" applyFill="1"/>
    <xf numFmtId="0" fontId="16" fillId="6" borderId="0" xfId="0" applyFont="1" applyFill="1" applyAlignment="1">
      <alignment horizontal="center"/>
    </xf>
    <xf numFmtId="0" fontId="17" fillId="5" borderId="18" xfId="0" applyFont="1" applyFill="1" applyBorder="1" applyAlignment="1">
      <alignment horizontal="left"/>
    </xf>
    <xf numFmtId="0" fontId="19" fillId="0" borderId="0" xfId="0" applyFont="1" applyAlignment="1">
      <alignment vertical="center"/>
    </xf>
    <xf numFmtId="0" fontId="19" fillId="6" borderId="0" xfId="0" applyFont="1" applyFill="1" applyAlignment="1">
      <alignment vertical="center"/>
    </xf>
    <xf numFmtId="0" fontId="20" fillId="6" borderId="0" xfId="0" applyFont="1" applyFill="1" applyAlignment="1">
      <alignment vertical="center"/>
    </xf>
    <xf numFmtId="0" fontId="18" fillId="0" borderId="0" xfId="0" applyFont="1"/>
    <xf numFmtId="0" fontId="14" fillId="0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21" fillId="5" borderId="7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1" fillId="5" borderId="7" xfId="0" applyFont="1" applyFill="1" applyBorder="1" applyAlignment="1">
      <alignment horizontal="center" wrapText="1"/>
    </xf>
    <xf numFmtId="0" fontId="8" fillId="5" borderId="8" xfId="0" applyFont="1" applyFill="1" applyBorder="1" applyAlignment="1">
      <alignment horizontal="right" vertical="top"/>
    </xf>
    <xf numFmtId="0" fontId="22" fillId="4" borderId="9" xfId="0" applyFont="1" applyFill="1" applyBorder="1" applyAlignment="1">
      <alignment horizontal="center" vertical="top"/>
    </xf>
    <xf numFmtId="0" fontId="22" fillId="5" borderId="9" xfId="0" applyFont="1" applyFill="1" applyBorder="1" applyAlignment="1">
      <alignment horizontal="center" vertical="top"/>
    </xf>
    <xf numFmtId="0" fontId="22" fillId="4" borderId="11" xfId="0" applyFont="1" applyFill="1" applyBorder="1" applyAlignment="1">
      <alignment horizontal="center" vertical="top"/>
    </xf>
    <xf numFmtId="0" fontId="14" fillId="4" borderId="9" xfId="0" applyFont="1" applyFill="1" applyBorder="1" applyAlignment="1">
      <alignment horizontal="center" vertical="top"/>
    </xf>
    <xf numFmtId="0" fontId="14" fillId="5" borderId="9" xfId="0" applyFont="1" applyFill="1" applyBorder="1" applyAlignment="1">
      <alignment horizontal="center" vertical="top"/>
    </xf>
    <xf numFmtId="0" fontId="14" fillId="5" borderId="12" xfId="0" applyFont="1" applyFill="1" applyBorder="1" applyAlignment="1">
      <alignment horizontal="center"/>
    </xf>
    <xf numFmtId="0" fontId="22" fillId="4" borderId="9" xfId="0" applyFont="1" applyFill="1" applyBorder="1" applyAlignment="1">
      <alignment horizontal="center" vertical="top" wrapText="1"/>
    </xf>
    <xf numFmtId="0" fontId="22" fillId="5" borderId="9" xfId="0" applyFont="1" applyFill="1" applyBorder="1" applyAlignment="1">
      <alignment horizontal="center" vertical="top" wrapText="1"/>
    </xf>
    <xf numFmtId="0" fontId="22" fillId="5" borderId="11" xfId="0" applyFont="1" applyFill="1" applyBorder="1" applyAlignment="1">
      <alignment horizontal="center" vertical="top"/>
    </xf>
    <xf numFmtId="0" fontId="16" fillId="8" borderId="20" xfId="0" applyFont="1" applyFill="1" applyBorder="1" applyAlignment="1">
      <alignment horizontal="center" vertical="center"/>
    </xf>
    <xf numFmtId="2" fontId="16" fillId="8" borderId="20" xfId="0" applyNumberFormat="1" applyFont="1" applyFill="1" applyBorder="1" applyAlignment="1">
      <alignment horizontal="center" vertical="center"/>
    </xf>
    <xf numFmtId="2" fontId="16" fillId="8" borderId="21" xfId="0" applyNumberFormat="1" applyFont="1" applyFill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0" borderId="20" xfId="0" applyFont="1" applyBorder="1" applyAlignment="1">
      <alignment vertical="center"/>
    </xf>
    <xf numFmtId="2" fontId="18" fillId="0" borderId="20" xfId="0" applyNumberFormat="1" applyFont="1" applyBorder="1" applyAlignment="1">
      <alignment horizontal="center" vertical="center"/>
    </xf>
    <xf numFmtId="2" fontId="0" fillId="0" borderId="20" xfId="0" applyNumberFormat="1" applyBorder="1" applyAlignment="1">
      <alignment horizontal="center"/>
    </xf>
    <xf numFmtId="0" fontId="18" fillId="0" borderId="20" xfId="0" applyFont="1" applyFill="1" applyBorder="1" applyAlignment="1">
      <alignment horizontal="center" vertical="center"/>
    </xf>
    <xf numFmtId="0" fontId="18" fillId="0" borderId="20" xfId="0" applyFont="1" applyFill="1" applyBorder="1" applyAlignment="1">
      <alignment vertical="center"/>
    </xf>
    <xf numFmtId="2" fontId="0" fillId="0" borderId="20" xfId="0" applyNumberFormat="1" applyBorder="1" applyAlignment="1">
      <alignment horizontal="center" vertical="center"/>
    </xf>
    <xf numFmtId="0" fontId="0" fillId="0" borderId="20" xfId="0" applyBorder="1" applyAlignment="1"/>
    <xf numFmtId="0" fontId="0" fillId="0" borderId="2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20" xfId="0" applyBorder="1" applyAlignment="1">
      <alignment horizontal="center"/>
    </xf>
    <xf numFmtId="0" fontId="0" fillId="9" borderId="2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top"/>
    </xf>
    <xf numFmtId="0" fontId="4" fillId="6" borderId="2" xfId="0" applyFont="1" applyFill="1" applyBorder="1" applyAlignment="1">
      <alignment horizontal="center" vertical="top"/>
    </xf>
    <xf numFmtId="0" fontId="0" fillId="6" borderId="1" xfId="0" applyFill="1" applyBorder="1" applyAlignment="1">
      <alignment horizontal="center" vertical="top"/>
    </xf>
    <xf numFmtId="0" fontId="4" fillId="6" borderId="1" xfId="0" applyFont="1" applyFill="1" applyBorder="1" applyAlignment="1">
      <alignment horizontal="center" vertical="top" wrapText="1"/>
    </xf>
    <xf numFmtId="0" fontId="4" fillId="6" borderId="2" xfId="0" applyFont="1" applyFill="1" applyBorder="1" applyAlignment="1">
      <alignment horizontal="center" vertical="top" wrapText="1"/>
    </xf>
    <xf numFmtId="0" fontId="0" fillId="6" borderId="2" xfId="0" applyFill="1" applyBorder="1" applyAlignment="1">
      <alignment horizontal="center" vertical="top"/>
    </xf>
    <xf numFmtId="0" fontId="3" fillId="6" borderId="1" xfId="0" applyFon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4" fillId="6" borderId="20" xfId="0" applyFont="1" applyFill="1" applyBorder="1" applyAlignment="1">
      <alignment horizontal="center" vertical="top"/>
    </xf>
    <xf numFmtId="0" fontId="3" fillId="6" borderId="1" xfId="0" applyFont="1" applyFill="1" applyBorder="1" applyAlignment="1">
      <alignment horizontal="center" vertical="top"/>
    </xf>
    <xf numFmtId="0" fontId="18" fillId="11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3" fillId="4" borderId="1" xfId="0" applyFont="1" applyFill="1" applyBorder="1" applyAlignment="1">
      <alignment vertical="top"/>
    </xf>
    <xf numFmtId="0" fontId="3" fillId="5" borderId="1" xfId="0" applyFont="1" applyFill="1" applyBorder="1" applyAlignment="1">
      <alignment vertical="top"/>
    </xf>
    <xf numFmtId="0" fontId="3" fillId="4" borderId="19" xfId="0" applyFont="1" applyFill="1" applyBorder="1" applyAlignment="1">
      <alignment vertical="top"/>
    </xf>
    <xf numFmtId="0" fontId="0" fillId="0" borderId="0" xfId="0" quotePrefix="1"/>
    <xf numFmtId="0" fontId="16" fillId="8" borderId="20" xfId="0" applyFont="1" applyFill="1" applyBorder="1" applyAlignment="1">
      <alignment horizontal="center" vertical="center"/>
    </xf>
    <xf numFmtId="0" fontId="16" fillId="8" borderId="22" xfId="0" applyFont="1" applyFill="1" applyBorder="1" applyAlignment="1">
      <alignment horizontal="center" vertical="center"/>
    </xf>
    <xf numFmtId="0" fontId="16" fillId="8" borderId="23" xfId="0" applyFont="1" applyFill="1" applyBorder="1" applyAlignment="1">
      <alignment horizontal="center" vertical="center"/>
    </xf>
    <xf numFmtId="164" fontId="0" fillId="12" borderId="0" xfId="0" applyNumberFormat="1" applyFill="1" applyAlignment="1">
      <alignment horizontal="center"/>
    </xf>
    <xf numFmtId="164" fontId="8" fillId="12" borderId="8" xfId="0" applyNumberFormat="1" applyFont="1" applyFill="1" applyBorder="1" applyAlignment="1">
      <alignment horizontal="center" vertical="top"/>
    </xf>
    <xf numFmtId="164" fontId="4" fillId="12" borderId="1" xfId="0" applyNumberFormat="1" applyFont="1" applyFill="1" applyBorder="1" applyAlignment="1">
      <alignment horizontal="center" vertical="top"/>
    </xf>
    <xf numFmtId="164" fontId="8" fillId="12" borderId="10" xfId="0" applyNumberFormat="1" applyFont="1" applyFill="1" applyBorder="1" applyAlignment="1">
      <alignment horizontal="center" vertical="top"/>
    </xf>
    <xf numFmtId="164" fontId="4" fillId="12" borderId="2" xfId="0" applyNumberFormat="1" applyFon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1">
    <dxf>
      <fill>
        <patternFill patternType="solid">
          <fgColor rgb="FF00B0F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169069</xdr:colOff>
      <xdr:row>0</xdr:row>
      <xdr:rowOff>71438</xdr:rowOff>
    </xdr:from>
    <xdr:to>
      <xdr:col>17</xdr:col>
      <xdr:colOff>440531</xdr:colOff>
      <xdr:row>4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990975" y="71438"/>
          <a:ext cx="5915025" cy="8334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>
              <a:solidFill>
                <a:srgbClr val="FFC000"/>
              </a:solidFill>
              <a:latin typeface="Arial Rounded MT Bold" panose="020F0704030504030204" pitchFamily="34" charset="0"/>
            </a:rPr>
            <a:t>SIMULASI KELULUSAN SBMPTN 2021</a:t>
          </a:r>
        </a:p>
        <a:p>
          <a:pPr algn="ctr"/>
          <a:r>
            <a:rPr lang="en-US" sz="2400">
              <a:solidFill>
                <a:srgbClr val="FFC000"/>
              </a:solidFill>
              <a:latin typeface="Arial Rounded MT Bold" panose="020F0704030504030204" pitchFamily="34" charset="0"/>
            </a:rPr>
            <a:t>BIMBEL</a:t>
          </a:r>
          <a:r>
            <a:rPr lang="en-US" sz="2400" baseline="0">
              <a:solidFill>
                <a:srgbClr val="FFC000"/>
              </a:solidFill>
              <a:latin typeface="Arial Rounded MT Bold" panose="020F0704030504030204" pitchFamily="34" charset="0"/>
            </a:rPr>
            <a:t> TRIDAYA</a:t>
          </a:r>
          <a:endParaRPr lang="id-ID" sz="2400">
            <a:solidFill>
              <a:srgbClr val="FFC000"/>
            </a:solidFill>
            <a:latin typeface="Arial Rounded MT Bold" panose="020F07040305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152400</xdr:rowOff>
        </xdr:from>
        <xdr:to>
          <xdr:col>10</xdr:col>
          <xdr:colOff>561975</xdr:colOff>
          <xdr:row>8</xdr:row>
          <xdr:rowOff>95250</xdr:rowOff>
        </xdr:to>
        <xdr:sp macro="" textlink="">
          <xdr:nvSpPr>
            <xdr:cNvPr id="1026" name="P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419100</xdr:colOff>
          <xdr:row>3</xdr:row>
          <xdr:rowOff>19050</xdr:rowOff>
        </xdr:from>
        <xdr:to>
          <xdr:col>28</xdr:col>
          <xdr:colOff>514350</xdr:colOff>
          <xdr:row>4</xdr:row>
          <xdr:rowOff>171450</xdr:rowOff>
        </xdr:to>
        <xdr:sp macro="" textlink="">
          <xdr:nvSpPr>
            <xdr:cNvPr id="1028" name="Text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202406</xdr:colOff>
      <xdr:row>6</xdr:row>
      <xdr:rowOff>88106</xdr:rowOff>
    </xdr:from>
    <xdr:to>
      <xdr:col>3</xdr:col>
      <xdr:colOff>297656</xdr:colOff>
      <xdr:row>8</xdr:row>
      <xdr:rowOff>154781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00" y="1231106"/>
          <a:ext cx="1309687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>
              <a:solidFill>
                <a:schemeClr val="bg1"/>
              </a:solidFill>
              <a:latin typeface="ContextInseratSSi" panose="00000400000000000000" pitchFamily="2" charset="0"/>
            </a:rPr>
            <a:t>Nama</a:t>
          </a:r>
          <a:r>
            <a:rPr lang="en-US" sz="1800" baseline="0">
              <a:solidFill>
                <a:schemeClr val="bg1"/>
              </a:solidFill>
              <a:latin typeface="ContextInseratSSi" panose="00000400000000000000" pitchFamily="2" charset="0"/>
            </a:rPr>
            <a:t> PTN</a:t>
          </a:r>
          <a:endParaRPr lang="en-US" sz="1800">
            <a:solidFill>
              <a:schemeClr val="bg1"/>
            </a:solidFill>
            <a:latin typeface="ContextInseratSSi" panose="00000400000000000000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419100</xdr:colOff>
          <xdr:row>0</xdr:row>
          <xdr:rowOff>104775</xdr:rowOff>
        </xdr:from>
        <xdr:to>
          <xdr:col>28</xdr:col>
          <xdr:colOff>485775</xdr:colOff>
          <xdr:row>2</xdr:row>
          <xdr:rowOff>66675</xdr:rowOff>
        </xdr:to>
        <xdr:sp macro="" textlink="">
          <xdr:nvSpPr>
            <xdr:cNvPr id="1031" name="TextBox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114301</xdr:colOff>
      <xdr:row>12</xdr:row>
      <xdr:rowOff>142875</xdr:rowOff>
    </xdr:from>
    <xdr:to>
      <xdr:col>4</xdr:col>
      <xdr:colOff>57151</xdr:colOff>
      <xdr:row>15</xdr:row>
      <xdr:rowOff>19050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14301" y="2428875"/>
          <a:ext cx="194310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>
              <a:solidFill>
                <a:schemeClr val="bg1"/>
              </a:solidFill>
              <a:latin typeface="ContextInseratSSi" panose="00000400000000000000" pitchFamily="2" charset="0"/>
            </a:rPr>
            <a:t>Nama</a:t>
          </a:r>
          <a:r>
            <a:rPr lang="en-US" sz="1800" baseline="0">
              <a:solidFill>
                <a:schemeClr val="bg1"/>
              </a:solidFill>
              <a:latin typeface="ContextInseratSSi" panose="00000400000000000000" pitchFamily="2" charset="0"/>
            </a:rPr>
            <a:t> Prodi</a:t>
          </a:r>
          <a:endParaRPr lang="en-US" sz="1800">
            <a:solidFill>
              <a:schemeClr val="bg1"/>
            </a:solidFill>
            <a:latin typeface="ContextInseratSSi" panose="00000400000000000000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13</xdr:row>
          <xdr:rowOff>9525</xdr:rowOff>
        </xdr:from>
        <xdr:to>
          <xdr:col>10</xdr:col>
          <xdr:colOff>561975</xdr:colOff>
          <xdr:row>14</xdr:row>
          <xdr:rowOff>114300</xdr:rowOff>
        </xdr:to>
        <xdr:sp macro="" textlink="">
          <xdr:nvSpPr>
            <xdr:cNvPr id="1032" name="PRODI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16</xdr:row>
          <xdr:rowOff>0</xdr:rowOff>
        </xdr:from>
        <xdr:to>
          <xdr:col>7</xdr:col>
          <xdr:colOff>161925</xdr:colOff>
          <xdr:row>17</xdr:row>
          <xdr:rowOff>152400</xdr:rowOff>
        </xdr:to>
        <xdr:sp macro="" textlink="">
          <xdr:nvSpPr>
            <xdr:cNvPr id="1033" name="AVGUTB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140495</xdr:colOff>
      <xdr:row>15</xdr:row>
      <xdr:rowOff>171450</xdr:rowOff>
    </xdr:from>
    <xdr:to>
      <xdr:col>3</xdr:col>
      <xdr:colOff>407195</xdr:colOff>
      <xdr:row>18</xdr:row>
      <xdr:rowOff>47625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319089" y="3028950"/>
          <a:ext cx="1481137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>
              <a:solidFill>
                <a:schemeClr val="bg1"/>
              </a:solidFill>
              <a:latin typeface="ContextInseratSSi" panose="00000400000000000000" pitchFamily="2" charset="0"/>
            </a:rPr>
            <a:t>Skor UTBK</a:t>
          </a:r>
        </a:p>
      </xdr:txBody>
    </xdr:sp>
    <xdr:clientData/>
  </xdr:twoCellAnchor>
  <xdr:twoCellAnchor>
    <xdr:from>
      <xdr:col>12</xdr:col>
      <xdr:colOff>59531</xdr:colOff>
      <xdr:row>11</xdr:row>
      <xdr:rowOff>64295</xdr:rowOff>
    </xdr:from>
    <xdr:to>
      <xdr:col>18</xdr:col>
      <xdr:colOff>488157</xdr:colOff>
      <xdr:row>13</xdr:row>
      <xdr:rowOff>130970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6917531" y="2159795"/>
          <a:ext cx="3643314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>
              <a:solidFill>
                <a:srgbClr val="FFFF00"/>
              </a:solidFill>
              <a:latin typeface="ContextInseratSSi" panose="00000400000000000000" pitchFamily="2" charset="0"/>
            </a:rPr>
            <a:t>PREDIKSI KELULUSAN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428625</xdr:colOff>
          <xdr:row>14</xdr:row>
          <xdr:rowOff>28575</xdr:rowOff>
        </xdr:from>
        <xdr:to>
          <xdr:col>19</xdr:col>
          <xdr:colOff>276225</xdr:colOff>
          <xdr:row>16</xdr:row>
          <xdr:rowOff>114300</xdr:rowOff>
        </xdr:to>
        <xdr:sp macro="" textlink="">
          <xdr:nvSpPr>
            <xdr:cNvPr id="1034" name="PREDIKSI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214312</xdr:colOff>
      <xdr:row>21</xdr:row>
      <xdr:rowOff>142874</xdr:rowOff>
    </xdr:from>
    <xdr:to>
      <xdr:col>10</xdr:col>
      <xdr:colOff>571498</xdr:colOff>
      <xdr:row>24</xdr:row>
      <xdr:rowOff>152399</xdr:rowOff>
    </xdr:to>
    <xdr:sp macro="[0]!Cari" textlink="">
      <xdr:nvSpPr>
        <xdr:cNvPr id="3" name="CE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2906" y="4143374"/>
          <a:ext cx="5822155" cy="581025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</a:rPr>
            <a:t>CEK</a:t>
          </a:r>
          <a:endParaRPr lang="id-ID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85725</xdr:rowOff>
        </xdr:from>
        <xdr:to>
          <xdr:col>20</xdr:col>
          <xdr:colOff>419100</xdr:colOff>
          <xdr:row>9</xdr:row>
          <xdr:rowOff>47625</xdr:rowOff>
        </xdr:to>
        <xdr:sp macro="" textlink="">
          <xdr:nvSpPr>
            <xdr:cNvPr id="1035" name="KODEPRODI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59532</xdr:colOff>
      <xdr:row>19</xdr:row>
      <xdr:rowOff>52389</xdr:rowOff>
    </xdr:from>
    <xdr:to>
      <xdr:col>20</xdr:col>
      <xdr:colOff>261938</xdr:colOff>
      <xdr:row>21</xdr:row>
      <xdr:rowOff>119064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6917532" y="3671889"/>
          <a:ext cx="4631531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>
              <a:solidFill>
                <a:schemeClr val="bg1"/>
              </a:solidFill>
              <a:latin typeface="ContextInseratSSi" panose="00000400000000000000" pitchFamily="2" charset="0"/>
            </a:rPr>
            <a:t>Skor minimal agar</a:t>
          </a:r>
          <a:r>
            <a:rPr lang="en-US" sz="1800" baseline="0">
              <a:solidFill>
                <a:schemeClr val="bg1"/>
              </a:solidFill>
              <a:latin typeface="ContextInseratSSi" panose="00000400000000000000" pitchFamily="2" charset="0"/>
            </a:rPr>
            <a:t> aman adalah </a:t>
          </a:r>
          <a:endParaRPr lang="en-US" sz="1800">
            <a:solidFill>
              <a:schemeClr val="bg1"/>
            </a:solidFill>
            <a:latin typeface="ContextInseratSSi" panose="00000400000000000000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571500</xdr:colOff>
          <xdr:row>21</xdr:row>
          <xdr:rowOff>57150</xdr:rowOff>
        </xdr:from>
        <xdr:to>
          <xdr:col>18</xdr:col>
          <xdr:colOff>247650</xdr:colOff>
          <xdr:row>24</xdr:row>
          <xdr:rowOff>47625</xdr:rowOff>
        </xdr:to>
        <xdr:sp macro="" textlink="">
          <xdr:nvSpPr>
            <xdr:cNvPr id="1036" name="MINIMAL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52389</xdr:colOff>
      <xdr:row>9</xdr:row>
      <xdr:rowOff>116682</xdr:rowOff>
    </xdr:from>
    <xdr:to>
      <xdr:col>4</xdr:col>
      <xdr:colOff>173833</xdr:colOff>
      <xdr:row>11</xdr:row>
      <xdr:rowOff>183357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230983" y="1831182"/>
          <a:ext cx="194310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>
              <a:solidFill>
                <a:schemeClr val="bg1"/>
              </a:solidFill>
              <a:latin typeface="ContextInseratSSi" panose="00000400000000000000" pitchFamily="2" charset="0"/>
            </a:rPr>
            <a:t>Kelompok Tes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10</xdr:row>
          <xdr:rowOff>0</xdr:rowOff>
        </xdr:from>
        <xdr:to>
          <xdr:col>10</xdr:col>
          <xdr:colOff>542925</xdr:colOff>
          <xdr:row>11</xdr:row>
          <xdr:rowOff>133350</xdr:rowOff>
        </xdr:to>
        <xdr:sp macro="" textlink="">
          <xdr:nvSpPr>
            <xdr:cNvPr id="1038" name="SAINSO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130970</xdr:colOff>
      <xdr:row>7</xdr:row>
      <xdr:rowOff>100012</xdr:rowOff>
    </xdr:from>
    <xdr:to>
      <xdr:col>15</xdr:col>
      <xdr:colOff>333375</xdr:colOff>
      <xdr:row>9</xdr:row>
      <xdr:rowOff>166687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988970" y="1433512"/>
          <a:ext cx="1595436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>
              <a:solidFill>
                <a:schemeClr val="bg1"/>
              </a:solidFill>
              <a:latin typeface="ContextInseratSSi" panose="00000400000000000000" pitchFamily="2" charset="0"/>
            </a:rPr>
            <a:t>Kode</a:t>
          </a:r>
          <a:r>
            <a:rPr lang="en-US" sz="1800" baseline="0">
              <a:solidFill>
                <a:schemeClr val="bg1"/>
              </a:solidFill>
              <a:latin typeface="ContextInseratSSi" panose="00000400000000000000" pitchFamily="2" charset="0"/>
            </a:rPr>
            <a:t> Prodi</a:t>
          </a:r>
          <a:endParaRPr lang="en-US" sz="1800">
            <a:solidFill>
              <a:schemeClr val="bg1"/>
            </a:solidFill>
            <a:latin typeface="ContextInseratSSi" panose="00000400000000000000" pitchFamily="2" charset="0"/>
          </a:endParaRPr>
        </a:p>
      </xdr:txBody>
    </xdr:sp>
    <xdr:clientData/>
  </xdr:twoCellAnchor>
  <xdr:twoCellAnchor editAs="oneCell">
    <xdr:from>
      <xdr:col>1</xdr:col>
      <xdr:colOff>35719</xdr:colOff>
      <xdr:row>0</xdr:row>
      <xdr:rowOff>11908</xdr:rowOff>
    </xdr:from>
    <xdr:to>
      <xdr:col>5</xdr:col>
      <xdr:colOff>523875</xdr:colOff>
      <xdr:row>4</xdr:row>
      <xdr:rowOff>133414</xdr:rowOff>
    </xdr:to>
    <xdr:pic>
      <xdr:nvPicPr>
        <xdr:cNvPr id="21" name="Picture 20" descr="Bimbel Tridaya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313" y="11908"/>
          <a:ext cx="2917031" cy="8835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17</xdr:col>
      <xdr:colOff>583405</xdr:colOff>
      <xdr:row>24</xdr:row>
      <xdr:rowOff>121445</xdr:rowOff>
    </xdr:from>
    <xdr:to>
      <xdr:col>21</xdr:col>
      <xdr:colOff>128587</xdr:colOff>
      <xdr:row>26</xdr:row>
      <xdr:rowOff>11907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0048874" y="4693445"/>
          <a:ext cx="1974057" cy="271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i="1">
              <a:solidFill>
                <a:schemeClr val="bg1"/>
              </a:solidFill>
              <a:latin typeface="ContextInseratSSi" panose="00000400000000000000" pitchFamily="2" charset="0"/>
            </a:rPr>
            <a:t>Sumber:</a:t>
          </a:r>
          <a:r>
            <a:rPr lang="en-US" sz="1100" i="1" baseline="0">
              <a:solidFill>
                <a:schemeClr val="bg1"/>
              </a:solidFill>
              <a:latin typeface="ContextInseratSSi" panose="00000400000000000000" pitchFamily="2" charset="0"/>
            </a:rPr>
            <a:t> LTMPT 2019</a:t>
          </a:r>
          <a:endParaRPr lang="en-US" sz="1100" i="1">
            <a:solidFill>
              <a:schemeClr val="bg1"/>
            </a:solidFill>
            <a:latin typeface="ContextInseratSSi" panose="00000400000000000000" pitchFamily="2" charset="0"/>
          </a:endParaRPr>
        </a:p>
      </xdr:txBody>
    </xdr:sp>
    <xdr:clientData/>
  </xdr:twoCellAnchor>
  <xdr:twoCellAnchor>
    <xdr:from>
      <xdr:col>23</xdr:col>
      <xdr:colOff>500062</xdr:colOff>
      <xdr:row>8</xdr:row>
      <xdr:rowOff>166687</xdr:rowOff>
    </xdr:from>
    <xdr:to>
      <xdr:col>27</xdr:col>
      <xdr:colOff>47625</xdr:colOff>
      <xdr:row>24</xdr:row>
      <xdr:rowOff>83343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3168312" y="1690687"/>
          <a:ext cx="1976438" cy="29646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/>
            <a:t>CATATAN:</a:t>
          </a:r>
        </a:p>
        <a:p>
          <a:r>
            <a:rPr lang="en-US" sz="2800" baseline="0"/>
            <a:t>Klik </a:t>
          </a:r>
          <a:r>
            <a:rPr lang="en-US" sz="2800" b="1" baseline="0">
              <a:solidFill>
                <a:srgbClr val="FF0000"/>
              </a:solidFill>
            </a:rPr>
            <a:t>Don't Save </a:t>
          </a:r>
          <a:r>
            <a:rPr lang="en-US" sz="2800" baseline="0"/>
            <a:t>untuk menutup program Excel.</a:t>
          </a:r>
          <a:endParaRPr lang="en-US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101528</xdr:colOff>
      <xdr:row>2</xdr:row>
      <xdr:rowOff>28575</xdr:rowOff>
    </xdr:from>
    <xdr:to>
      <xdr:col>11</xdr:col>
      <xdr:colOff>535868</xdr:colOff>
      <xdr:row>19</xdr:row>
      <xdr:rowOff>142875</xdr:rowOff>
    </xdr:to>
    <xdr:pic>
      <xdr:nvPicPr>
        <xdr:cNvPr id="2" name="Picture 1" descr="https://i1.wp.com/ruangmahasiswa.com/wp-content/uploads/2019/05/rekapitulasi-utbk-utk-soshum-13-14-april.png?resize=777%2C440&amp;ssl=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0728" y="409575"/>
          <a:ext cx="5920740" cy="335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533400</xdr:colOff>
      <xdr:row>2</xdr:row>
      <xdr:rowOff>47625</xdr:rowOff>
    </xdr:from>
    <xdr:to>
      <xdr:col>21</xdr:col>
      <xdr:colOff>581025</xdr:colOff>
      <xdr:row>19</xdr:row>
      <xdr:rowOff>152400</xdr:rowOff>
    </xdr:to>
    <xdr:pic>
      <xdr:nvPicPr>
        <xdr:cNvPr id="3" name="Picture 2" descr="https://i1.wp.com/ruangmahasiswa.com/wp-content/uploads/2019/05/rekapitulasi-jumlah-peserta-berdasarkan-range.png?w=581&amp;ssl=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0" y="428625"/>
          <a:ext cx="5534025" cy="3343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115" preserveFormatting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28"/>
  <sheetViews>
    <sheetView showGridLines="0" showRowColHeaders="0" tabSelected="1" zoomScale="80" zoomScaleNormal="80" workbookViewId="0">
      <selection activeCell="AB12" sqref="AB12"/>
    </sheetView>
  </sheetViews>
  <sheetFormatPr defaultRowHeight="15" x14ac:dyDescent="0.25"/>
  <cols>
    <col min="1" max="1" width="2.7109375" customWidth="1"/>
    <col min="15" max="15" width="2.7109375" customWidth="1"/>
    <col min="23" max="23" width="2.5703125" customWidth="1"/>
  </cols>
  <sheetData>
    <row r="1" spans="1:2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67"/>
      <c r="T3" s="1"/>
      <c r="U3" s="1"/>
      <c r="V3" s="1"/>
      <c r="W3" s="1"/>
    </row>
    <row r="4" spans="1:23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1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1"/>
    </row>
    <row r="7" spans="1:23" x14ac:dyDescent="0.25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1"/>
    </row>
    <row r="8" spans="1:23" x14ac:dyDescent="0.2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69"/>
      <c r="N8" s="69"/>
      <c r="O8" s="69"/>
      <c r="P8" s="69"/>
      <c r="Q8" s="69"/>
      <c r="R8" s="69"/>
      <c r="S8" s="69"/>
      <c r="T8" s="69"/>
      <c r="U8" s="69"/>
      <c r="V8" s="2"/>
      <c r="W8" s="1"/>
    </row>
    <row r="9" spans="1:23" x14ac:dyDescent="0.25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69"/>
      <c r="N9" s="69"/>
      <c r="O9" s="69"/>
      <c r="P9" s="69"/>
      <c r="Q9" s="69"/>
      <c r="R9" s="69"/>
      <c r="S9" s="69"/>
      <c r="T9" s="69"/>
      <c r="U9" s="69"/>
      <c r="V9" s="2"/>
      <c r="W9" s="1"/>
    </row>
    <row r="10" spans="1:23" x14ac:dyDescent="0.25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69"/>
      <c r="N10" s="69"/>
      <c r="O10" s="69"/>
      <c r="P10" s="69"/>
      <c r="Q10" s="69"/>
      <c r="R10" s="69"/>
      <c r="S10" s="69"/>
      <c r="T10" s="69"/>
      <c r="U10" s="69"/>
      <c r="V10" s="2"/>
      <c r="W10" s="1"/>
    </row>
    <row r="11" spans="1:23" x14ac:dyDescent="0.25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69"/>
      <c r="N11" s="69"/>
      <c r="O11" s="69"/>
      <c r="P11" s="69"/>
      <c r="Q11" s="69"/>
      <c r="R11" s="69"/>
      <c r="S11" s="69"/>
      <c r="T11" s="69"/>
      <c r="U11" s="69"/>
      <c r="V11" s="2"/>
      <c r="W11" s="1"/>
    </row>
    <row r="12" spans="1:23" x14ac:dyDescent="0.2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69"/>
      <c r="N12" s="69"/>
      <c r="O12" s="69"/>
      <c r="P12" s="69"/>
      <c r="Q12" s="69"/>
      <c r="R12" s="69"/>
      <c r="S12" s="69"/>
      <c r="T12" s="69"/>
      <c r="U12" s="69"/>
      <c r="V12" s="2"/>
      <c r="W12" s="1"/>
    </row>
    <row r="13" spans="1:23" x14ac:dyDescent="0.25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69"/>
      <c r="N13" s="69"/>
      <c r="O13" s="69"/>
      <c r="P13" s="69"/>
      <c r="Q13" s="69"/>
      <c r="R13" s="69"/>
      <c r="S13" s="69"/>
      <c r="T13" s="69"/>
      <c r="U13" s="69"/>
      <c r="V13" s="2"/>
      <c r="W13" s="1"/>
    </row>
    <row r="14" spans="1:23" x14ac:dyDescent="0.2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69"/>
      <c r="N14" s="69"/>
      <c r="O14" s="69"/>
      <c r="P14" s="69"/>
      <c r="Q14" s="69"/>
      <c r="R14" s="69"/>
      <c r="S14" s="69"/>
      <c r="T14" s="69"/>
      <c r="U14" s="69"/>
      <c r="V14" s="2"/>
      <c r="W14" s="1"/>
    </row>
    <row r="15" spans="1:23" x14ac:dyDescent="0.2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69"/>
      <c r="N15" s="69"/>
      <c r="O15" s="69"/>
      <c r="P15" s="69"/>
      <c r="Q15" s="69"/>
      <c r="R15" s="69"/>
      <c r="S15" s="69"/>
      <c r="T15" s="69"/>
      <c r="U15" s="69"/>
      <c r="V15" s="2"/>
      <c r="W15" s="1"/>
    </row>
    <row r="16" spans="1:23" x14ac:dyDescent="0.2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69"/>
      <c r="N16" s="69"/>
      <c r="O16" s="69"/>
      <c r="P16" s="69"/>
      <c r="Q16" s="69"/>
      <c r="R16" s="69"/>
      <c r="S16" s="69"/>
      <c r="T16" s="69"/>
      <c r="U16" s="69"/>
      <c r="V16" s="2"/>
      <c r="W16" s="1"/>
    </row>
    <row r="17" spans="1:23" x14ac:dyDescent="0.2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69"/>
      <c r="N17" s="69"/>
      <c r="O17" s="69"/>
      <c r="P17" s="69"/>
      <c r="Q17" s="69"/>
      <c r="R17" s="69"/>
      <c r="S17" s="69"/>
      <c r="T17" s="69"/>
      <c r="U17" s="69"/>
      <c r="V17" s="2"/>
      <c r="W17" s="1"/>
    </row>
    <row r="18" spans="1:23" x14ac:dyDescent="0.2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69"/>
      <c r="N18" s="69"/>
      <c r="O18" s="69"/>
      <c r="P18" s="69"/>
      <c r="Q18" s="69"/>
      <c r="R18" s="69"/>
      <c r="S18" s="69"/>
      <c r="T18" s="69"/>
      <c r="U18" s="69"/>
      <c r="V18" s="2"/>
      <c r="W18" s="1"/>
    </row>
    <row r="19" spans="1:23" x14ac:dyDescent="0.2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69"/>
      <c r="N19" s="69"/>
      <c r="O19" s="69"/>
      <c r="P19" s="69"/>
      <c r="Q19" s="69"/>
      <c r="R19" s="69"/>
      <c r="S19" s="69"/>
      <c r="T19" s="69"/>
      <c r="U19" s="69"/>
      <c r="V19" s="2"/>
      <c r="W19" s="1"/>
    </row>
    <row r="20" spans="1:23" x14ac:dyDescent="0.2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69"/>
      <c r="N20" s="69"/>
      <c r="O20" s="69"/>
      <c r="P20" s="69"/>
      <c r="Q20" s="69"/>
      <c r="R20" s="69"/>
      <c r="S20" s="69"/>
      <c r="T20" s="69"/>
      <c r="U20" s="69"/>
      <c r="V20" s="2"/>
      <c r="W20" s="1"/>
    </row>
    <row r="21" spans="1:23" x14ac:dyDescent="0.2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69"/>
      <c r="N21" s="69"/>
      <c r="O21" s="69"/>
      <c r="P21" s="69"/>
      <c r="Q21" s="69"/>
      <c r="R21" s="69"/>
      <c r="S21" s="69"/>
      <c r="T21" s="69"/>
      <c r="U21" s="69"/>
      <c r="V21" s="2"/>
      <c r="W21" s="1"/>
    </row>
    <row r="22" spans="1:23" x14ac:dyDescent="0.2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69"/>
      <c r="N22" s="69"/>
      <c r="O22" s="69"/>
      <c r="P22" s="69"/>
      <c r="Q22" s="69"/>
      <c r="R22" s="69"/>
      <c r="S22" s="69"/>
      <c r="T22" s="69"/>
      <c r="U22" s="69"/>
      <c r="V22" s="2"/>
      <c r="W22" s="1"/>
    </row>
    <row r="23" spans="1:23" x14ac:dyDescent="0.2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69"/>
      <c r="N23" s="69"/>
      <c r="O23" s="69"/>
      <c r="P23" s="69"/>
      <c r="Q23" s="69"/>
      <c r="R23" s="69"/>
      <c r="S23" s="69"/>
      <c r="T23" s="69"/>
      <c r="U23" s="69"/>
      <c r="V23" s="2"/>
      <c r="W23" s="1"/>
    </row>
    <row r="24" spans="1:23" x14ac:dyDescent="0.2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69"/>
      <c r="N24" s="69"/>
      <c r="O24" s="69"/>
      <c r="P24" s="69"/>
      <c r="Q24" s="69"/>
      <c r="R24" s="69"/>
      <c r="S24" s="69"/>
      <c r="T24" s="69"/>
      <c r="U24" s="69"/>
      <c r="V24" s="2"/>
      <c r="W24" s="1"/>
    </row>
    <row r="25" spans="1:23" x14ac:dyDescent="0.2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69"/>
      <c r="N25" s="69"/>
      <c r="O25" s="69"/>
      <c r="P25" s="69"/>
      <c r="Q25" s="69"/>
      <c r="R25" s="69"/>
      <c r="S25" s="69"/>
      <c r="T25" s="69"/>
      <c r="U25" s="69"/>
      <c r="V25" s="2"/>
      <c r="W25" s="1"/>
    </row>
    <row r="26" spans="1:23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69"/>
      <c r="N26" s="69"/>
      <c r="O26" s="69"/>
      <c r="P26" s="69"/>
      <c r="Q26" s="69"/>
      <c r="R26" s="69"/>
      <c r="S26" s="69"/>
      <c r="T26" s="69"/>
      <c r="U26" s="69"/>
      <c r="V26" s="2"/>
      <c r="W26" s="1"/>
    </row>
    <row r="27" spans="1:23" x14ac:dyDescent="0.2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SAINSOS">
          <controlPr defaultSize="0" autoLine="0" autoPict="0" r:id="rId5">
            <anchor moveWithCells="1">
              <from>
                <xdr:col>5</xdr:col>
                <xdr:colOff>114300</xdr:colOff>
                <xdr:row>10</xdr:row>
                <xdr:rowOff>0</xdr:rowOff>
              </from>
              <to>
                <xdr:col>10</xdr:col>
                <xdr:colOff>542925</xdr:colOff>
                <xdr:row>11</xdr:row>
                <xdr:rowOff>133350</xdr:rowOff>
              </to>
            </anchor>
          </controlPr>
        </control>
      </mc:Choice>
      <mc:Fallback>
        <control shapeId="1038" r:id="rId4" name="SAINSOS"/>
      </mc:Fallback>
    </mc:AlternateContent>
    <mc:AlternateContent xmlns:mc="http://schemas.openxmlformats.org/markup-compatibility/2006">
      <mc:Choice Requires="x14">
        <control shapeId="1035" r:id="rId6" name="KODEPRODI">
          <controlPr defaultSize="0" autoLine="0" r:id="rId7">
            <anchor moveWithCells="1">
              <from>
                <xdr:col>18</xdr:col>
                <xdr:colOff>0</xdr:colOff>
                <xdr:row>7</xdr:row>
                <xdr:rowOff>85725</xdr:rowOff>
              </from>
              <to>
                <xdr:col>20</xdr:col>
                <xdr:colOff>419100</xdr:colOff>
                <xdr:row>9</xdr:row>
                <xdr:rowOff>47625</xdr:rowOff>
              </to>
            </anchor>
          </controlPr>
        </control>
      </mc:Choice>
      <mc:Fallback>
        <control shapeId="1035" r:id="rId6" name="KODEPRODI"/>
      </mc:Fallback>
    </mc:AlternateContent>
    <mc:AlternateContent xmlns:mc="http://schemas.openxmlformats.org/markup-compatibility/2006">
      <mc:Choice Requires="x14">
        <control shapeId="1034" r:id="rId8" name="PREDIKSI">
          <controlPr defaultSize="0" autoLine="0" autoPict="0" r:id="rId9">
            <anchor moveWithCells="1">
              <from>
                <xdr:col>13</xdr:col>
                <xdr:colOff>428625</xdr:colOff>
                <xdr:row>14</xdr:row>
                <xdr:rowOff>28575</xdr:rowOff>
              </from>
              <to>
                <xdr:col>19</xdr:col>
                <xdr:colOff>276225</xdr:colOff>
                <xdr:row>16</xdr:row>
                <xdr:rowOff>114300</xdr:rowOff>
              </to>
            </anchor>
          </controlPr>
        </control>
      </mc:Choice>
      <mc:Fallback>
        <control shapeId="1034" r:id="rId8" name="PREDIKSI"/>
      </mc:Fallback>
    </mc:AlternateContent>
    <mc:AlternateContent xmlns:mc="http://schemas.openxmlformats.org/markup-compatibility/2006">
      <mc:Choice Requires="x14">
        <control shapeId="1033" r:id="rId10" name="AVGUTBK">
          <controlPr defaultSize="0" autoLine="0" r:id="rId11">
            <anchor moveWithCells="1">
              <from>
                <xdr:col>5</xdr:col>
                <xdr:colOff>85725</xdr:colOff>
                <xdr:row>16</xdr:row>
                <xdr:rowOff>0</xdr:rowOff>
              </from>
              <to>
                <xdr:col>7</xdr:col>
                <xdr:colOff>161925</xdr:colOff>
                <xdr:row>17</xdr:row>
                <xdr:rowOff>152400</xdr:rowOff>
              </to>
            </anchor>
          </controlPr>
        </control>
      </mc:Choice>
      <mc:Fallback>
        <control shapeId="1033" r:id="rId10" name="AVGUTBK"/>
      </mc:Fallback>
    </mc:AlternateContent>
    <mc:AlternateContent xmlns:mc="http://schemas.openxmlformats.org/markup-compatibility/2006">
      <mc:Choice Requires="x14">
        <control shapeId="1032" r:id="rId12" name="PRODI">
          <controlPr defaultSize="0" autoLine="0" autoPict="0" r:id="rId13">
            <anchor moveWithCells="1">
              <from>
                <xdr:col>5</xdr:col>
                <xdr:colOff>95250</xdr:colOff>
                <xdr:row>13</xdr:row>
                <xdr:rowOff>9525</xdr:rowOff>
              </from>
              <to>
                <xdr:col>10</xdr:col>
                <xdr:colOff>561975</xdr:colOff>
                <xdr:row>14</xdr:row>
                <xdr:rowOff>114300</xdr:rowOff>
              </to>
            </anchor>
          </controlPr>
        </control>
      </mc:Choice>
      <mc:Fallback>
        <control shapeId="1032" r:id="rId12" name="PRODI"/>
      </mc:Fallback>
    </mc:AlternateContent>
    <mc:AlternateContent xmlns:mc="http://schemas.openxmlformats.org/markup-compatibility/2006">
      <mc:Choice Requires="x14">
        <control shapeId="1031" r:id="rId14" name="TextBox4">
          <controlPr defaultSize="0" autoLine="0" r:id="rId15">
            <anchor moveWithCells="1">
              <from>
                <xdr:col>26</xdr:col>
                <xdr:colOff>419100</xdr:colOff>
                <xdr:row>0</xdr:row>
                <xdr:rowOff>104775</xdr:rowOff>
              </from>
              <to>
                <xdr:col>28</xdr:col>
                <xdr:colOff>485775</xdr:colOff>
                <xdr:row>2</xdr:row>
                <xdr:rowOff>66675</xdr:rowOff>
              </to>
            </anchor>
          </controlPr>
        </control>
      </mc:Choice>
      <mc:Fallback>
        <control shapeId="1031" r:id="rId14" name="TextBox4"/>
      </mc:Fallback>
    </mc:AlternateContent>
    <mc:AlternateContent xmlns:mc="http://schemas.openxmlformats.org/markup-compatibility/2006">
      <mc:Choice Requires="x14">
        <control shapeId="1028" r:id="rId16" name="TextBox1">
          <controlPr defaultSize="0" autoLine="0" autoPict="0" r:id="rId17">
            <anchor moveWithCells="1">
              <from>
                <xdr:col>26</xdr:col>
                <xdr:colOff>419100</xdr:colOff>
                <xdr:row>3</xdr:row>
                <xdr:rowOff>19050</xdr:rowOff>
              </from>
              <to>
                <xdr:col>28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1028" r:id="rId16" name="TextBox1"/>
      </mc:Fallback>
    </mc:AlternateContent>
    <mc:AlternateContent xmlns:mc="http://schemas.openxmlformats.org/markup-compatibility/2006">
      <mc:Choice Requires="x14">
        <control shapeId="1026" r:id="rId18" name="PTN">
          <controlPr defaultSize="0" autoLine="0" autoPict="0" r:id="rId19">
            <anchor moveWithCells="1">
              <from>
                <xdr:col>5</xdr:col>
                <xdr:colOff>114300</xdr:colOff>
                <xdr:row>6</xdr:row>
                <xdr:rowOff>152400</xdr:rowOff>
              </from>
              <to>
                <xdr:col>10</xdr:col>
                <xdr:colOff>561975</xdr:colOff>
                <xdr:row>8</xdr:row>
                <xdr:rowOff>95250</xdr:rowOff>
              </to>
            </anchor>
          </controlPr>
        </control>
      </mc:Choice>
      <mc:Fallback>
        <control shapeId="1026" r:id="rId18" name="PTN"/>
      </mc:Fallback>
    </mc:AlternateContent>
    <mc:AlternateContent xmlns:mc="http://schemas.openxmlformats.org/markup-compatibility/2006">
      <mc:Choice Requires="x14">
        <control shapeId="1036" r:id="rId20" name="MINIMAL">
          <controlPr defaultSize="0" autoLine="0" r:id="rId21">
            <anchor moveWithCells="1">
              <from>
                <xdr:col>15</xdr:col>
                <xdr:colOff>571500</xdr:colOff>
                <xdr:row>21</xdr:row>
                <xdr:rowOff>57150</xdr:rowOff>
              </from>
              <to>
                <xdr:col>18</xdr:col>
                <xdr:colOff>247650</xdr:colOff>
                <xdr:row>24</xdr:row>
                <xdr:rowOff>47625</xdr:rowOff>
              </to>
            </anchor>
          </controlPr>
        </control>
      </mc:Choice>
      <mc:Fallback>
        <control shapeId="1036" r:id="rId20" name="MINIM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162"/>
  <sheetViews>
    <sheetView zoomScale="80" zoomScaleNormal="80" workbookViewId="0">
      <pane ySplit="2" topLeftCell="A447" activePane="bottomLeft" state="frozenSplit"/>
      <selection pane="bottomLeft" activeCell="J585" sqref="J585"/>
    </sheetView>
  </sheetViews>
  <sheetFormatPr defaultRowHeight="15" x14ac:dyDescent="0.25"/>
  <cols>
    <col min="1" max="1" width="6.28515625" bestFit="1" customWidth="1"/>
    <col min="2" max="2" width="11.42578125" style="6" bestFit="1" customWidth="1"/>
    <col min="3" max="3" width="14" style="6" bestFit="1" customWidth="1"/>
    <col min="4" max="4" width="41.5703125" customWidth="1"/>
    <col min="5" max="5" width="5.140625" style="6" bestFit="1" customWidth="1"/>
    <col min="6" max="6" width="22.7109375" bestFit="1" customWidth="1"/>
    <col min="7" max="7" width="11.42578125" customWidth="1"/>
    <col min="8" max="8" width="11.85546875" customWidth="1"/>
    <col min="10" max="10" width="9.140625" style="138"/>
    <col min="11" max="11" width="13.28515625" style="138" customWidth="1"/>
    <col min="12" max="12" width="12.42578125" style="138" customWidth="1"/>
    <col min="14" max="14" width="9.140625" style="83"/>
    <col min="15" max="15" width="9.140625" style="71"/>
  </cols>
  <sheetData>
    <row r="1" spans="1:17" x14ac:dyDescent="0.25">
      <c r="A1" s="3" t="s">
        <v>0</v>
      </c>
      <c r="B1" s="4" t="s">
        <v>1</v>
      </c>
      <c r="C1" s="5" t="s">
        <v>2</v>
      </c>
      <c r="D1" s="3" t="s">
        <v>3</v>
      </c>
      <c r="E1" s="5" t="s">
        <v>4</v>
      </c>
      <c r="F1" s="3" t="s">
        <v>5</v>
      </c>
      <c r="G1" t="s">
        <v>6</v>
      </c>
      <c r="H1" t="s">
        <v>7</v>
      </c>
      <c r="I1" t="s">
        <v>8</v>
      </c>
      <c r="J1" s="138" t="s">
        <v>9</v>
      </c>
      <c r="K1" s="138" t="s">
        <v>10</v>
      </c>
      <c r="L1" s="138" t="s">
        <v>11</v>
      </c>
      <c r="N1" s="83">
        <f>COUNTIF(N2:N3159,"-")</f>
        <v>2099</v>
      </c>
    </row>
    <row r="2" spans="1:17" x14ac:dyDescent="0.25">
      <c r="A2" s="7">
        <v>1</v>
      </c>
      <c r="B2" s="8">
        <v>5</v>
      </c>
      <c r="C2" s="9">
        <v>1152065</v>
      </c>
      <c r="D2" t="s">
        <v>12</v>
      </c>
      <c r="E2" s="9">
        <v>12</v>
      </c>
      <c r="F2" s="10" t="s">
        <v>13</v>
      </c>
      <c r="J2" s="138" t="s">
        <v>1292</v>
      </c>
      <c r="K2" s="138" t="s">
        <v>1292</v>
      </c>
      <c r="L2" s="138" t="s">
        <v>1292</v>
      </c>
      <c r="N2" s="83" t="s">
        <v>1292</v>
      </c>
      <c r="O2" s="71">
        <f>3158-N1</f>
        <v>1059</v>
      </c>
      <c r="P2" t="str">
        <f>VLOOKUP(B2,PTN!A:B,2,FALSE)</f>
        <v>ISBI ACEH</v>
      </c>
      <c r="Q2" t="str">
        <f>P2&amp;D2</f>
        <v>ISBI ACEHDESAIN KOMUNIKASI VISUAL</v>
      </c>
    </row>
    <row r="3" spans="1:17" x14ac:dyDescent="0.25">
      <c r="A3" s="7">
        <v>2</v>
      </c>
      <c r="B3" s="8">
        <v>5</v>
      </c>
      <c r="C3" s="9">
        <v>1152057</v>
      </c>
      <c r="D3" t="s">
        <v>14</v>
      </c>
      <c r="E3" s="9">
        <v>9</v>
      </c>
      <c r="F3" s="10" t="s">
        <v>13</v>
      </c>
      <c r="J3" s="138" t="s">
        <v>1292</v>
      </c>
      <c r="K3" s="138" t="s">
        <v>1292</v>
      </c>
      <c r="L3" s="138" t="s">
        <v>1292</v>
      </c>
      <c r="N3" s="83" t="s">
        <v>1292</v>
      </c>
      <c r="P3" t="str">
        <f>VLOOKUP(B3,PTN!A:B,2,FALSE)</f>
        <v>ISBI ACEH</v>
      </c>
      <c r="Q3" t="str">
        <f t="shared" ref="Q3:Q66" si="0">P3&amp;D3</f>
        <v>ISBI ACEHKRIYA SENI</v>
      </c>
    </row>
    <row r="4" spans="1:17" x14ac:dyDescent="0.25">
      <c r="A4" s="7">
        <v>3</v>
      </c>
      <c r="B4" s="8">
        <v>5</v>
      </c>
      <c r="C4" s="9">
        <v>1152011</v>
      </c>
      <c r="D4" t="s">
        <v>15</v>
      </c>
      <c r="E4" s="9">
        <v>9</v>
      </c>
      <c r="F4" s="10" t="s">
        <v>13</v>
      </c>
      <c r="J4" s="138" t="s">
        <v>1292</v>
      </c>
      <c r="K4" s="138" t="s">
        <v>1292</v>
      </c>
      <c r="L4" s="138" t="s">
        <v>1292</v>
      </c>
      <c r="N4" s="83" t="s">
        <v>1292</v>
      </c>
      <c r="P4" t="str">
        <f>VLOOKUP(B4,PTN!A:B,2,FALSE)</f>
        <v>ISBI ACEH</v>
      </c>
      <c r="Q4" t="str">
        <f t="shared" si="0"/>
        <v>ISBI ACEHSENI KARAWITAN</v>
      </c>
    </row>
    <row r="5" spans="1:17" x14ac:dyDescent="0.25">
      <c r="A5" s="7">
        <v>4</v>
      </c>
      <c r="B5" s="8">
        <v>5</v>
      </c>
      <c r="C5" s="9">
        <v>1152042</v>
      </c>
      <c r="D5" t="s">
        <v>16</v>
      </c>
      <c r="E5" s="9">
        <v>9</v>
      </c>
      <c r="F5" s="10" t="s">
        <v>13</v>
      </c>
      <c r="J5" s="138" t="s">
        <v>1292</v>
      </c>
      <c r="K5" s="138" t="s">
        <v>1292</v>
      </c>
      <c r="L5" s="138" t="s">
        <v>1292</v>
      </c>
      <c r="N5" s="83" t="s">
        <v>1292</v>
      </c>
      <c r="P5" t="str">
        <f>VLOOKUP(B5,PTN!A:B,2,FALSE)</f>
        <v>ISBI ACEH</v>
      </c>
      <c r="Q5" t="str">
        <f t="shared" si="0"/>
        <v>ISBI ACEHSENI RUPA MURNI</v>
      </c>
    </row>
    <row r="6" spans="1:17" x14ac:dyDescent="0.25">
      <c r="A6" s="7">
        <v>5</v>
      </c>
      <c r="B6" s="8">
        <v>5</v>
      </c>
      <c r="C6" s="9">
        <v>1152026</v>
      </c>
      <c r="D6" t="s">
        <v>17</v>
      </c>
      <c r="E6" s="9">
        <v>9</v>
      </c>
      <c r="F6" s="10" t="s">
        <v>13</v>
      </c>
      <c r="J6" s="138" t="s">
        <v>1292</v>
      </c>
      <c r="K6" s="138" t="s">
        <v>1292</v>
      </c>
      <c r="L6" s="138" t="s">
        <v>1292</v>
      </c>
      <c r="N6" s="83" t="s">
        <v>1292</v>
      </c>
      <c r="P6" t="str">
        <f>VLOOKUP(B6,PTN!A:B,2,FALSE)</f>
        <v>ISBI ACEH</v>
      </c>
      <c r="Q6" t="str">
        <f t="shared" si="0"/>
        <v>ISBI ACEHSENI TARI</v>
      </c>
    </row>
    <row r="7" spans="1:17" ht="15.75" thickBot="1" x14ac:dyDescent="0.3">
      <c r="A7" s="7">
        <v>6</v>
      </c>
      <c r="B7" s="8">
        <v>5</v>
      </c>
      <c r="C7" s="9">
        <v>1152034</v>
      </c>
      <c r="D7" t="s">
        <v>18</v>
      </c>
      <c r="E7" s="9">
        <v>6</v>
      </c>
      <c r="F7" s="10" t="s">
        <v>13</v>
      </c>
      <c r="J7" s="138" t="s">
        <v>1292</v>
      </c>
      <c r="K7" s="138" t="s">
        <v>1292</v>
      </c>
      <c r="L7" s="138" t="s">
        <v>1292</v>
      </c>
      <c r="N7" s="83" t="s">
        <v>1292</v>
      </c>
      <c r="P7" t="str">
        <f>VLOOKUP(B7,PTN!A:B,2,FALSE)</f>
        <v>ISBI ACEH</v>
      </c>
      <c r="Q7" t="str">
        <f t="shared" si="0"/>
        <v>ISBI ACEHSENI TEATER</v>
      </c>
    </row>
    <row r="8" spans="1:17" ht="15.75" thickBot="1" x14ac:dyDescent="0.3">
      <c r="A8" s="7">
        <v>7</v>
      </c>
      <c r="B8" s="11">
        <v>6</v>
      </c>
      <c r="C8" s="12">
        <v>1161033</v>
      </c>
      <c r="D8" t="s">
        <v>19</v>
      </c>
      <c r="E8" s="12">
        <v>36</v>
      </c>
      <c r="F8" s="10" t="s">
        <v>20</v>
      </c>
      <c r="J8" s="138" t="s">
        <v>1292</v>
      </c>
      <c r="K8" s="138" t="s">
        <v>1292</v>
      </c>
      <c r="L8" s="138" t="s">
        <v>1292</v>
      </c>
      <c r="N8" s="83" t="s">
        <v>1292</v>
      </c>
      <c r="P8" t="str">
        <f>VLOOKUP(B8,PTN!A:B,2,FALSE)</f>
        <v>UIN AR-RANIRY</v>
      </c>
      <c r="Q8" t="str">
        <f t="shared" si="0"/>
        <v>UIN AR-RANIRYARSITEKTUR</v>
      </c>
    </row>
    <row r="9" spans="1:17" ht="15.75" thickBot="1" x14ac:dyDescent="0.3">
      <c r="A9" s="7">
        <v>8</v>
      </c>
      <c r="B9" s="11">
        <v>6</v>
      </c>
      <c r="C9" s="13">
        <v>1161056</v>
      </c>
      <c r="D9" t="s">
        <v>21</v>
      </c>
      <c r="E9" s="13">
        <v>36</v>
      </c>
      <c r="F9" s="10" t="s">
        <v>20</v>
      </c>
      <c r="J9" s="138" t="s">
        <v>1292</v>
      </c>
      <c r="K9" s="138" t="s">
        <v>1292</v>
      </c>
      <c r="L9" s="138" t="s">
        <v>1292</v>
      </c>
      <c r="N9" s="83" t="s">
        <v>1292</v>
      </c>
      <c r="P9" t="str">
        <f>VLOOKUP(B9,PTN!A:B,2,FALSE)</f>
        <v>UIN AR-RANIRY</v>
      </c>
      <c r="Q9" t="str">
        <f t="shared" si="0"/>
        <v>UIN AR-RANIRYBIOLOGI</v>
      </c>
    </row>
    <row r="10" spans="1:17" ht="15.75" thickBot="1" x14ac:dyDescent="0.3">
      <c r="A10" s="7">
        <v>9</v>
      </c>
      <c r="B10" s="11">
        <v>6</v>
      </c>
      <c r="C10" s="12">
        <v>1161064</v>
      </c>
      <c r="D10" t="s">
        <v>22</v>
      </c>
      <c r="E10" s="12">
        <v>36</v>
      </c>
      <c r="F10" s="10" t="s">
        <v>20</v>
      </c>
      <c r="J10" s="138" t="s">
        <v>1292</v>
      </c>
      <c r="K10" s="138" t="s">
        <v>1292</v>
      </c>
      <c r="L10" s="138" t="s">
        <v>1292</v>
      </c>
      <c r="N10" s="83" t="s">
        <v>1292</v>
      </c>
      <c r="P10" t="str">
        <f>VLOOKUP(B10,PTN!A:B,2,FALSE)</f>
        <v>UIN AR-RANIRY</v>
      </c>
      <c r="Q10" t="str">
        <f t="shared" si="0"/>
        <v>UIN AR-RANIRYKIMIA</v>
      </c>
    </row>
    <row r="11" spans="1:17" ht="15.75" thickBot="1" x14ac:dyDescent="0.3">
      <c r="A11" s="7">
        <v>10</v>
      </c>
      <c r="B11" s="11">
        <v>6</v>
      </c>
      <c r="C11" s="13">
        <v>1161017</v>
      </c>
      <c r="D11" t="s">
        <v>23</v>
      </c>
      <c r="E11" s="13">
        <v>21</v>
      </c>
      <c r="F11" s="10" t="s">
        <v>20</v>
      </c>
      <c r="J11" s="138" t="s">
        <v>1292</v>
      </c>
      <c r="K11" s="138" t="s">
        <v>1292</v>
      </c>
      <c r="L11" s="138" t="s">
        <v>1292</v>
      </c>
      <c r="N11" s="83" t="s">
        <v>1292</v>
      </c>
      <c r="P11" t="str">
        <f>VLOOKUP(B11,PTN!A:B,2,FALSE)</f>
        <v>UIN AR-RANIRY</v>
      </c>
      <c r="Q11" t="str">
        <f t="shared" si="0"/>
        <v>UIN AR-RANIRYPENDIDIKAN TEKNIK ELEKTRO</v>
      </c>
    </row>
    <row r="12" spans="1:17" ht="15.75" thickBot="1" x14ac:dyDescent="0.3">
      <c r="A12" s="7">
        <v>11</v>
      </c>
      <c r="B12" s="11">
        <v>6</v>
      </c>
      <c r="C12" s="12">
        <v>1161025</v>
      </c>
      <c r="D12" t="s">
        <v>24</v>
      </c>
      <c r="E12" s="12">
        <v>21</v>
      </c>
      <c r="F12" s="10" t="s">
        <v>20</v>
      </c>
      <c r="J12" s="138" t="s">
        <v>1292</v>
      </c>
      <c r="K12" s="138" t="s">
        <v>1292</v>
      </c>
      <c r="L12" s="138" t="s">
        <v>1292</v>
      </c>
      <c r="N12" s="83" t="s">
        <v>1292</v>
      </c>
      <c r="P12" t="str">
        <f>VLOOKUP(B12,PTN!A:B,2,FALSE)</f>
        <v>UIN AR-RANIRY</v>
      </c>
      <c r="Q12" t="str">
        <f t="shared" si="0"/>
        <v>UIN AR-RANIRYPENDIDIKAN TEKNOLOGI INFORMATIKA</v>
      </c>
    </row>
    <row r="13" spans="1:17" ht="15.75" thickBot="1" x14ac:dyDescent="0.3">
      <c r="A13" s="7">
        <v>12</v>
      </c>
      <c r="B13" s="11">
        <v>6</v>
      </c>
      <c r="C13" s="13">
        <v>1161041</v>
      </c>
      <c r="D13" t="s">
        <v>25</v>
      </c>
      <c r="E13" s="13">
        <v>36</v>
      </c>
      <c r="F13" s="10" t="s">
        <v>20</v>
      </c>
      <c r="J13" s="138" t="s">
        <v>1292</v>
      </c>
      <c r="K13" s="138" t="s">
        <v>1292</v>
      </c>
      <c r="L13" s="138" t="s">
        <v>1292</v>
      </c>
      <c r="N13" s="83" t="s">
        <v>1292</v>
      </c>
      <c r="P13" t="str">
        <f>VLOOKUP(B13,PTN!A:B,2,FALSE)</f>
        <v>UIN AR-RANIRY</v>
      </c>
      <c r="Q13" t="str">
        <f t="shared" si="0"/>
        <v>UIN AR-RANIRYTEKNIK LINGKUNGAN</v>
      </c>
    </row>
    <row r="14" spans="1:17" ht="15.75" thickBot="1" x14ac:dyDescent="0.3">
      <c r="A14" s="7">
        <v>13</v>
      </c>
      <c r="B14" s="11">
        <v>6</v>
      </c>
      <c r="C14" s="14">
        <v>1161072</v>
      </c>
      <c r="D14" t="s">
        <v>26</v>
      </c>
      <c r="E14" s="15"/>
      <c r="F14" s="10" t="s">
        <v>20</v>
      </c>
      <c r="J14" s="138" t="s">
        <v>1292</v>
      </c>
      <c r="K14" s="138" t="s">
        <v>1292</v>
      </c>
      <c r="L14" s="138" t="s">
        <v>1292</v>
      </c>
      <c r="N14" s="83" t="s">
        <v>1292</v>
      </c>
      <c r="P14" t="str">
        <f>VLOOKUP(B14,PTN!A:B,2,FALSE)</f>
        <v>UIN AR-RANIRY</v>
      </c>
      <c r="Q14" t="str">
        <f t="shared" si="0"/>
        <v>UIN AR-RANIRYTEKNOLOGI INFORMASI</v>
      </c>
    </row>
    <row r="15" spans="1:17" ht="16.5" thickTop="1" thickBot="1" x14ac:dyDescent="0.3">
      <c r="A15" s="7">
        <v>14</v>
      </c>
      <c r="B15" s="11">
        <v>6</v>
      </c>
      <c r="C15" s="12">
        <v>1162021</v>
      </c>
      <c r="D15" t="s">
        <v>27</v>
      </c>
      <c r="E15" s="12">
        <v>21</v>
      </c>
      <c r="F15" s="10" t="s">
        <v>13</v>
      </c>
      <c r="J15" s="138" t="s">
        <v>1292</v>
      </c>
      <c r="K15" s="138" t="s">
        <v>1292</v>
      </c>
      <c r="L15" s="138" t="s">
        <v>1292</v>
      </c>
      <c r="N15" s="83" t="s">
        <v>1292</v>
      </c>
      <c r="P15" t="str">
        <f>VLOOKUP(B15,PTN!A:B,2,FALSE)</f>
        <v>UIN AR-RANIRY</v>
      </c>
      <c r="Q15" t="str">
        <f t="shared" si="0"/>
        <v>UIN AR-RANIRYBIMBINGAN KONSELING</v>
      </c>
    </row>
    <row r="16" spans="1:17" ht="15.75" thickBot="1" x14ac:dyDescent="0.3">
      <c r="A16" s="7">
        <v>15</v>
      </c>
      <c r="B16" s="11">
        <v>6</v>
      </c>
      <c r="C16" s="13">
        <v>1162044</v>
      </c>
      <c r="D16" t="s">
        <v>28</v>
      </c>
      <c r="E16" s="13">
        <v>48</v>
      </c>
      <c r="F16" s="10" t="s">
        <v>13</v>
      </c>
      <c r="J16" s="138" t="s">
        <v>1292</v>
      </c>
      <c r="K16" s="138" t="s">
        <v>1292</v>
      </c>
      <c r="L16" s="138" t="s">
        <v>1292</v>
      </c>
      <c r="N16" s="83" t="s">
        <v>1292</v>
      </c>
      <c r="P16" t="str">
        <f>VLOOKUP(B16,PTN!A:B,2,FALSE)</f>
        <v>UIN AR-RANIRY</v>
      </c>
      <c r="Q16" t="str">
        <f t="shared" si="0"/>
        <v>UIN AR-RANIRYEKONOMI SYARIAH</v>
      </c>
    </row>
    <row r="17" spans="1:17" ht="15.75" thickBot="1" x14ac:dyDescent="0.3">
      <c r="A17" s="7">
        <v>16</v>
      </c>
      <c r="B17" s="11">
        <v>6</v>
      </c>
      <c r="C17" s="12">
        <v>1162083</v>
      </c>
      <c r="D17" t="s">
        <v>29</v>
      </c>
      <c r="E17" s="12">
        <v>36</v>
      </c>
      <c r="F17" s="10" t="s">
        <v>13</v>
      </c>
      <c r="J17" s="138" t="s">
        <v>1292</v>
      </c>
      <c r="K17" s="138" t="s">
        <v>1292</v>
      </c>
      <c r="L17" s="138" t="s">
        <v>1292</v>
      </c>
      <c r="N17" s="83" t="s">
        <v>1292</v>
      </c>
      <c r="P17" t="str">
        <f>VLOOKUP(B17,PTN!A:B,2,FALSE)</f>
        <v>UIN AR-RANIRY</v>
      </c>
      <c r="Q17" t="str">
        <f t="shared" si="0"/>
        <v>UIN AR-RANIRYILMU ADMINISTRASI NEGARA</v>
      </c>
    </row>
    <row r="18" spans="1:17" ht="15.75" thickBot="1" x14ac:dyDescent="0.3">
      <c r="A18" s="7">
        <v>17</v>
      </c>
      <c r="B18" s="11">
        <v>6</v>
      </c>
      <c r="C18" s="13">
        <v>1162067</v>
      </c>
      <c r="D18" t="s">
        <v>30</v>
      </c>
      <c r="E18" s="13">
        <v>48</v>
      </c>
      <c r="F18" s="10" t="s">
        <v>13</v>
      </c>
      <c r="J18" s="138" t="s">
        <v>1292</v>
      </c>
      <c r="K18" s="138" t="s">
        <v>1292</v>
      </c>
      <c r="L18" s="138" t="s">
        <v>1292</v>
      </c>
      <c r="N18" s="83" t="s">
        <v>1292</v>
      </c>
      <c r="P18" t="str">
        <f>VLOOKUP(B18,PTN!A:B,2,FALSE)</f>
        <v>UIN AR-RANIRY</v>
      </c>
      <c r="Q18" t="str">
        <f t="shared" si="0"/>
        <v>UIN AR-RANIRYILMU EKONOMI</v>
      </c>
    </row>
    <row r="19" spans="1:17" ht="15.75" thickBot="1" x14ac:dyDescent="0.3">
      <c r="A19" s="7">
        <v>18</v>
      </c>
      <c r="B19" s="11">
        <v>6</v>
      </c>
      <c r="C19" s="12">
        <v>1162013</v>
      </c>
      <c r="D19" t="s">
        <v>31</v>
      </c>
      <c r="E19" s="12">
        <v>36</v>
      </c>
      <c r="F19" s="10" t="s">
        <v>13</v>
      </c>
      <c r="J19" s="138" t="s">
        <v>1292</v>
      </c>
      <c r="K19" s="138" t="s">
        <v>1292</v>
      </c>
      <c r="L19" s="138" t="s">
        <v>1292</v>
      </c>
      <c r="N19" s="83" t="s">
        <v>1292</v>
      </c>
      <c r="P19" t="str">
        <f>VLOOKUP(B19,PTN!A:B,2,FALSE)</f>
        <v>UIN AR-RANIRY</v>
      </c>
      <c r="Q19" t="str">
        <f t="shared" si="0"/>
        <v>UIN AR-RANIRYILMU HUKUM</v>
      </c>
    </row>
    <row r="20" spans="1:17" ht="15.75" thickBot="1" x14ac:dyDescent="0.3">
      <c r="A20" s="7">
        <v>19</v>
      </c>
      <c r="B20" s="11">
        <v>6</v>
      </c>
      <c r="C20" s="13">
        <v>1162036</v>
      </c>
      <c r="D20" t="s">
        <v>32</v>
      </c>
      <c r="E20" s="13">
        <v>36</v>
      </c>
      <c r="F20" s="10" t="s">
        <v>13</v>
      </c>
      <c r="J20" s="138" t="s">
        <v>1292</v>
      </c>
      <c r="K20" s="138" t="s">
        <v>1292</v>
      </c>
      <c r="L20" s="138" t="s">
        <v>1292</v>
      </c>
      <c r="N20" s="83" t="s">
        <v>1292</v>
      </c>
      <c r="P20" t="str">
        <f>VLOOKUP(B20,PTN!A:B,2,FALSE)</f>
        <v>UIN AR-RANIRY</v>
      </c>
      <c r="Q20" t="str">
        <f t="shared" si="0"/>
        <v>UIN AR-RANIRYILMU PERPUSTAKAAN</v>
      </c>
    </row>
    <row r="21" spans="1:17" ht="15.75" thickBot="1" x14ac:dyDescent="0.3">
      <c r="A21" s="7">
        <v>20</v>
      </c>
      <c r="B21" s="11">
        <v>6</v>
      </c>
      <c r="C21" s="12">
        <v>1162075</v>
      </c>
      <c r="D21" t="s">
        <v>33</v>
      </c>
      <c r="E21" s="12">
        <v>36</v>
      </c>
      <c r="F21" s="10" t="s">
        <v>13</v>
      </c>
      <c r="J21" s="138" t="s">
        <v>1292</v>
      </c>
      <c r="K21" s="138" t="s">
        <v>1292</v>
      </c>
      <c r="L21" s="138" t="s">
        <v>1292</v>
      </c>
      <c r="N21" s="83" t="s">
        <v>1292</v>
      </c>
      <c r="P21" t="str">
        <f>VLOOKUP(B21,PTN!A:B,2,FALSE)</f>
        <v>UIN AR-RANIRY</v>
      </c>
      <c r="Q21" t="str">
        <f t="shared" si="0"/>
        <v>UIN AR-RANIRYILMU POLITIK</v>
      </c>
    </row>
    <row r="22" spans="1:17" ht="15.75" thickBot="1" x14ac:dyDescent="0.3">
      <c r="A22" s="7">
        <v>21</v>
      </c>
      <c r="B22" s="11">
        <v>6</v>
      </c>
      <c r="C22" s="13">
        <v>1162102</v>
      </c>
      <c r="D22" t="s">
        <v>34</v>
      </c>
      <c r="E22" s="13">
        <v>36</v>
      </c>
      <c r="F22" s="10" t="s">
        <v>13</v>
      </c>
      <c r="J22" s="138" t="s">
        <v>1292</v>
      </c>
      <c r="K22" s="138" t="s">
        <v>1292</v>
      </c>
      <c r="L22" s="138" t="s">
        <v>1292</v>
      </c>
      <c r="N22" s="83" t="s">
        <v>1292</v>
      </c>
      <c r="P22" t="str">
        <f>VLOOKUP(B22,PTN!A:B,2,FALSE)</f>
        <v>UIN AR-RANIRY</v>
      </c>
      <c r="Q22" t="str">
        <f t="shared" si="0"/>
        <v>UIN AR-RANIRYKESEJAHTERAAN SOSIAL</v>
      </c>
    </row>
    <row r="23" spans="1:17" ht="15.75" thickBot="1" x14ac:dyDescent="0.3">
      <c r="A23" s="7">
        <v>22</v>
      </c>
      <c r="B23" s="11">
        <v>6</v>
      </c>
      <c r="C23" s="12">
        <v>1162052</v>
      </c>
      <c r="D23" t="s">
        <v>35</v>
      </c>
      <c r="E23" s="12">
        <v>72</v>
      </c>
      <c r="F23" s="10" t="s">
        <v>13</v>
      </c>
      <c r="J23" s="138" t="s">
        <v>1292</v>
      </c>
      <c r="K23" s="138" t="s">
        <v>1292</v>
      </c>
      <c r="L23" s="138" t="s">
        <v>1292</v>
      </c>
      <c r="N23" s="83" t="s">
        <v>1292</v>
      </c>
      <c r="P23" t="str">
        <f>VLOOKUP(B23,PTN!A:B,2,FALSE)</f>
        <v>UIN AR-RANIRY</v>
      </c>
      <c r="Q23" t="str">
        <f t="shared" si="0"/>
        <v>UIN AR-RANIRYPERBANKAN SYARIAH</v>
      </c>
    </row>
    <row r="24" spans="1:17" ht="15.75" thickBot="1" x14ac:dyDescent="0.3">
      <c r="A24" s="7">
        <v>23</v>
      </c>
      <c r="B24" s="11">
        <v>6</v>
      </c>
      <c r="C24" s="16">
        <v>1162091</v>
      </c>
      <c r="D24" t="s">
        <v>36</v>
      </c>
      <c r="E24" s="16">
        <v>36</v>
      </c>
      <c r="F24" s="10" t="s">
        <v>13</v>
      </c>
      <c r="J24" s="138" t="s">
        <v>1292</v>
      </c>
      <c r="K24" s="138" t="s">
        <v>1292</v>
      </c>
      <c r="L24" s="138" t="s">
        <v>1292</v>
      </c>
      <c r="N24" s="83" t="s">
        <v>1292</v>
      </c>
      <c r="P24" t="str">
        <f>VLOOKUP(B24,PTN!A:B,2,FALSE)</f>
        <v>UIN AR-RANIRY</v>
      </c>
      <c r="Q24" t="str">
        <f t="shared" si="0"/>
        <v>UIN AR-RANIRYPSIKOLOGI</v>
      </c>
    </row>
    <row r="25" spans="1:17" ht="16.5" thickTop="1" thickBot="1" x14ac:dyDescent="0.3">
      <c r="A25" s="7">
        <v>24</v>
      </c>
      <c r="B25" s="6">
        <v>2</v>
      </c>
      <c r="C25" s="12">
        <v>1121094</v>
      </c>
      <c r="D25" t="s">
        <v>37</v>
      </c>
      <c r="E25" s="12">
        <v>45</v>
      </c>
      <c r="F25" s="10" t="s">
        <v>20</v>
      </c>
      <c r="J25" s="138" t="s">
        <v>1292</v>
      </c>
      <c r="K25" s="138" t="s">
        <v>1292</v>
      </c>
      <c r="L25" s="138" t="s">
        <v>1292</v>
      </c>
      <c r="N25" s="83" t="s">
        <v>1292</v>
      </c>
      <c r="P25" t="str">
        <f>VLOOKUP(B25,PTN!A:B,2,FALSE)</f>
        <v>UNIVERSITAS MALIKUSSALEH</v>
      </c>
      <c r="Q25" t="str">
        <f t="shared" si="0"/>
        <v>UNIVERSITAS MALIKUSSALEHAGRIBISNIS</v>
      </c>
    </row>
    <row r="26" spans="1:17" ht="15.75" thickBot="1" x14ac:dyDescent="0.3">
      <c r="A26" s="7">
        <v>25</v>
      </c>
      <c r="B26" s="6">
        <v>2</v>
      </c>
      <c r="C26" s="13">
        <v>1121086</v>
      </c>
      <c r="D26" t="s">
        <v>38</v>
      </c>
      <c r="E26" s="13">
        <v>60</v>
      </c>
      <c r="F26" s="10" t="s">
        <v>20</v>
      </c>
      <c r="J26" s="138" t="s">
        <v>1292</v>
      </c>
      <c r="K26" s="138" t="s">
        <v>1292</v>
      </c>
      <c r="L26" s="138" t="s">
        <v>1292</v>
      </c>
      <c r="N26" s="83" t="s">
        <v>1292</v>
      </c>
      <c r="P26" t="str">
        <f>VLOOKUP(B26,PTN!A:B,2,FALSE)</f>
        <v>UNIVERSITAS MALIKUSSALEH</v>
      </c>
      <c r="Q26" t="str">
        <f t="shared" si="0"/>
        <v>UNIVERSITAS MALIKUSSALEHAGROEKOTEKNOLOGI</v>
      </c>
    </row>
    <row r="27" spans="1:17" ht="15.75" thickBot="1" x14ac:dyDescent="0.3">
      <c r="A27" s="7">
        <v>26</v>
      </c>
      <c r="B27" s="6">
        <v>2</v>
      </c>
      <c r="C27" s="12">
        <v>1121105</v>
      </c>
      <c r="D27" t="s">
        <v>39</v>
      </c>
      <c r="E27" s="12">
        <v>36</v>
      </c>
      <c r="F27" s="10" t="s">
        <v>20</v>
      </c>
      <c r="J27" s="138" t="s">
        <v>1292</v>
      </c>
      <c r="K27" s="138" t="s">
        <v>1292</v>
      </c>
      <c r="L27" s="138" t="s">
        <v>1292</v>
      </c>
      <c r="N27" s="83" t="s">
        <v>1292</v>
      </c>
      <c r="P27" t="str">
        <f>VLOOKUP(B27,PTN!A:B,2,FALSE)</f>
        <v>UNIVERSITAS MALIKUSSALEH</v>
      </c>
      <c r="Q27" t="str">
        <f t="shared" si="0"/>
        <v>UNIVERSITAS MALIKUSSALEHBUDIDAYA PERAIRAN</v>
      </c>
    </row>
    <row r="28" spans="1:17" ht="15.75" thickBot="1" x14ac:dyDescent="0.3">
      <c r="A28" s="7">
        <v>27</v>
      </c>
      <c r="B28" s="6">
        <v>2</v>
      </c>
      <c r="C28" s="13">
        <v>1121175</v>
      </c>
      <c r="D28" t="s">
        <v>40</v>
      </c>
      <c r="E28" s="13">
        <v>27</v>
      </c>
      <c r="F28" s="10" t="s">
        <v>20</v>
      </c>
      <c r="J28" s="138" t="s">
        <v>1292</v>
      </c>
      <c r="K28" s="138" t="s">
        <v>1292</v>
      </c>
      <c r="L28" s="138" t="s">
        <v>1292</v>
      </c>
      <c r="N28" s="83" t="s">
        <v>1292</v>
      </c>
      <c r="P28" t="str">
        <f>VLOOKUP(B28,PTN!A:B,2,FALSE)</f>
        <v>UNIVERSITAS MALIKUSSALEH</v>
      </c>
      <c r="Q28" t="str">
        <f t="shared" si="0"/>
        <v>UNIVERSITAS MALIKUSSALEHILMU KELAUTAN</v>
      </c>
    </row>
    <row r="29" spans="1:17" ht="15.75" thickBot="1" x14ac:dyDescent="0.3">
      <c r="A29" s="7">
        <v>28</v>
      </c>
      <c r="B29" s="6">
        <v>2</v>
      </c>
      <c r="C29" s="12">
        <v>1121113</v>
      </c>
      <c r="D29" t="s">
        <v>41</v>
      </c>
      <c r="E29" s="12">
        <v>24</v>
      </c>
      <c r="F29" s="10" t="s">
        <v>20</v>
      </c>
      <c r="J29" s="138">
        <v>636.17999999999995</v>
      </c>
      <c r="K29" s="138">
        <v>641.80999999999995</v>
      </c>
      <c r="L29" s="138">
        <v>630.54999999999995</v>
      </c>
      <c r="N29" s="83">
        <v>636.17999999999995</v>
      </c>
      <c r="P29" t="str">
        <f>VLOOKUP(B29,PTN!A:B,2,FALSE)</f>
        <v>UNIVERSITAS MALIKUSSALEH</v>
      </c>
      <c r="Q29" t="str">
        <f t="shared" si="0"/>
        <v>UNIVERSITAS MALIKUSSALEHPENDIDIKAN DOKTER</v>
      </c>
    </row>
    <row r="30" spans="1:17" ht="15.75" thickBot="1" x14ac:dyDescent="0.3">
      <c r="A30" s="7">
        <v>29</v>
      </c>
      <c r="B30" s="6">
        <v>2</v>
      </c>
      <c r="C30" s="13">
        <v>1121121</v>
      </c>
      <c r="D30" t="s">
        <v>42</v>
      </c>
      <c r="E30" s="13">
        <v>36</v>
      </c>
      <c r="F30" s="10" t="s">
        <v>20</v>
      </c>
      <c r="J30" s="138" t="s">
        <v>1292</v>
      </c>
      <c r="K30" s="138" t="s">
        <v>1292</v>
      </c>
      <c r="L30" s="138" t="s">
        <v>1292</v>
      </c>
      <c r="N30" s="83" t="s">
        <v>1292</v>
      </c>
      <c r="P30" t="str">
        <f>VLOOKUP(B30,PTN!A:B,2,FALSE)</f>
        <v>UNIVERSITAS MALIKUSSALEH</v>
      </c>
      <c r="Q30" t="str">
        <f t="shared" si="0"/>
        <v>UNIVERSITAS MALIKUSSALEHPENDIDIKAN FISIKA</v>
      </c>
    </row>
    <row r="31" spans="1:17" ht="15.75" thickBot="1" x14ac:dyDescent="0.3">
      <c r="A31" s="7">
        <v>30</v>
      </c>
      <c r="B31" s="6">
        <v>2</v>
      </c>
      <c r="C31" s="12">
        <v>1121136</v>
      </c>
      <c r="D31" t="s">
        <v>43</v>
      </c>
      <c r="E31" s="12">
        <v>24</v>
      </c>
      <c r="F31" s="10" t="s">
        <v>20</v>
      </c>
      <c r="J31" s="138" t="s">
        <v>1292</v>
      </c>
      <c r="K31" s="138" t="s">
        <v>1292</v>
      </c>
      <c r="L31" s="138" t="s">
        <v>1292</v>
      </c>
      <c r="N31" s="83" t="s">
        <v>1292</v>
      </c>
      <c r="P31" t="str">
        <f>VLOOKUP(B31,PTN!A:B,2,FALSE)</f>
        <v>UNIVERSITAS MALIKUSSALEH</v>
      </c>
      <c r="Q31" t="str">
        <f t="shared" si="0"/>
        <v>UNIVERSITAS MALIKUSSALEHPENDIDIKAN KIMIA</v>
      </c>
    </row>
    <row r="32" spans="1:17" ht="15.75" thickBot="1" x14ac:dyDescent="0.3">
      <c r="A32" s="7">
        <v>31</v>
      </c>
      <c r="B32" s="6">
        <v>2</v>
      </c>
      <c r="C32" s="13">
        <v>1121144</v>
      </c>
      <c r="D32" t="s">
        <v>44</v>
      </c>
      <c r="E32" s="13">
        <v>24</v>
      </c>
      <c r="F32" s="10" t="s">
        <v>20</v>
      </c>
      <c r="J32" s="138" t="s">
        <v>1292</v>
      </c>
      <c r="K32" s="138" t="s">
        <v>1292</v>
      </c>
      <c r="L32" s="138" t="s">
        <v>1292</v>
      </c>
      <c r="N32" s="83" t="s">
        <v>1292</v>
      </c>
      <c r="P32" t="str">
        <f>VLOOKUP(B32,PTN!A:B,2,FALSE)</f>
        <v>UNIVERSITAS MALIKUSSALEH</v>
      </c>
      <c r="Q32" t="str">
        <f t="shared" si="0"/>
        <v>UNIVERSITAS MALIKUSSALEHPENDIDIKAN MATEMATIKA</v>
      </c>
    </row>
    <row r="33" spans="1:17" ht="15.75" thickBot="1" x14ac:dyDescent="0.3">
      <c r="A33" s="7">
        <v>32</v>
      </c>
      <c r="B33" s="6">
        <v>2</v>
      </c>
      <c r="C33" s="12">
        <v>1121152</v>
      </c>
      <c r="D33" t="s">
        <v>45</v>
      </c>
      <c r="E33" s="12">
        <v>24</v>
      </c>
      <c r="F33" s="10" t="s">
        <v>20</v>
      </c>
      <c r="J33" s="138" t="s">
        <v>1292</v>
      </c>
      <c r="K33" s="138" t="s">
        <v>1292</v>
      </c>
      <c r="L33" s="138" t="s">
        <v>1292</v>
      </c>
      <c r="N33" s="83" t="s">
        <v>1292</v>
      </c>
      <c r="P33" t="str">
        <f>VLOOKUP(B33,PTN!A:B,2,FALSE)</f>
        <v>UNIVERSITAS MALIKUSSALEH</v>
      </c>
      <c r="Q33" t="str">
        <f t="shared" si="0"/>
        <v>UNIVERSITAS MALIKUSSALEHPENDIDIKAN TEKNIK MESIN</v>
      </c>
    </row>
    <row r="34" spans="1:17" ht="15.75" thickBot="1" x14ac:dyDescent="0.3">
      <c r="A34" s="7">
        <v>33</v>
      </c>
      <c r="B34" s="6">
        <v>2</v>
      </c>
      <c r="C34" s="13">
        <v>1121167</v>
      </c>
      <c r="D34" t="s">
        <v>46</v>
      </c>
      <c r="E34" s="13">
        <v>42</v>
      </c>
      <c r="F34" s="10" t="s">
        <v>20</v>
      </c>
      <c r="J34" s="138" t="s">
        <v>1292</v>
      </c>
      <c r="K34" s="138" t="s">
        <v>1292</v>
      </c>
      <c r="L34" s="138" t="s">
        <v>1292</v>
      </c>
      <c r="N34" s="83" t="s">
        <v>1292</v>
      </c>
      <c r="P34" t="str">
        <f>VLOOKUP(B34,PTN!A:B,2,FALSE)</f>
        <v>UNIVERSITAS MALIKUSSALEH</v>
      </c>
      <c r="Q34" t="str">
        <f t="shared" si="0"/>
        <v>UNIVERSITAS MALIKUSSALEHSISTEM INFORMASI</v>
      </c>
    </row>
    <row r="35" spans="1:17" ht="15.75" thickBot="1" x14ac:dyDescent="0.3">
      <c r="A35" s="7">
        <v>34</v>
      </c>
      <c r="B35" s="6">
        <v>2</v>
      </c>
      <c r="C35" s="12">
        <v>1121071</v>
      </c>
      <c r="D35" t="s">
        <v>47</v>
      </c>
      <c r="E35" s="12">
        <v>48</v>
      </c>
      <c r="F35" s="10" t="s">
        <v>20</v>
      </c>
      <c r="J35" s="138" t="s">
        <v>1292</v>
      </c>
      <c r="K35" s="138" t="s">
        <v>1292</v>
      </c>
      <c r="L35" s="138" t="s">
        <v>1292</v>
      </c>
      <c r="N35" s="83" t="s">
        <v>1292</v>
      </c>
      <c r="P35" t="str">
        <f>VLOOKUP(B35,PTN!A:B,2,FALSE)</f>
        <v>UNIVERSITAS MALIKUSSALEH</v>
      </c>
      <c r="Q35" t="str">
        <f t="shared" si="0"/>
        <v>UNIVERSITAS MALIKUSSALEHTEKNIK ARSITEKTUR</v>
      </c>
    </row>
    <row r="36" spans="1:17" ht="15.75" thickBot="1" x14ac:dyDescent="0.3">
      <c r="A36" s="7">
        <v>35</v>
      </c>
      <c r="B36" s="6">
        <v>2</v>
      </c>
      <c r="C36" s="13">
        <v>1121047</v>
      </c>
      <c r="D36" t="s">
        <v>48</v>
      </c>
      <c r="E36" s="13">
        <v>60</v>
      </c>
      <c r="F36" s="10" t="s">
        <v>20</v>
      </c>
      <c r="J36" s="138" t="s">
        <v>1292</v>
      </c>
      <c r="K36" s="138" t="s">
        <v>1292</v>
      </c>
      <c r="L36" s="138" t="s">
        <v>1292</v>
      </c>
      <c r="N36" s="83" t="s">
        <v>1292</v>
      </c>
      <c r="P36" t="str">
        <f>VLOOKUP(B36,PTN!A:B,2,FALSE)</f>
        <v>UNIVERSITAS MALIKUSSALEH</v>
      </c>
      <c r="Q36" t="str">
        <f t="shared" si="0"/>
        <v>UNIVERSITAS MALIKUSSALEHTEKNIK ELEKTRO</v>
      </c>
    </row>
    <row r="37" spans="1:17" ht="15.75" thickBot="1" x14ac:dyDescent="0.3">
      <c r="A37" s="7">
        <v>36</v>
      </c>
      <c r="B37" s="6">
        <v>2</v>
      </c>
      <c r="C37" s="12">
        <v>1121055</v>
      </c>
      <c r="D37" t="s">
        <v>49</v>
      </c>
      <c r="E37" s="12">
        <v>60</v>
      </c>
      <c r="F37" s="10" t="s">
        <v>20</v>
      </c>
      <c r="J37" s="138" t="s">
        <v>1292</v>
      </c>
      <c r="K37" s="138" t="s">
        <v>1292</v>
      </c>
      <c r="L37" s="138" t="s">
        <v>1292</v>
      </c>
      <c r="N37" s="83" t="s">
        <v>1292</v>
      </c>
      <c r="P37" t="str">
        <f>VLOOKUP(B37,PTN!A:B,2,FALSE)</f>
        <v>UNIVERSITAS MALIKUSSALEH</v>
      </c>
      <c r="Q37" t="str">
        <f t="shared" si="0"/>
        <v>UNIVERSITAS MALIKUSSALEHTEKNIK INDUSTRI</v>
      </c>
    </row>
    <row r="38" spans="1:17" ht="15.75" thickBot="1" x14ac:dyDescent="0.3">
      <c r="A38" s="7">
        <v>37</v>
      </c>
      <c r="B38" s="6">
        <v>2</v>
      </c>
      <c r="C38" s="13">
        <v>1121063</v>
      </c>
      <c r="D38" t="s">
        <v>50</v>
      </c>
      <c r="E38" s="13">
        <v>60</v>
      </c>
      <c r="F38" s="10" t="s">
        <v>20</v>
      </c>
      <c r="J38" s="138" t="s">
        <v>1292</v>
      </c>
      <c r="K38" s="138" t="s">
        <v>1292</v>
      </c>
      <c r="L38" s="138" t="s">
        <v>1292</v>
      </c>
      <c r="N38" s="83" t="s">
        <v>1292</v>
      </c>
      <c r="P38" t="str">
        <f>VLOOKUP(B38,PTN!A:B,2,FALSE)</f>
        <v>UNIVERSITAS MALIKUSSALEH</v>
      </c>
      <c r="Q38" t="str">
        <f t="shared" si="0"/>
        <v>UNIVERSITAS MALIKUSSALEHTEKNIK INFORMATIKA</v>
      </c>
    </row>
    <row r="39" spans="1:17" ht="15.75" thickBot="1" x14ac:dyDescent="0.3">
      <c r="A39" s="7">
        <v>38</v>
      </c>
      <c r="B39" s="6">
        <v>2</v>
      </c>
      <c r="C39" s="12">
        <v>1121032</v>
      </c>
      <c r="D39" t="s">
        <v>51</v>
      </c>
      <c r="E39" s="12">
        <v>75</v>
      </c>
      <c r="F39" s="10" t="s">
        <v>20</v>
      </c>
      <c r="J39" s="138" t="s">
        <v>1292</v>
      </c>
      <c r="K39" s="138" t="s">
        <v>1292</v>
      </c>
      <c r="L39" s="138" t="s">
        <v>1292</v>
      </c>
      <c r="N39" s="83" t="s">
        <v>1292</v>
      </c>
      <c r="P39" t="str">
        <f>VLOOKUP(B39,PTN!A:B,2,FALSE)</f>
        <v>UNIVERSITAS MALIKUSSALEH</v>
      </c>
      <c r="Q39" t="str">
        <f t="shared" si="0"/>
        <v>UNIVERSITAS MALIKUSSALEHTEKNIK KIMIA</v>
      </c>
    </row>
    <row r="40" spans="1:17" ht="15.75" thickBot="1" x14ac:dyDescent="0.3">
      <c r="A40" s="7">
        <v>39</v>
      </c>
      <c r="B40" s="6">
        <v>2</v>
      </c>
      <c r="C40" s="13">
        <v>1121183</v>
      </c>
      <c r="D40" t="s">
        <v>52</v>
      </c>
      <c r="E40" s="13">
        <v>24</v>
      </c>
      <c r="F40" s="10" t="s">
        <v>20</v>
      </c>
      <c r="J40" s="138" t="s">
        <v>1292</v>
      </c>
      <c r="K40" s="138" t="s">
        <v>1292</v>
      </c>
      <c r="L40" s="138" t="s">
        <v>1292</v>
      </c>
      <c r="N40" s="83" t="s">
        <v>1292</v>
      </c>
      <c r="P40" t="str">
        <f>VLOOKUP(B40,PTN!A:B,2,FALSE)</f>
        <v>UNIVERSITAS MALIKUSSALEH</v>
      </c>
      <c r="Q40" t="str">
        <f t="shared" si="0"/>
        <v>UNIVERSITAS MALIKUSSALEHTEKNIK MATERIAL</v>
      </c>
    </row>
    <row r="41" spans="1:17" ht="15.75" thickBot="1" x14ac:dyDescent="0.3">
      <c r="A41" s="7">
        <v>40</v>
      </c>
      <c r="B41" s="6">
        <v>2</v>
      </c>
      <c r="C41" s="12">
        <v>1121024</v>
      </c>
      <c r="D41" t="s">
        <v>53</v>
      </c>
      <c r="E41" s="12">
        <v>75</v>
      </c>
      <c r="F41" s="10" t="s">
        <v>20</v>
      </c>
      <c r="J41" s="138" t="s">
        <v>1292</v>
      </c>
      <c r="K41" s="138" t="s">
        <v>1292</v>
      </c>
      <c r="L41" s="138" t="s">
        <v>1292</v>
      </c>
      <c r="N41" s="83" t="s">
        <v>1292</v>
      </c>
      <c r="P41" t="str">
        <f>VLOOKUP(B41,PTN!A:B,2,FALSE)</f>
        <v>UNIVERSITAS MALIKUSSALEH</v>
      </c>
      <c r="Q41" t="str">
        <f t="shared" si="0"/>
        <v>UNIVERSITAS MALIKUSSALEHTEKNIK MESIN</v>
      </c>
    </row>
    <row r="42" spans="1:17" ht="15.75" thickBot="1" x14ac:dyDescent="0.3">
      <c r="A42" s="7">
        <v>41</v>
      </c>
      <c r="B42" s="6">
        <v>2</v>
      </c>
      <c r="C42" s="16">
        <v>1121016</v>
      </c>
      <c r="D42" t="s">
        <v>54</v>
      </c>
      <c r="E42" s="16">
        <v>75</v>
      </c>
      <c r="F42" s="10" t="s">
        <v>20</v>
      </c>
      <c r="J42" s="138" t="s">
        <v>1292</v>
      </c>
      <c r="K42" s="138" t="s">
        <v>1292</v>
      </c>
      <c r="L42" s="138" t="s">
        <v>1292</v>
      </c>
      <c r="N42" s="83" t="s">
        <v>1292</v>
      </c>
      <c r="P42" t="str">
        <f>VLOOKUP(B42,PTN!A:B,2,FALSE)</f>
        <v>UNIVERSITAS MALIKUSSALEH</v>
      </c>
      <c r="Q42" t="str">
        <f t="shared" si="0"/>
        <v>UNIVERSITAS MALIKUSSALEHTEKNIK SIPIL</v>
      </c>
    </row>
    <row r="43" spans="1:17" ht="16.5" thickTop="1" thickBot="1" x14ac:dyDescent="0.3">
      <c r="A43" s="7">
        <v>42</v>
      </c>
      <c r="B43" s="6">
        <v>2</v>
      </c>
      <c r="C43" s="12">
        <v>1122027</v>
      </c>
      <c r="D43" t="s">
        <v>55</v>
      </c>
      <c r="E43" s="12">
        <v>75</v>
      </c>
      <c r="F43" s="10" t="s">
        <v>13</v>
      </c>
      <c r="J43" s="138" t="s">
        <v>1292</v>
      </c>
      <c r="K43" s="138" t="s">
        <v>1292</v>
      </c>
      <c r="L43" s="138" t="s">
        <v>1292</v>
      </c>
      <c r="N43" s="83" t="s">
        <v>1292</v>
      </c>
      <c r="P43" t="str">
        <f>VLOOKUP(B43,PTN!A:B,2,FALSE)</f>
        <v>UNIVERSITAS MALIKUSSALEH</v>
      </c>
      <c r="Q43" t="str">
        <f t="shared" si="0"/>
        <v>UNIVERSITAS MALIKUSSALEHAKUNTANSI</v>
      </c>
    </row>
    <row r="44" spans="1:17" ht="15.75" thickBot="1" x14ac:dyDescent="0.3">
      <c r="A44" s="7">
        <v>43</v>
      </c>
      <c r="B44" s="6">
        <v>2</v>
      </c>
      <c r="C44" s="13">
        <v>1122074</v>
      </c>
      <c r="D44" t="s">
        <v>56</v>
      </c>
      <c r="E44" s="13">
        <v>36</v>
      </c>
      <c r="F44" s="10" t="s">
        <v>13</v>
      </c>
      <c r="J44" s="138" t="s">
        <v>1292</v>
      </c>
      <c r="K44" s="138" t="s">
        <v>1292</v>
      </c>
      <c r="L44" s="138" t="s">
        <v>1292</v>
      </c>
      <c r="N44" s="83" t="s">
        <v>1292</v>
      </c>
      <c r="P44" t="str">
        <f>VLOOKUP(B44,PTN!A:B,2,FALSE)</f>
        <v>UNIVERSITAS MALIKUSSALEH</v>
      </c>
      <c r="Q44" t="str">
        <f t="shared" si="0"/>
        <v>UNIVERSITAS MALIKUSSALEHANTROPOLOGI</v>
      </c>
    </row>
    <row r="45" spans="1:17" ht="15.75" thickBot="1" x14ac:dyDescent="0.3">
      <c r="A45" s="7">
        <v>44</v>
      </c>
      <c r="B45" s="6">
        <v>2</v>
      </c>
      <c r="C45" s="12">
        <v>1122101</v>
      </c>
      <c r="D45" t="s">
        <v>57</v>
      </c>
      <c r="E45" s="12">
        <v>48</v>
      </c>
      <c r="F45" s="10" t="s">
        <v>13</v>
      </c>
      <c r="J45" s="138" t="s">
        <v>1292</v>
      </c>
      <c r="K45" s="138" t="s">
        <v>1292</v>
      </c>
      <c r="L45" s="138" t="s">
        <v>1292</v>
      </c>
      <c r="N45" s="83" t="s">
        <v>1292</v>
      </c>
      <c r="P45" t="str">
        <f>VLOOKUP(B45,PTN!A:B,2,FALSE)</f>
        <v>UNIVERSITAS MALIKUSSALEH</v>
      </c>
      <c r="Q45" t="str">
        <f t="shared" si="0"/>
        <v>UNIVERSITAS MALIKUSSALEHEKONOMI ISLAM</v>
      </c>
    </row>
    <row r="46" spans="1:17" ht="15.75" thickBot="1" x14ac:dyDescent="0.3">
      <c r="A46" s="7">
        <v>45</v>
      </c>
      <c r="B46" s="6">
        <v>2</v>
      </c>
      <c r="C46" s="13">
        <v>1122043</v>
      </c>
      <c r="D46" t="s">
        <v>29</v>
      </c>
      <c r="E46" s="13">
        <v>81</v>
      </c>
      <c r="F46" s="10" t="s">
        <v>13</v>
      </c>
      <c r="J46" s="138" t="s">
        <v>1292</v>
      </c>
      <c r="K46" s="138" t="s">
        <v>1292</v>
      </c>
      <c r="L46" s="138" t="s">
        <v>1292</v>
      </c>
      <c r="N46" s="83" t="s">
        <v>1292</v>
      </c>
      <c r="P46" t="str">
        <f>VLOOKUP(B46,PTN!A:B,2,FALSE)</f>
        <v>UNIVERSITAS MALIKUSSALEH</v>
      </c>
      <c r="Q46" t="str">
        <f t="shared" si="0"/>
        <v>UNIVERSITAS MALIKUSSALEHILMU ADMINISTRASI NEGARA</v>
      </c>
    </row>
    <row r="47" spans="1:17" ht="15.75" thickBot="1" x14ac:dyDescent="0.3">
      <c r="A47" s="7">
        <v>46</v>
      </c>
      <c r="B47" s="6">
        <v>2</v>
      </c>
      <c r="C47" s="12">
        <v>1122132</v>
      </c>
      <c r="D47" t="s">
        <v>58</v>
      </c>
      <c r="E47" s="12">
        <v>27</v>
      </c>
      <c r="F47" s="10" t="s">
        <v>13</v>
      </c>
      <c r="J47" s="138" t="s">
        <v>1292</v>
      </c>
      <c r="K47" s="138" t="s">
        <v>1292</v>
      </c>
      <c r="L47" s="138" t="s">
        <v>1292</v>
      </c>
      <c r="N47" s="83" t="s">
        <v>1292</v>
      </c>
      <c r="P47" t="str">
        <f>VLOOKUP(B47,PTN!A:B,2,FALSE)</f>
        <v>UNIVERSITAS MALIKUSSALEH</v>
      </c>
      <c r="Q47" t="str">
        <f t="shared" si="0"/>
        <v>UNIVERSITAS MALIKUSSALEHILMU ADMINISTRASI NIAGA</v>
      </c>
    </row>
    <row r="48" spans="1:17" ht="15.75" thickBot="1" x14ac:dyDescent="0.3">
      <c r="A48" s="7">
        <v>47</v>
      </c>
      <c r="B48" s="6">
        <v>2</v>
      </c>
      <c r="C48" s="13">
        <v>1122035</v>
      </c>
      <c r="D48" t="s">
        <v>59</v>
      </c>
      <c r="E48" s="13">
        <v>75</v>
      </c>
      <c r="F48" s="10" t="s">
        <v>13</v>
      </c>
      <c r="J48" s="138" t="s">
        <v>1292</v>
      </c>
      <c r="K48" s="138" t="s">
        <v>1292</v>
      </c>
      <c r="L48" s="138" t="s">
        <v>1292</v>
      </c>
      <c r="N48" s="83" t="s">
        <v>1292</v>
      </c>
      <c r="P48" t="str">
        <f>VLOOKUP(B48,PTN!A:B,2,FALSE)</f>
        <v>UNIVERSITAS MALIKUSSALEH</v>
      </c>
      <c r="Q48" t="str">
        <f t="shared" si="0"/>
        <v>UNIVERSITAS MALIKUSSALEHILMU EKONOMI &amp; STUDI PEMBANGUNAN</v>
      </c>
    </row>
    <row r="49" spans="1:17" ht="15.75" thickBot="1" x14ac:dyDescent="0.3">
      <c r="A49" s="7">
        <v>48</v>
      </c>
      <c r="B49" s="6">
        <v>2</v>
      </c>
      <c r="C49" s="12">
        <v>1122097</v>
      </c>
      <c r="D49" t="s">
        <v>31</v>
      </c>
      <c r="E49" s="12">
        <v>120</v>
      </c>
      <c r="F49" s="10" t="s">
        <v>13</v>
      </c>
      <c r="J49" s="138" t="s">
        <v>1292</v>
      </c>
      <c r="K49" s="138" t="s">
        <v>1292</v>
      </c>
      <c r="L49" s="138" t="s">
        <v>1292</v>
      </c>
      <c r="N49" s="83" t="s">
        <v>1292</v>
      </c>
      <c r="P49" t="str">
        <f>VLOOKUP(B49,PTN!A:B,2,FALSE)</f>
        <v>UNIVERSITAS MALIKUSSALEH</v>
      </c>
      <c r="Q49" t="str">
        <f t="shared" si="0"/>
        <v>UNIVERSITAS MALIKUSSALEHILMU HUKUM</v>
      </c>
    </row>
    <row r="50" spans="1:17" ht="15.75" thickBot="1" x14ac:dyDescent="0.3">
      <c r="A50" s="7">
        <v>49</v>
      </c>
      <c r="B50" s="6">
        <v>2</v>
      </c>
      <c r="C50" s="13">
        <v>1122082</v>
      </c>
      <c r="D50" t="s">
        <v>60</v>
      </c>
      <c r="E50" s="13">
        <v>95</v>
      </c>
      <c r="F50" s="10" t="s">
        <v>13</v>
      </c>
      <c r="J50" s="138" t="s">
        <v>1292</v>
      </c>
      <c r="K50" s="138" t="s">
        <v>1292</v>
      </c>
      <c r="L50" s="138" t="s">
        <v>1292</v>
      </c>
      <c r="N50" s="83" t="s">
        <v>1292</v>
      </c>
      <c r="P50" t="str">
        <f>VLOOKUP(B50,PTN!A:B,2,FALSE)</f>
        <v>UNIVERSITAS MALIKUSSALEH</v>
      </c>
      <c r="Q50" t="str">
        <f t="shared" si="0"/>
        <v>UNIVERSITAS MALIKUSSALEHILMU KOMUNIKASI</v>
      </c>
    </row>
    <row r="51" spans="1:17" ht="15.75" thickBot="1" x14ac:dyDescent="0.3">
      <c r="A51" s="7">
        <v>50</v>
      </c>
      <c r="B51" s="6">
        <v>2</v>
      </c>
      <c r="C51" s="12">
        <v>1122066</v>
      </c>
      <c r="D51" t="s">
        <v>33</v>
      </c>
      <c r="E51" s="12">
        <v>48</v>
      </c>
      <c r="F51" s="10" t="s">
        <v>13</v>
      </c>
      <c r="J51" s="138" t="s">
        <v>1292</v>
      </c>
      <c r="K51" s="138" t="s">
        <v>1292</v>
      </c>
      <c r="L51" s="138" t="s">
        <v>1292</v>
      </c>
      <c r="N51" s="83" t="s">
        <v>1292</v>
      </c>
      <c r="P51" t="str">
        <f>VLOOKUP(B51,PTN!A:B,2,FALSE)</f>
        <v>UNIVERSITAS MALIKUSSALEH</v>
      </c>
      <c r="Q51" t="str">
        <f t="shared" si="0"/>
        <v>UNIVERSITAS MALIKUSSALEHILMU POLITIK</v>
      </c>
    </row>
    <row r="52" spans="1:17" ht="15.75" thickBot="1" x14ac:dyDescent="0.3">
      <c r="A52" s="7">
        <v>51</v>
      </c>
      <c r="B52" s="6">
        <v>2</v>
      </c>
      <c r="C52" s="13">
        <v>1122012</v>
      </c>
      <c r="D52" t="s">
        <v>61</v>
      </c>
      <c r="E52" s="13">
        <v>90</v>
      </c>
      <c r="F52" s="10" t="s">
        <v>13</v>
      </c>
      <c r="J52" s="138" t="s">
        <v>1292</v>
      </c>
      <c r="K52" s="138" t="s">
        <v>1292</v>
      </c>
      <c r="L52" s="138" t="s">
        <v>1292</v>
      </c>
      <c r="N52" s="83" t="s">
        <v>1292</v>
      </c>
      <c r="P52" t="str">
        <f>VLOOKUP(B52,PTN!A:B,2,FALSE)</f>
        <v>UNIVERSITAS MALIKUSSALEH</v>
      </c>
      <c r="Q52" t="str">
        <f t="shared" si="0"/>
        <v>UNIVERSITAS MALIKUSSALEHMANAJEMEN</v>
      </c>
    </row>
    <row r="53" spans="1:17" ht="15.75" thickBot="1" x14ac:dyDescent="0.3">
      <c r="A53" s="7">
        <v>52</v>
      </c>
      <c r="B53" s="6">
        <v>2</v>
      </c>
      <c r="C53" s="12">
        <v>1122116</v>
      </c>
      <c r="D53" t="s">
        <v>36</v>
      </c>
      <c r="E53" s="12">
        <v>45</v>
      </c>
      <c r="F53" s="10" t="s">
        <v>13</v>
      </c>
      <c r="J53" s="138" t="s">
        <v>1292</v>
      </c>
      <c r="K53" s="138" t="s">
        <v>1292</v>
      </c>
      <c r="L53" s="138" t="s">
        <v>1292</v>
      </c>
      <c r="N53" s="83" t="s">
        <v>1292</v>
      </c>
      <c r="P53" t="str">
        <f>VLOOKUP(B53,PTN!A:B,2,FALSE)</f>
        <v>UNIVERSITAS MALIKUSSALEH</v>
      </c>
      <c r="Q53" t="str">
        <f t="shared" si="0"/>
        <v>UNIVERSITAS MALIKUSSALEHPSIKOLOGI</v>
      </c>
    </row>
    <row r="54" spans="1:17" ht="15.75" thickBot="1" x14ac:dyDescent="0.3">
      <c r="A54" s="7">
        <v>53</v>
      </c>
      <c r="B54" s="6">
        <v>2</v>
      </c>
      <c r="C54" s="13">
        <v>1122124</v>
      </c>
      <c r="D54" t="s">
        <v>62</v>
      </c>
      <c r="E54" s="13">
        <v>24</v>
      </c>
      <c r="F54" s="10" t="s">
        <v>13</v>
      </c>
      <c r="J54" s="138" t="s">
        <v>1292</v>
      </c>
      <c r="K54" s="138" t="s">
        <v>1292</v>
      </c>
      <c r="L54" s="138" t="s">
        <v>1292</v>
      </c>
      <c r="N54" s="83" t="s">
        <v>1292</v>
      </c>
      <c r="P54" t="str">
        <f>VLOOKUP(B54,PTN!A:B,2,FALSE)</f>
        <v>UNIVERSITAS MALIKUSSALEH</v>
      </c>
      <c r="Q54" t="str">
        <f t="shared" si="0"/>
        <v>UNIVERSITAS MALIKUSSALEHSASTRA INDONESIA</v>
      </c>
    </row>
    <row r="55" spans="1:17" ht="15.75" thickBot="1" x14ac:dyDescent="0.3">
      <c r="A55" s="7">
        <v>54</v>
      </c>
      <c r="B55" s="6">
        <v>2</v>
      </c>
      <c r="C55" s="14">
        <v>1122051</v>
      </c>
      <c r="D55" t="s">
        <v>63</v>
      </c>
      <c r="E55" s="14">
        <v>60</v>
      </c>
      <c r="F55" s="10" t="s">
        <v>13</v>
      </c>
      <c r="J55" s="138" t="s">
        <v>1292</v>
      </c>
      <c r="K55" s="138" t="s">
        <v>1292</v>
      </c>
      <c r="L55" s="138" t="s">
        <v>1292</v>
      </c>
      <c r="N55" s="83" t="s">
        <v>1292</v>
      </c>
      <c r="P55" t="str">
        <f>VLOOKUP(B55,PTN!A:B,2,FALSE)</f>
        <v>UNIVERSITAS MALIKUSSALEH</v>
      </c>
      <c r="Q55" t="str">
        <f t="shared" si="0"/>
        <v>UNIVERSITAS MALIKUSSALEHSOSIOLOGI</v>
      </c>
    </row>
    <row r="56" spans="1:17" ht="16.5" thickTop="1" thickBot="1" x14ac:dyDescent="0.3">
      <c r="A56" s="7">
        <v>55</v>
      </c>
      <c r="B56" s="6">
        <v>4</v>
      </c>
      <c r="C56" s="17">
        <v>1141021</v>
      </c>
      <c r="D56" t="s">
        <v>37</v>
      </c>
      <c r="E56" s="17">
        <v>32</v>
      </c>
      <c r="F56" s="10" t="s">
        <v>20</v>
      </c>
      <c r="J56" s="138" t="s">
        <v>1292</v>
      </c>
      <c r="K56" s="138" t="s">
        <v>1292</v>
      </c>
      <c r="L56" s="138" t="s">
        <v>1292</v>
      </c>
      <c r="N56" s="83" t="s">
        <v>1292</v>
      </c>
      <c r="P56" t="str">
        <f>VLOOKUP(B56,PTN!A:B,2,FALSE)</f>
        <v>UNIVERSITAS SAMUDERA</v>
      </c>
      <c r="Q56" t="str">
        <f t="shared" si="0"/>
        <v>UNIVERSITAS SAMUDERAAGRIBISNIS</v>
      </c>
    </row>
    <row r="57" spans="1:17" ht="15.75" thickBot="1" x14ac:dyDescent="0.3">
      <c r="A57" s="7">
        <v>56</v>
      </c>
      <c r="B57" s="6">
        <v>4</v>
      </c>
      <c r="C57" s="18">
        <v>1141013</v>
      </c>
      <c r="D57" t="s">
        <v>64</v>
      </c>
      <c r="E57" s="18">
        <v>32</v>
      </c>
      <c r="F57" s="10" t="s">
        <v>20</v>
      </c>
      <c r="J57" s="138" t="s">
        <v>1292</v>
      </c>
      <c r="K57" s="138" t="s">
        <v>1292</v>
      </c>
      <c r="L57" s="138" t="s">
        <v>1292</v>
      </c>
      <c r="N57" s="83" t="s">
        <v>1292</v>
      </c>
      <c r="P57" t="str">
        <f>VLOOKUP(B57,PTN!A:B,2,FALSE)</f>
        <v>UNIVERSITAS SAMUDERA</v>
      </c>
      <c r="Q57" t="str">
        <f t="shared" si="0"/>
        <v>UNIVERSITAS SAMUDERAAGROTEKNOLOGI</v>
      </c>
    </row>
    <row r="58" spans="1:17" ht="15.75" thickBot="1" x14ac:dyDescent="0.3">
      <c r="A58" s="7">
        <v>57</v>
      </c>
      <c r="B58" s="6">
        <v>4</v>
      </c>
      <c r="C58" s="17">
        <v>1141156</v>
      </c>
      <c r="D58" t="s">
        <v>21</v>
      </c>
      <c r="E58" s="17">
        <v>16</v>
      </c>
      <c r="F58" s="10" t="s">
        <v>20</v>
      </c>
      <c r="J58" s="138" t="s">
        <v>1292</v>
      </c>
      <c r="K58" s="138" t="s">
        <v>1292</v>
      </c>
      <c r="L58" s="138" t="s">
        <v>1292</v>
      </c>
      <c r="N58" s="83" t="s">
        <v>1292</v>
      </c>
      <c r="P58" t="str">
        <f>VLOOKUP(B58,PTN!A:B,2,FALSE)</f>
        <v>UNIVERSITAS SAMUDERA</v>
      </c>
      <c r="Q58" t="str">
        <f t="shared" si="0"/>
        <v>UNIVERSITAS SAMUDERABIOLOGI</v>
      </c>
    </row>
    <row r="59" spans="1:17" ht="15.75" thickBot="1" x14ac:dyDescent="0.3">
      <c r="A59" s="7">
        <v>58</v>
      </c>
      <c r="B59" s="6">
        <v>4</v>
      </c>
      <c r="C59" s="18">
        <v>1141036</v>
      </c>
      <c r="D59" t="s">
        <v>39</v>
      </c>
      <c r="E59" s="18">
        <v>32</v>
      </c>
      <c r="F59" s="10" t="s">
        <v>20</v>
      </c>
      <c r="J59" s="138" t="s">
        <v>1292</v>
      </c>
      <c r="K59" s="138" t="s">
        <v>1292</v>
      </c>
      <c r="L59" s="138" t="s">
        <v>1292</v>
      </c>
      <c r="N59" s="83" t="s">
        <v>1292</v>
      </c>
      <c r="P59" t="str">
        <f>VLOOKUP(B59,PTN!A:B,2,FALSE)</f>
        <v>UNIVERSITAS SAMUDERA</v>
      </c>
      <c r="Q59" t="str">
        <f t="shared" si="0"/>
        <v>UNIVERSITAS SAMUDERABUDIDAYA PERAIRAN</v>
      </c>
    </row>
    <row r="60" spans="1:17" ht="15.75" thickBot="1" x14ac:dyDescent="0.3">
      <c r="A60" s="7">
        <v>59</v>
      </c>
      <c r="B60" s="6">
        <v>4</v>
      </c>
      <c r="C60" s="17">
        <v>1141133</v>
      </c>
      <c r="D60" t="s">
        <v>65</v>
      </c>
      <c r="E60" s="17">
        <v>16</v>
      </c>
      <c r="F60" s="10" t="s">
        <v>20</v>
      </c>
      <c r="J60" s="138" t="s">
        <v>1292</v>
      </c>
      <c r="K60" s="138" t="s">
        <v>1292</v>
      </c>
      <c r="L60" s="138" t="s">
        <v>1292</v>
      </c>
      <c r="N60" s="83" t="s">
        <v>1292</v>
      </c>
      <c r="P60" t="str">
        <f>VLOOKUP(B60,PTN!A:B,2,FALSE)</f>
        <v>UNIVERSITAS SAMUDERA</v>
      </c>
      <c r="Q60" t="str">
        <f t="shared" si="0"/>
        <v>UNIVERSITAS SAMUDERAFISIKA</v>
      </c>
    </row>
    <row r="61" spans="1:17" ht="15.75" thickBot="1" x14ac:dyDescent="0.3">
      <c r="A61" s="7">
        <v>60</v>
      </c>
      <c r="B61" s="6">
        <v>4</v>
      </c>
      <c r="C61" s="18">
        <v>1141141</v>
      </c>
      <c r="D61" t="s">
        <v>22</v>
      </c>
      <c r="E61" s="18">
        <v>16</v>
      </c>
      <c r="F61" s="10" t="s">
        <v>20</v>
      </c>
      <c r="J61" s="138" t="s">
        <v>1292</v>
      </c>
      <c r="K61" s="138" t="s">
        <v>1292</v>
      </c>
      <c r="L61" s="138" t="s">
        <v>1292</v>
      </c>
      <c r="N61" s="83" t="s">
        <v>1292</v>
      </c>
      <c r="P61" t="str">
        <f>VLOOKUP(B61,PTN!A:B,2,FALSE)</f>
        <v>UNIVERSITAS SAMUDERA</v>
      </c>
      <c r="Q61" t="str">
        <f t="shared" si="0"/>
        <v>UNIVERSITAS SAMUDERAKIMIA</v>
      </c>
    </row>
    <row r="62" spans="1:17" ht="15.75" thickBot="1" x14ac:dyDescent="0.3">
      <c r="A62" s="7">
        <v>61</v>
      </c>
      <c r="B62" s="6">
        <v>4</v>
      </c>
      <c r="C62" s="17">
        <v>1141125</v>
      </c>
      <c r="D62" t="s">
        <v>66</v>
      </c>
      <c r="E62" s="17">
        <v>16</v>
      </c>
      <c r="F62" s="10" t="s">
        <v>20</v>
      </c>
      <c r="J62" s="138" t="s">
        <v>1292</v>
      </c>
      <c r="K62" s="138" t="s">
        <v>1292</v>
      </c>
      <c r="L62" s="138" t="s">
        <v>1292</v>
      </c>
      <c r="N62" s="83" t="s">
        <v>1292</v>
      </c>
      <c r="P62" t="str">
        <f>VLOOKUP(B62,PTN!A:B,2,FALSE)</f>
        <v>UNIVERSITAS SAMUDERA</v>
      </c>
      <c r="Q62" t="str">
        <f t="shared" si="0"/>
        <v>UNIVERSITAS SAMUDERAMATEMATIKA</v>
      </c>
    </row>
    <row r="63" spans="1:17" ht="15.75" thickBot="1" x14ac:dyDescent="0.3">
      <c r="A63" s="7">
        <v>62</v>
      </c>
      <c r="B63" s="6">
        <v>4</v>
      </c>
      <c r="C63" s="18">
        <v>1141075</v>
      </c>
      <c r="D63" t="s">
        <v>67</v>
      </c>
      <c r="E63" s="18">
        <v>32</v>
      </c>
      <c r="F63" s="10" t="s">
        <v>20</v>
      </c>
      <c r="J63" s="138" t="s">
        <v>1292</v>
      </c>
      <c r="K63" s="138" t="s">
        <v>1292</v>
      </c>
      <c r="L63" s="138" t="s">
        <v>1292</v>
      </c>
      <c r="N63" s="83" t="s">
        <v>1292</v>
      </c>
      <c r="P63" t="str">
        <f>VLOOKUP(B63,PTN!A:B,2,FALSE)</f>
        <v>UNIVERSITAS SAMUDERA</v>
      </c>
      <c r="Q63" t="str">
        <f t="shared" si="0"/>
        <v>UNIVERSITAS SAMUDERAPENDIDIKAN BIOLOGI</v>
      </c>
    </row>
    <row r="64" spans="1:17" ht="15.75" thickBot="1" x14ac:dyDescent="0.3">
      <c r="A64" s="7">
        <v>63</v>
      </c>
      <c r="B64" s="6">
        <v>4</v>
      </c>
      <c r="C64" s="17">
        <v>1141052</v>
      </c>
      <c r="D64" t="s">
        <v>42</v>
      </c>
      <c r="E64" s="17">
        <v>16</v>
      </c>
      <c r="F64" s="10" t="s">
        <v>20</v>
      </c>
      <c r="J64" s="138" t="s">
        <v>1292</v>
      </c>
      <c r="K64" s="138" t="s">
        <v>1292</v>
      </c>
      <c r="L64" s="138" t="s">
        <v>1292</v>
      </c>
      <c r="N64" s="83" t="s">
        <v>1292</v>
      </c>
      <c r="P64" t="str">
        <f>VLOOKUP(B64,PTN!A:B,2,FALSE)</f>
        <v>UNIVERSITAS SAMUDERA</v>
      </c>
      <c r="Q64" t="str">
        <f t="shared" si="0"/>
        <v>UNIVERSITAS SAMUDERAPENDIDIKAN FISIKA</v>
      </c>
    </row>
    <row r="65" spans="1:17" ht="15.75" thickBot="1" x14ac:dyDescent="0.3">
      <c r="A65" s="7">
        <v>64</v>
      </c>
      <c r="B65" s="6">
        <v>4</v>
      </c>
      <c r="C65" s="18">
        <v>1141067</v>
      </c>
      <c r="D65" t="s">
        <v>43</v>
      </c>
      <c r="E65" s="18">
        <v>16</v>
      </c>
      <c r="F65" s="10" t="s">
        <v>20</v>
      </c>
      <c r="J65" s="138" t="s">
        <v>1292</v>
      </c>
      <c r="K65" s="138" t="s">
        <v>1292</v>
      </c>
      <c r="L65" s="138" t="s">
        <v>1292</v>
      </c>
      <c r="N65" s="83" t="s">
        <v>1292</v>
      </c>
      <c r="P65" t="str">
        <f>VLOOKUP(B65,PTN!A:B,2,FALSE)</f>
        <v>UNIVERSITAS SAMUDERA</v>
      </c>
      <c r="Q65" t="str">
        <f t="shared" si="0"/>
        <v>UNIVERSITAS SAMUDERAPENDIDIKAN KIMIA</v>
      </c>
    </row>
    <row r="66" spans="1:17" ht="15.75" thickBot="1" x14ac:dyDescent="0.3">
      <c r="A66" s="7">
        <v>65</v>
      </c>
      <c r="B66" s="6">
        <v>4</v>
      </c>
      <c r="C66" s="17">
        <v>1141044</v>
      </c>
      <c r="D66" t="s">
        <v>44</v>
      </c>
      <c r="E66" s="17">
        <v>16</v>
      </c>
      <c r="F66" s="10" t="s">
        <v>20</v>
      </c>
      <c r="J66" s="138" t="s">
        <v>1292</v>
      </c>
      <c r="K66" s="138" t="s">
        <v>1292</v>
      </c>
      <c r="L66" s="138" t="s">
        <v>1292</v>
      </c>
      <c r="N66" s="83" t="s">
        <v>1292</v>
      </c>
      <c r="P66" t="str">
        <f>VLOOKUP(B66,PTN!A:B,2,FALSE)</f>
        <v>UNIVERSITAS SAMUDERA</v>
      </c>
      <c r="Q66" t="str">
        <f t="shared" si="0"/>
        <v>UNIVERSITAS SAMUDERAPENDIDIKAN MATEMATIKA</v>
      </c>
    </row>
    <row r="67" spans="1:17" ht="15.75" thickBot="1" x14ac:dyDescent="0.3">
      <c r="A67" s="7">
        <v>66</v>
      </c>
      <c r="B67" s="6">
        <v>4</v>
      </c>
      <c r="C67" s="18">
        <v>1141102</v>
      </c>
      <c r="D67" t="s">
        <v>49</v>
      </c>
      <c r="E67" s="18">
        <v>16</v>
      </c>
      <c r="F67" s="10" t="s">
        <v>20</v>
      </c>
      <c r="J67" s="138" t="s">
        <v>1292</v>
      </c>
      <c r="K67" s="138" t="s">
        <v>1292</v>
      </c>
      <c r="L67" s="138" t="s">
        <v>1292</v>
      </c>
      <c r="N67" s="83" t="s">
        <v>1292</v>
      </c>
      <c r="P67" t="str">
        <f>VLOOKUP(B67,PTN!A:B,2,FALSE)</f>
        <v>UNIVERSITAS SAMUDERA</v>
      </c>
      <c r="Q67" t="str">
        <f t="shared" ref="Q67:Q130" si="1">P67&amp;D67</f>
        <v>UNIVERSITAS SAMUDERATEKNIK INDUSTRI</v>
      </c>
    </row>
    <row r="68" spans="1:17" ht="15.75" thickBot="1" x14ac:dyDescent="0.3">
      <c r="A68" s="7">
        <v>67</v>
      </c>
      <c r="B68" s="6">
        <v>4</v>
      </c>
      <c r="C68" s="17">
        <v>1141117</v>
      </c>
      <c r="D68" t="s">
        <v>50</v>
      </c>
      <c r="E68" s="17">
        <v>32</v>
      </c>
      <c r="F68" s="10" t="s">
        <v>20</v>
      </c>
      <c r="J68" s="138" t="s">
        <v>1292</v>
      </c>
      <c r="K68" s="138" t="s">
        <v>1292</v>
      </c>
      <c r="L68" s="138" t="s">
        <v>1292</v>
      </c>
      <c r="N68" s="83" t="s">
        <v>1292</v>
      </c>
      <c r="P68" t="str">
        <f>VLOOKUP(B68,PTN!A:B,2,FALSE)</f>
        <v>UNIVERSITAS SAMUDERA</v>
      </c>
      <c r="Q68" t="str">
        <f t="shared" si="1"/>
        <v>UNIVERSITAS SAMUDERATEKNIK INFORMATIKA</v>
      </c>
    </row>
    <row r="69" spans="1:17" ht="15.75" thickBot="1" x14ac:dyDescent="0.3">
      <c r="A69" s="7">
        <v>68</v>
      </c>
      <c r="B69" s="6">
        <v>4</v>
      </c>
      <c r="C69" s="18">
        <v>1141083</v>
      </c>
      <c r="D69" t="s">
        <v>53</v>
      </c>
      <c r="E69" s="18">
        <v>32</v>
      </c>
      <c r="F69" s="10" t="s">
        <v>20</v>
      </c>
      <c r="J69" s="138" t="s">
        <v>1292</v>
      </c>
      <c r="K69" s="138" t="s">
        <v>1292</v>
      </c>
      <c r="L69" s="138" t="s">
        <v>1292</v>
      </c>
      <c r="N69" s="83" t="s">
        <v>1292</v>
      </c>
      <c r="P69" t="str">
        <f>VLOOKUP(B69,PTN!A:B,2,FALSE)</f>
        <v>UNIVERSITAS SAMUDERA</v>
      </c>
      <c r="Q69" t="str">
        <f t="shared" si="1"/>
        <v>UNIVERSITAS SAMUDERATEKNIK MESIN</v>
      </c>
    </row>
    <row r="70" spans="1:17" ht="15.75" thickBot="1" x14ac:dyDescent="0.3">
      <c r="A70" s="7">
        <v>69</v>
      </c>
      <c r="B70" s="6">
        <v>4</v>
      </c>
      <c r="C70" s="19">
        <v>1141091</v>
      </c>
      <c r="D70" t="s">
        <v>54</v>
      </c>
      <c r="E70" s="19">
        <v>32</v>
      </c>
      <c r="F70" s="10" t="s">
        <v>20</v>
      </c>
      <c r="J70" s="138" t="s">
        <v>1292</v>
      </c>
      <c r="K70" s="138" t="s">
        <v>1292</v>
      </c>
      <c r="L70" s="138" t="s">
        <v>1292</v>
      </c>
      <c r="N70" s="83" t="s">
        <v>1292</v>
      </c>
      <c r="P70" t="str">
        <f>VLOOKUP(B70,PTN!A:B,2,FALSE)</f>
        <v>UNIVERSITAS SAMUDERA</v>
      </c>
      <c r="Q70" t="str">
        <f t="shared" si="1"/>
        <v>UNIVERSITAS SAMUDERATEKNIK SIPIL</v>
      </c>
    </row>
    <row r="71" spans="1:17" ht="16.5" thickTop="1" thickBot="1" x14ac:dyDescent="0.3">
      <c r="A71" s="7">
        <v>70</v>
      </c>
      <c r="B71" s="6">
        <v>4</v>
      </c>
      <c r="C71" s="12">
        <v>1142105</v>
      </c>
      <c r="D71" t="s">
        <v>55</v>
      </c>
      <c r="E71" s="12">
        <v>32</v>
      </c>
      <c r="F71" s="10" t="s">
        <v>13</v>
      </c>
      <c r="J71" s="138" t="s">
        <v>1292</v>
      </c>
      <c r="K71" s="138" t="s">
        <v>1292</v>
      </c>
      <c r="L71" s="138" t="s">
        <v>1292</v>
      </c>
      <c r="N71" s="83" t="s">
        <v>1292</v>
      </c>
      <c r="P71" t="str">
        <f>VLOOKUP(B71,PTN!A:B,2,FALSE)</f>
        <v>UNIVERSITAS SAMUDERA</v>
      </c>
      <c r="Q71" t="str">
        <f t="shared" si="1"/>
        <v>UNIVERSITAS SAMUDERAAKUNTANSI</v>
      </c>
    </row>
    <row r="72" spans="1:17" ht="15.75" thickBot="1" x14ac:dyDescent="0.3">
      <c r="A72" s="7">
        <v>71</v>
      </c>
      <c r="B72" s="6">
        <v>4</v>
      </c>
      <c r="C72" s="13">
        <v>1142024</v>
      </c>
      <c r="D72" t="s">
        <v>68</v>
      </c>
      <c r="E72" s="13">
        <v>48</v>
      </c>
      <c r="F72" s="10" t="s">
        <v>13</v>
      </c>
      <c r="J72" s="138" t="s">
        <v>1292</v>
      </c>
      <c r="K72" s="138" t="s">
        <v>1292</v>
      </c>
      <c r="L72" s="138" t="s">
        <v>1292</v>
      </c>
      <c r="N72" s="83" t="s">
        <v>1292</v>
      </c>
      <c r="P72" t="str">
        <f>VLOOKUP(B72,PTN!A:B,2,FALSE)</f>
        <v>UNIVERSITAS SAMUDERA</v>
      </c>
      <c r="Q72" t="str">
        <f t="shared" si="1"/>
        <v>UNIVERSITAS SAMUDERAEKONOMI MANAJEMEN</v>
      </c>
    </row>
    <row r="73" spans="1:17" ht="15.75" thickBot="1" x14ac:dyDescent="0.3">
      <c r="A73" s="7">
        <v>72</v>
      </c>
      <c r="B73" s="6">
        <v>4</v>
      </c>
      <c r="C73" s="12">
        <v>1142032</v>
      </c>
      <c r="D73" t="s">
        <v>69</v>
      </c>
      <c r="E73" s="12">
        <v>32</v>
      </c>
      <c r="F73" s="10" t="s">
        <v>13</v>
      </c>
      <c r="J73" s="138" t="s">
        <v>1292</v>
      </c>
      <c r="K73" s="138" t="s">
        <v>1292</v>
      </c>
      <c r="L73" s="138" t="s">
        <v>1292</v>
      </c>
      <c r="N73" s="83" t="s">
        <v>1292</v>
      </c>
      <c r="P73" t="str">
        <f>VLOOKUP(B73,PTN!A:B,2,FALSE)</f>
        <v>UNIVERSITAS SAMUDERA</v>
      </c>
      <c r="Q73" t="str">
        <f t="shared" si="1"/>
        <v>UNIVERSITAS SAMUDERAEKONOMI PEMBANGUNAN</v>
      </c>
    </row>
    <row r="74" spans="1:17" ht="15.75" thickBot="1" x14ac:dyDescent="0.3">
      <c r="A74" s="7">
        <v>73</v>
      </c>
      <c r="B74" s="6">
        <v>4</v>
      </c>
      <c r="C74" s="13">
        <v>1142016</v>
      </c>
      <c r="D74" t="s">
        <v>31</v>
      </c>
      <c r="E74" s="13">
        <v>48</v>
      </c>
      <c r="F74" s="10" t="s">
        <v>13</v>
      </c>
      <c r="J74" s="138" t="s">
        <v>1292</v>
      </c>
      <c r="K74" s="138" t="s">
        <v>1292</v>
      </c>
      <c r="L74" s="138" t="s">
        <v>1292</v>
      </c>
      <c r="N74" s="83" t="s">
        <v>1292</v>
      </c>
      <c r="P74" t="str">
        <f>VLOOKUP(B74,PTN!A:B,2,FALSE)</f>
        <v>UNIVERSITAS SAMUDERA</v>
      </c>
      <c r="Q74" t="str">
        <f t="shared" si="1"/>
        <v>UNIVERSITAS SAMUDERAILMU HUKUM</v>
      </c>
    </row>
    <row r="75" spans="1:17" ht="15.75" thickBot="1" x14ac:dyDescent="0.3">
      <c r="A75" s="7">
        <v>74</v>
      </c>
      <c r="B75" s="6">
        <v>4</v>
      </c>
      <c r="C75" s="12">
        <v>1142094</v>
      </c>
      <c r="D75" t="s">
        <v>70</v>
      </c>
      <c r="E75" s="12">
        <v>16</v>
      </c>
      <c r="F75" s="10" t="s">
        <v>13</v>
      </c>
      <c r="J75" s="138" t="s">
        <v>1292</v>
      </c>
      <c r="K75" s="138" t="s">
        <v>1292</v>
      </c>
      <c r="L75" s="138" t="s">
        <v>1292</v>
      </c>
      <c r="N75" s="83" t="s">
        <v>1292</v>
      </c>
      <c r="P75" t="str">
        <f>VLOOKUP(B75,PTN!A:B,2,FALSE)</f>
        <v>UNIVERSITAS SAMUDERA</v>
      </c>
      <c r="Q75" t="str">
        <f t="shared" si="1"/>
        <v>UNIVERSITAS SAMUDERAPENDIDIKAN BAHASA INDONESIA</v>
      </c>
    </row>
    <row r="76" spans="1:17" ht="15.75" thickBot="1" x14ac:dyDescent="0.3">
      <c r="A76" s="7">
        <v>75</v>
      </c>
      <c r="B76" s="6">
        <v>4</v>
      </c>
      <c r="C76" s="13">
        <v>1142086</v>
      </c>
      <c r="D76" t="s">
        <v>71</v>
      </c>
      <c r="E76" s="13">
        <v>32</v>
      </c>
      <c r="F76" s="10" t="s">
        <v>13</v>
      </c>
      <c r="J76" s="138" t="s">
        <v>1292</v>
      </c>
      <c r="K76" s="138" t="s">
        <v>1292</v>
      </c>
      <c r="L76" s="138" t="s">
        <v>1292</v>
      </c>
      <c r="N76" s="83" t="s">
        <v>1292</v>
      </c>
      <c r="P76" t="str">
        <f>VLOOKUP(B76,PTN!A:B,2,FALSE)</f>
        <v>UNIVERSITAS SAMUDERA</v>
      </c>
      <c r="Q76" t="str">
        <f t="shared" si="1"/>
        <v>UNIVERSITAS SAMUDERAPENDIDIKAN BAHASA INGGRIS</v>
      </c>
    </row>
    <row r="77" spans="1:17" ht="15.75" thickBot="1" x14ac:dyDescent="0.3">
      <c r="A77" s="7">
        <v>76</v>
      </c>
      <c r="B77" s="6">
        <v>4</v>
      </c>
      <c r="C77" s="12">
        <v>1142055</v>
      </c>
      <c r="D77" t="s">
        <v>72</v>
      </c>
      <c r="E77" s="12">
        <v>32</v>
      </c>
      <c r="F77" s="10" t="s">
        <v>13</v>
      </c>
      <c r="J77" s="138" t="s">
        <v>1292</v>
      </c>
      <c r="K77" s="138" t="s">
        <v>1292</v>
      </c>
      <c r="L77" s="138" t="s">
        <v>1292</v>
      </c>
      <c r="N77" s="83" t="s">
        <v>1292</v>
      </c>
      <c r="P77" t="str">
        <f>VLOOKUP(B77,PTN!A:B,2,FALSE)</f>
        <v>UNIVERSITAS SAMUDERA</v>
      </c>
      <c r="Q77" t="str">
        <f t="shared" si="1"/>
        <v>UNIVERSITAS SAMUDERAPENDIDIKAN GEOGRAFI</v>
      </c>
    </row>
    <row r="78" spans="1:17" ht="15.75" thickBot="1" x14ac:dyDescent="0.3">
      <c r="A78" s="7">
        <v>77</v>
      </c>
      <c r="B78" s="6">
        <v>4</v>
      </c>
      <c r="C78" s="13">
        <v>1142071</v>
      </c>
      <c r="D78" t="s">
        <v>73</v>
      </c>
      <c r="E78" s="13">
        <v>48</v>
      </c>
      <c r="F78" s="10" t="s">
        <v>13</v>
      </c>
      <c r="J78" s="138" t="s">
        <v>1292</v>
      </c>
      <c r="K78" s="138" t="s">
        <v>1292</v>
      </c>
      <c r="L78" s="138" t="s">
        <v>1292</v>
      </c>
      <c r="N78" s="83" t="s">
        <v>1292</v>
      </c>
      <c r="P78" t="str">
        <f>VLOOKUP(B78,PTN!A:B,2,FALSE)</f>
        <v>UNIVERSITAS SAMUDERA</v>
      </c>
      <c r="Q78" t="str">
        <f t="shared" si="1"/>
        <v>UNIVERSITAS SAMUDERAPENDIDIKAN GURU SEKOLAH DASAR</v>
      </c>
    </row>
    <row r="79" spans="1:17" ht="15.75" thickBot="1" x14ac:dyDescent="0.3">
      <c r="A79" s="7">
        <v>78</v>
      </c>
      <c r="B79" s="6">
        <v>4</v>
      </c>
      <c r="C79" s="12">
        <v>1142063</v>
      </c>
      <c r="D79" t="s">
        <v>74</v>
      </c>
      <c r="E79" s="12">
        <v>32</v>
      </c>
      <c r="F79" s="10" t="s">
        <v>13</v>
      </c>
      <c r="J79" s="138" t="s">
        <v>1292</v>
      </c>
      <c r="K79" s="138" t="s">
        <v>1292</v>
      </c>
      <c r="L79" s="138" t="s">
        <v>1292</v>
      </c>
      <c r="N79" s="83" t="s">
        <v>1292</v>
      </c>
      <c r="P79" t="str">
        <f>VLOOKUP(B79,PTN!A:B,2,FALSE)</f>
        <v>UNIVERSITAS SAMUDERA</v>
      </c>
      <c r="Q79" t="str">
        <f t="shared" si="1"/>
        <v>UNIVERSITAS SAMUDERAPENDIDIKAN OLAHRAGA</v>
      </c>
    </row>
    <row r="80" spans="1:17" ht="15.75" thickBot="1" x14ac:dyDescent="0.3">
      <c r="A80" s="7">
        <v>79</v>
      </c>
      <c r="B80" s="6">
        <v>4</v>
      </c>
      <c r="C80" s="16">
        <v>1142047</v>
      </c>
      <c r="D80" t="s">
        <v>75</v>
      </c>
      <c r="E80" s="16">
        <v>32</v>
      </c>
      <c r="F80" s="10" t="s">
        <v>13</v>
      </c>
      <c r="J80" s="138" t="s">
        <v>1292</v>
      </c>
      <c r="K80" s="138" t="s">
        <v>1292</v>
      </c>
      <c r="L80" s="138" t="s">
        <v>1292</v>
      </c>
      <c r="N80" s="83" t="s">
        <v>1292</v>
      </c>
      <c r="P80" t="str">
        <f>VLOOKUP(B80,PTN!A:B,2,FALSE)</f>
        <v>UNIVERSITAS SAMUDERA</v>
      </c>
      <c r="Q80" t="str">
        <f t="shared" si="1"/>
        <v>UNIVERSITAS SAMUDERAPENDIDIKAN SEJARAH</v>
      </c>
    </row>
    <row r="81" spans="1:17" ht="16.5" thickTop="1" thickBot="1" x14ac:dyDescent="0.3">
      <c r="A81" s="7">
        <v>80</v>
      </c>
      <c r="B81" s="6">
        <v>1</v>
      </c>
      <c r="C81" s="12">
        <v>1111084</v>
      </c>
      <c r="D81" t="s">
        <v>37</v>
      </c>
      <c r="E81" s="12">
        <v>36</v>
      </c>
      <c r="F81" s="10" t="s">
        <v>20</v>
      </c>
      <c r="J81" s="138" t="s">
        <v>1292</v>
      </c>
      <c r="K81" s="138" t="s">
        <v>1292</v>
      </c>
      <c r="L81" s="138" t="s">
        <v>1292</v>
      </c>
      <c r="N81" s="83" t="s">
        <v>1292</v>
      </c>
      <c r="P81" t="str">
        <f>VLOOKUP(B81,PTN!A:B,2,FALSE)</f>
        <v>UNIVERSITAS SYIAH KUALA</v>
      </c>
      <c r="Q81" t="str">
        <f t="shared" si="1"/>
        <v>UNIVERSITAS SYIAH KUALAAGRIBISNIS</v>
      </c>
    </row>
    <row r="82" spans="1:17" ht="15.75" thickBot="1" x14ac:dyDescent="0.3">
      <c r="A82" s="7">
        <v>81</v>
      </c>
      <c r="B82" s="6">
        <v>1</v>
      </c>
      <c r="C82" s="13">
        <v>1111076</v>
      </c>
      <c r="D82" t="s">
        <v>64</v>
      </c>
      <c r="E82" s="13">
        <v>36</v>
      </c>
      <c r="F82" s="10" t="s">
        <v>20</v>
      </c>
      <c r="J82" s="138" t="s">
        <v>1292</v>
      </c>
      <c r="K82" s="138" t="s">
        <v>1292</v>
      </c>
      <c r="L82" s="138" t="s">
        <v>1292</v>
      </c>
      <c r="N82" s="83" t="s">
        <v>1292</v>
      </c>
      <c r="P82" t="str">
        <f>VLOOKUP(B82,PTN!A:B,2,FALSE)</f>
        <v>UNIVERSITAS SYIAH KUALA</v>
      </c>
      <c r="Q82" t="str">
        <f t="shared" si="1"/>
        <v>UNIVERSITAS SYIAH KUALAAGROTEKNOLOGI</v>
      </c>
    </row>
    <row r="83" spans="1:17" ht="15.75" thickBot="1" x14ac:dyDescent="0.3">
      <c r="A83" s="7">
        <v>82</v>
      </c>
      <c r="B83" s="6">
        <v>1</v>
      </c>
      <c r="C83" s="12">
        <v>1111343</v>
      </c>
      <c r="D83" t="s">
        <v>76</v>
      </c>
      <c r="E83" s="12">
        <v>15</v>
      </c>
      <c r="F83" s="10" t="s">
        <v>20</v>
      </c>
      <c r="J83" s="138" t="s">
        <v>1292</v>
      </c>
      <c r="K83" s="138" t="s">
        <v>1292</v>
      </c>
      <c r="L83" s="138" t="s">
        <v>1292</v>
      </c>
      <c r="N83" s="83" t="s">
        <v>1292</v>
      </c>
      <c r="P83" t="str">
        <f>VLOOKUP(B83,PTN!A:B,2,FALSE)</f>
        <v>UNIVERSITAS SYIAH KUALA</v>
      </c>
      <c r="Q83" t="str">
        <f t="shared" si="1"/>
        <v>UNIVERSITAS SYIAH KUALAAgroteknologi (PSDKU GAYO LUES)</v>
      </c>
    </row>
    <row r="84" spans="1:17" ht="15.75" thickBot="1" x14ac:dyDescent="0.3">
      <c r="A84" s="7">
        <v>83</v>
      </c>
      <c r="B84" s="6">
        <v>1</v>
      </c>
      <c r="C84" s="13">
        <v>1111053</v>
      </c>
      <c r="D84" t="s">
        <v>19</v>
      </c>
      <c r="E84" s="13">
        <v>36</v>
      </c>
      <c r="F84" s="10" t="s">
        <v>20</v>
      </c>
      <c r="J84" s="138" t="s">
        <v>1292</v>
      </c>
      <c r="K84" s="138" t="s">
        <v>1292</v>
      </c>
      <c r="L84" s="138" t="s">
        <v>1292</v>
      </c>
      <c r="N84" s="83" t="s">
        <v>1292</v>
      </c>
      <c r="P84" t="str">
        <f>VLOOKUP(B84,PTN!A:B,2,FALSE)</f>
        <v>UNIVERSITAS SYIAH KUALA</v>
      </c>
      <c r="Q84" t="str">
        <f t="shared" si="1"/>
        <v>UNIVERSITAS SYIAH KUALAARSITEKTUR</v>
      </c>
    </row>
    <row r="85" spans="1:17" ht="15.75" thickBot="1" x14ac:dyDescent="0.3">
      <c r="A85" s="7">
        <v>84</v>
      </c>
      <c r="B85" s="6">
        <v>1</v>
      </c>
      <c r="C85" s="12">
        <v>1111223</v>
      </c>
      <c r="D85" t="s">
        <v>21</v>
      </c>
      <c r="E85" s="12">
        <v>27</v>
      </c>
      <c r="F85" s="10" t="s">
        <v>20</v>
      </c>
      <c r="J85" s="138" t="s">
        <v>1292</v>
      </c>
      <c r="K85" s="138" t="s">
        <v>1292</v>
      </c>
      <c r="L85" s="138" t="s">
        <v>1292</v>
      </c>
      <c r="N85" s="83" t="s">
        <v>1292</v>
      </c>
      <c r="P85" t="str">
        <f>VLOOKUP(B85,PTN!A:B,2,FALSE)</f>
        <v>UNIVERSITAS SYIAH KUALA</v>
      </c>
      <c r="Q85" t="str">
        <f t="shared" si="1"/>
        <v>UNIVERSITAS SYIAH KUALABIOLOGI</v>
      </c>
    </row>
    <row r="86" spans="1:17" ht="15.75" thickBot="1" x14ac:dyDescent="0.3">
      <c r="A86" s="7">
        <v>85</v>
      </c>
      <c r="B86" s="6">
        <v>1</v>
      </c>
      <c r="C86" s="13">
        <v>1111246</v>
      </c>
      <c r="D86" t="s">
        <v>39</v>
      </c>
      <c r="E86" s="13">
        <v>54</v>
      </c>
      <c r="F86" s="10" t="s">
        <v>20</v>
      </c>
      <c r="J86" s="138" t="s">
        <v>1292</v>
      </c>
      <c r="K86" s="138" t="s">
        <v>1292</v>
      </c>
      <c r="L86" s="138" t="s">
        <v>1292</v>
      </c>
      <c r="N86" s="83" t="s">
        <v>1292</v>
      </c>
      <c r="P86" t="str">
        <f>VLOOKUP(B86,PTN!A:B,2,FALSE)</f>
        <v>UNIVERSITAS SYIAH KUALA</v>
      </c>
      <c r="Q86" t="str">
        <f t="shared" si="1"/>
        <v>UNIVERSITAS SYIAH KUALABUDIDAYA PERAIRAN</v>
      </c>
    </row>
    <row r="87" spans="1:17" ht="15.75" thickBot="1" x14ac:dyDescent="0.3">
      <c r="A87" s="7">
        <v>86</v>
      </c>
      <c r="B87" s="6">
        <v>1</v>
      </c>
      <c r="C87" s="12">
        <v>1111277</v>
      </c>
      <c r="D87" t="s">
        <v>77</v>
      </c>
      <c r="E87" s="12">
        <v>18</v>
      </c>
      <c r="F87" s="10" t="s">
        <v>20</v>
      </c>
      <c r="J87" s="138" t="s">
        <v>1292</v>
      </c>
      <c r="K87" s="138" t="s">
        <v>1292</v>
      </c>
      <c r="L87" s="138" t="s">
        <v>1292</v>
      </c>
      <c r="N87" s="83" t="s">
        <v>1292</v>
      </c>
      <c r="P87" t="str">
        <f>VLOOKUP(B87,PTN!A:B,2,FALSE)</f>
        <v>UNIVERSITAS SYIAH KUALA</v>
      </c>
      <c r="Q87" t="str">
        <f t="shared" si="1"/>
        <v>UNIVERSITAS SYIAH KUALAFARMASI</v>
      </c>
    </row>
    <row r="88" spans="1:17" ht="15.75" thickBot="1" x14ac:dyDescent="0.3">
      <c r="A88" s="7">
        <v>87</v>
      </c>
      <c r="B88" s="6">
        <v>1</v>
      </c>
      <c r="C88" s="13">
        <v>1111207</v>
      </c>
      <c r="D88" t="s">
        <v>65</v>
      </c>
      <c r="E88" s="13">
        <v>27</v>
      </c>
      <c r="F88" s="10" t="s">
        <v>20</v>
      </c>
      <c r="J88" s="138" t="s">
        <v>1292</v>
      </c>
      <c r="K88" s="138" t="s">
        <v>1292</v>
      </c>
      <c r="L88" s="138" t="s">
        <v>1292</v>
      </c>
      <c r="N88" s="83" t="s">
        <v>1292</v>
      </c>
      <c r="P88" t="str">
        <f>VLOOKUP(B88,PTN!A:B,2,FALSE)</f>
        <v>UNIVERSITAS SYIAH KUALA</v>
      </c>
      <c r="Q88" t="str">
        <f t="shared" si="1"/>
        <v>UNIVERSITAS SYIAH KUALAFISIKA</v>
      </c>
    </row>
    <row r="89" spans="1:17" ht="15.75" thickBot="1" x14ac:dyDescent="0.3">
      <c r="A89" s="7">
        <v>88</v>
      </c>
      <c r="B89" s="6">
        <v>1</v>
      </c>
      <c r="C89" s="12">
        <v>1111231</v>
      </c>
      <c r="D89" t="s">
        <v>40</v>
      </c>
      <c r="E89" s="12">
        <v>54</v>
      </c>
      <c r="F89" s="10" t="s">
        <v>20</v>
      </c>
      <c r="J89" s="138" t="s">
        <v>1292</v>
      </c>
      <c r="K89" s="138" t="s">
        <v>1292</v>
      </c>
      <c r="L89" s="138" t="s">
        <v>1292</v>
      </c>
      <c r="N89" s="83" t="s">
        <v>1292</v>
      </c>
      <c r="P89" t="str">
        <f>VLOOKUP(B89,PTN!A:B,2,FALSE)</f>
        <v>UNIVERSITAS SYIAH KUALA</v>
      </c>
      <c r="Q89" t="str">
        <f t="shared" si="1"/>
        <v>UNIVERSITAS SYIAH KUALAILMU KELAUTAN</v>
      </c>
    </row>
    <row r="90" spans="1:17" ht="15.75" thickBot="1" x14ac:dyDescent="0.3">
      <c r="A90" s="7">
        <v>89</v>
      </c>
      <c r="B90" s="6">
        <v>1</v>
      </c>
      <c r="C90" s="13">
        <v>1111173</v>
      </c>
      <c r="D90" t="s">
        <v>78</v>
      </c>
      <c r="E90" s="13">
        <v>45</v>
      </c>
      <c r="F90" s="10" t="s">
        <v>20</v>
      </c>
      <c r="J90" s="138" t="s">
        <v>1292</v>
      </c>
      <c r="K90" s="138" t="s">
        <v>1292</v>
      </c>
      <c r="L90" s="138" t="s">
        <v>1292</v>
      </c>
      <c r="N90" s="83" t="s">
        <v>1292</v>
      </c>
      <c r="P90" t="str">
        <f>VLOOKUP(B90,PTN!A:B,2,FALSE)</f>
        <v>UNIVERSITAS SYIAH KUALA</v>
      </c>
      <c r="Q90" t="str">
        <f t="shared" si="1"/>
        <v>UNIVERSITAS SYIAH KUALAILMU KEPERAWATAN</v>
      </c>
    </row>
    <row r="91" spans="1:17" ht="15.75" thickBot="1" x14ac:dyDescent="0.3">
      <c r="A91" s="7">
        <v>90</v>
      </c>
      <c r="B91" s="6">
        <v>1</v>
      </c>
      <c r="C91" s="12">
        <v>1111327</v>
      </c>
      <c r="D91" t="s">
        <v>79</v>
      </c>
      <c r="E91" s="12">
        <v>24</v>
      </c>
      <c r="F91" s="10" t="s">
        <v>20</v>
      </c>
      <c r="J91" s="138" t="s">
        <v>1292</v>
      </c>
      <c r="K91" s="138" t="s">
        <v>1292</v>
      </c>
      <c r="L91" s="138" t="s">
        <v>1292</v>
      </c>
      <c r="N91" s="83" t="s">
        <v>1292</v>
      </c>
      <c r="P91" t="str">
        <f>VLOOKUP(B91,PTN!A:B,2,FALSE)</f>
        <v>UNIVERSITAS SYIAH KUALA</v>
      </c>
      <c r="Q91" t="str">
        <f t="shared" si="1"/>
        <v>UNIVERSITAS SYIAH KUALAILMU TANAH</v>
      </c>
    </row>
    <row r="92" spans="1:17" ht="15.75" thickBot="1" x14ac:dyDescent="0.3">
      <c r="A92" s="7">
        <v>91</v>
      </c>
      <c r="B92" s="6">
        <v>1</v>
      </c>
      <c r="C92" s="13">
        <v>1111262</v>
      </c>
      <c r="D92" t="s">
        <v>80</v>
      </c>
      <c r="E92" s="13">
        <v>27</v>
      </c>
      <c r="F92" s="10" t="s">
        <v>20</v>
      </c>
      <c r="J92" s="138" t="s">
        <v>1292</v>
      </c>
      <c r="K92" s="138" t="s">
        <v>1292</v>
      </c>
      <c r="L92" s="138" t="s">
        <v>1292</v>
      </c>
      <c r="N92" s="83" t="s">
        <v>1292</v>
      </c>
      <c r="P92" t="str">
        <f>VLOOKUP(B92,PTN!A:B,2,FALSE)</f>
        <v>UNIVERSITAS SYIAH KUALA</v>
      </c>
      <c r="Q92" t="str">
        <f t="shared" si="1"/>
        <v>UNIVERSITAS SYIAH KUALAINFORMATIKA</v>
      </c>
    </row>
    <row r="93" spans="1:17" ht="15.75" thickBot="1" x14ac:dyDescent="0.3">
      <c r="A93" s="7">
        <v>92</v>
      </c>
      <c r="B93" s="6">
        <v>1</v>
      </c>
      <c r="C93" s="12">
        <v>1111397</v>
      </c>
      <c r="D93" t="s">
        <v>81</v>
      </c>
      <c r="E93" s="12">
        <v>24</v>
      </c>
      <c r="F93" s="10" t="s">
        <v>20</v>
      </c>
      <c r="J93" s="138" t="s">
        <v>1292</v>
      </c>
      <c r="K93" s="138" t="s">
        <v>1292</v>
      </c>
      <c r="L93" s="138" t="s">
        <v>1292</v>
      </c>
      <c r="N93" s="83" t="s">
        <v>1292</v>
      </c>
      <c r="P93" t="str">
        <f>VLOOKUP(B93,PTN!A:B,2,FALSE)</f>
        <v>UNIVERSITAS SYIAH KUALA</v>
      </c>
      <c r="Q93" t="str">
        <f t="shared" si="1"/>
        <v>UNIVERSITAS SYIAH KUALAKEHUTANAN</v>
      </c>
    </row>
    <row r="94" spans="1:17" ht="15.75" thickBot="1" x14ac:dyDescent="0.3">
      <c r="A94" s="7">
        <v>93</v>
      </c>
      <c r="B94" s="6">
        <v>1</v>
      </c>
      <c r="C94" s="13">
        <v>1111366</v>
      </c>
      <c r="D94" t="s">
        <v>82</v>
      </c>
      <c r="E94" s="13">
        <v>12</v>
      </c>
      <c r="F94" s="10" t="s">
        <v>20</v>
      </c>
      <c r="J94" s="138" t="s">
        <v>1292</v>
      </c>
      <c r="K94" s="138" t="s">
        <v>1292</v>
      </c>
      <c r="L94" s="138" t="s">
        <v>1292</v>
      </c>
      <c r="N94" s="83" t="s">
        <v>1292</v>
      </c>
      <c r="P94" t="str">
        <f>VLOOKUP(B94,PTN!A:B,2,FALSE)</f>
        <v>UNIVERSITAS SYIAH KUALA</v>
      </c>
      <c r="Q94" t="str">
        <f t="shared" si="1"/>
        <v>UNIVERSITAS SYIAH KUALAKehutanan (PSDKU Gayo Lues)</v>
      </c>
    </row>
    <row r="95" spans="1:17" ht="15.75" thickBot="1" x14ac:dyDescent="0.3">
      <c r="A95" s="7">
        <v>94</v>
      </c>
      <c r="B95" s="6">
        <v>1</v>
      </c>
      <c r="C95" s="12">
        <v>1111215</v>
      </c>
      <c r="D95" t="s">
        <v>22</v>
      </c>
      <c r="E95" s="12">
        <v>27</v>
      </c>
      <c r="F95" s="10" t="s">
        <v>20</v>
      </c>
      <c r="J95" s="138" t="s">
        <v>1292</v>
      </c>
      <c r="K95" s="138" t="s">
        <v>1292</v>
      </c>
      <c r="L95" s="138" t="s">
        <v>1292</v>
      </c>
      <c r="N95" s="83" t="s">
        <v>1292</v>
      </c>
      <c r="P95" t="str">
        <f>VLOOKUP(B95,PTN!A:B,2,FALSE)</f>
        <v>UNIVERSITAS SYIAH KUALA</v>
      </c>
      <c r="Q95" t="str">
        <f t="shared" si="1"/>
        <v>UNIVERSITAS SYIAH KUALAKIMIA</v>
      </c>
    </row>
    <row r="96" spans="1:17" ht="15.75" thickBot="1" x14ac:dyDescent="0.3">
      <c r="A96" s="7">
        <v>95</v>
      </c>
      <c r="B96" s="6">
        <v>1</v>
      </c>
      <c r="C96" s="13">
        <v>1111196</v>
      </c>
      <c r="D96" t="s">
        <v>66</v>
      </c>
      <c r="E96" s="13">
        <v>27</v>
      </c>
      <c r="F96" s="10" t="s">
        <v>20</v>
      </c>
      <c r="J96" s="138" t="s">
        <v>1292</v>
      </c>
      <c r="K96" s="138" t="s">
        <v>1292</v>
      </c>
      <c r="L96" s="138" t="s">
        <v>1292</v>
      </c>
      <c r="N96" s="83" t="s">
        <v>1292</v>
      </c>
      <c r="P96" t="str">
        <f>VLOOKUP(B96,PTN!A:B,2,FALSE)</f>
        <v>UNIVERSITAS SYIAH KUALA</v>
      </c>
      <c r="Q96" t="str">
        <f t="shared" si="1"/>
        <v>UNIVERSITAS SYIAH KUALAMATEMATIKA</v>
      </c>
    </row>
    <row r="97" spans="1:17" ht="15.75" thickBot="1" x14ac:dyDescent="0.3">
      <c r="A97" s="7">
        <v>96</v>
      </c>
      <c r="B97" s="6">
        <v>1</v>
      </c>
      <c r="C97" s="12">
        <v>1111312</v>
      </c>
      <c r="D97" t="s">
        <v>83</v>
      </c>
      <c r="E97" s="12">
        <v>54</v>
      </c>
      <c r="F97" s="10" t="s">
        <v>20</v>
      </c>
      <c r="J97" s="138" t="s">
        <v>1292</v>
      </c>
      <c r="K97" s="138" t="s">
        <v>1292</v>
      </c>
      <c r="L97" s="138" t="s">
        <v>1292</v>
      </c>
      <c r="N97" s="83" t="s">
        <v>1292</v>
      </c>
      <c r="P97" t="str">
        <f>VLOOKUP(B97,PTN!A:B,2,FALSE)</f>
        <v>UNIVERSITAS SYIAH KUALA</v>
      </c>
      <c r="Q97" t="str">
        <f t="shared" si="1"/>
        <v>UNIVERSITAS SYIAH KUALAPEMANFAATAN SUMBERDAYA PERIKANAN</v>
      </c>
    </row>
    <row r="98" spans="1:17" ht="15.75" thickBot="1" x14ac:dyDescent="0.3">
      <c r="A98" s="7">
        <v>97</v>
      </c>
      <c r="B98" s="6">
        <v>1</v>
      </c>
      <c r="C98" s="13">
        <v>1111126</v>
      </c>
      <c r="D98" t="s">
        <v>67</v>
      </c>
      <c r="E98" s="13">
        <v>36</v>
      </c>
      <c r="F98" s="10" t="s">
        <v>20</v>
      </c>
      <c r="J98" s="138" t="s">
        <v>1292</v>
      </c>
      <c r="K98" s="138" t="s">
        <v>1292</v>
      </c>
      <c r="L98" s="138" t="s">
        <v>1292</v>
      </c>
      <c r="N98" s="83" t="s">
        <v>1292</v>
      </c>
      <c r="P98" t="str">
        <f>VLOOKUP(B98,PTN!A:B,2,FALSE)</f>
        <v>UNIVERSITAS SYIAH KUALA</v>
      </c>
      <c r="Q98" t="str">
        <f t="shared" si="1"/>
        <v>UNIVERSITAS SYIAH KUALAPENDIDIKAN BIOLOGI</v>
      </c>
    </row>
    <row r="99" spans="1:17" ht="15.75" thickBot="1" x14ac:dyDescent="0.3">
      <c r="A99" s="7">
        <v>98</v>
      </c>
      <c r="B99" s="6">
        <v>1</v>
      </c>
      <c r="C99" s="12">
        <v>1111351</v>
      </c>
      <c r="D99" t="s">
        <v>84</v>
      </c>
      <c r="E99" s="12">
        <v>12</v>
      </c>
      <c r="F99" s="10" t="s">
        <v>20</v>
      </c>
      <c r="J99" s="138" t="s">
        <v>1292</v>
      </c>
      <c r="K99" s="138" t="s">
        <v>1292</v>
      </c>
      <c r="L99" s="138" t="s">
        <v>1292</v>
      </c>
      <c r="N99" s="83" t="s">
        <v>1292</v>
      </c>
      <c r="P99" t="str">
        <f>VLOOKUP(B99,PTN!A:B,2,FALSE)</f>
        <v>UNIVERSITAS SYIAH KUALA</v>
      </c>
      <c r="Q99" t="str">
        <f t="shared" si="1"/>
        <v>UNIVERSITAS SYIAH KUALAPendidikan Biologi (PDSKU Gayo Lues)</v>
      </c>
    </row>
    <row r="100" spans="1:17" ht="15.75" thickBot="1" x14ac:dyDescent="0.3">
      <c r="A100" s="7">
        <v>99</v>
      </c>
      <c r="B100" s="6">
        <v>1</v>
      </c>
      <c r="C100" s="13">
        <v>1111165</v>
      </c>
      <c r="D100" t="s">
        <v>41</v>
      </c>
      <c r="E100" s="13">
        <v>45</v>
      </c>
      <c r="F100" s="10" t="s">
        <v>20</v>
      </c>
      <c r="J100" s="138">
        <v>662.84</v>
      </c>
      <c r="K100" s="138">
        <v>671.14</v>
      </c>
      <c r="L100" s="138">
        <v>654.54000000000008</v>
      </c>
      <c r="N100" s="83">
        <v>662.84</v>
      </c>
      <c r="P100" t="str">
        <f>VLOOKUP(B100,PTN!A:B,2,FALSE)</f>
        <v>UNIVERSITAS SYIAH KUALA</v>
      </c>
      <c r="Q100" t="str">
        <f t="shared" si="1"/>
        <v>UNIVERSITAS SYIAH KUALAPENDIDIKAN DOKTER</v>
      </c>
    </row>
    <row r="101" spans="1:17" ht="15.75" thickBot="1" x14ac:dyDescent="0.3">
      <c r="A101" s="7">
        <v>100</v>
      </c>
      <c r="B101" s="6">
        <v>1</v>
      </c>
      <c r="C101" s="12">
        <v>1111181</v>
      </c>
      <c r="D101" t="s">
        <v>85</v>
      </c>
      <c r="E101" s="12">
        <v>18</v>
      </c>
      <c r="F101" s="10" t="s">
        <v>20</v>
      </c>
      <c r="J101" s="138">
        <v>625.39</v>
      </c>
      <c r="K101" s="138">
        <v>630.16499999999996</v>
      </c>
      <c r="L101" s="138">
        <v>620.61500000000001</v>
      </c>
      <c r="N101" s="83">
        <v>625.39</v>
      </c>
      <c r="P101" t="str">
        <f>VLOOKUP(B101,PTN!A:B,2,FALSE)</f>
        <v>UNIVERSITAS SYIAH KUALA</v>
      </c>
      <c r="Q101" t="str">
        <f t="shared" si="1"/>
        <v>UNIVERSITAS SYIAH KUALAPENDIDIKAN DOKTER GIGI</v>
      </c>
    </row>
    <row r="102" spans="1:17" ht="15.75" thickBot="1" x14ac:dyDescent="0.3">
      <c r="A102" s="7">
        <v>101</v>
      </c>
      <c r="B102" s="6">
        <v>1</v>
      </c>
      <c r="C102" s="13">
        <v>1111014</v>
      </c>
      <c r="D102" t="s">
        <v>86</v>
      </c>
      <c r="E102" s="13">
        <v>66</v>
      </c>
      <c r="F102" s="10" t="s">
        <v>20</v>
      </c>
      <c r="J102" s="138" t="s">
        <v>1292</v>
      </c>
      <c r="K102" s="138" t="s">
        <v>1292</v>
      </c>
      <c r="L102" s="138" t="s">
        <v>1292</v>
      </c>
      <c r="N102" s="83" t="s">
        <v>1292</v>
      </c>
      <c r="P102" t="str">
        <f>VLOOKUP(B102,PTN!A:B,2,FALSE)</f>
        <v>UNIVERSITAS SYIAH KUALA</v>
      </c>
      <c r="Q102" t="str">
        <f t="shared" si="1"/>
        <v>UNIVERSITAS SYIAH KUALAPENDIDIKAN DOKTER HEWAN</v>
      </c>
    </row>
    <row r="103" spans="1:17" ht="15.75" thickBot="1" x14ac:dyDescent="0.3">
      <c r="A103" s="7">
        <v>102</v>
      </c>
      <c r="B103" s="6">
        <v>1</v>
      </c>
      <c r="C103" s="12">
        <v>1111142</v>
      </c>
      <c r="D103" t="s">
        <v>42</v>
      </c>
      <c r="E103" s="12">
        <v>27</v>
      </c>
      <c r="F103" s="10" t="s">
        <v>20</v>
      </c>
      <c r="J103" s="138" t="s">
        <v>1292</v>
      </c>
      <c r="K103" s="138" t="s">
        <v>1292</v>
      </c>
      <c r="L103" s="138" t="s">
        <v>1292</v>
      </c>
      <c r="N103" s="83" t="s">
        <v>1292</v>
      </c>
      <c r="P103" t="str">
        <f>VLOOKUP(B103,PTN!A:B,2,FALSE)</f>
        <v>UNIVERSITAS SYIAH KUALA</v>
      </c>
      <c r="Q103" t="str">
        <f t="shared" si="1"/>
        <v>UNIVERSITAS SYIAH KUALAPENDIDIKAN FISIKA</v>
      </c>
    </row>
    <row r="104" spans="1:17" ht="15.75" thickBot="1" x14ac:dyDescent="0.3">
      <c r="A104" s="7">
        <v>103</v>
      </c>
      <c r="B104" s="6">
        <v>1</v>
      </c>
      <c r="C104" s="13">
        <v>1111157</v>
      </c>
      <c r="D104" t="s">
        <v>43</v>
      </c>
      <c r="E104" s="13">
        <v>30</v>
      </c>
      <c r="F104" s="10" t="s">
        <v>20</v>
      </c>
      <c r="J104" s="138" t="s">
        <v>1292</v>
      </c>
      <c r="K104" s="138" t="s">
        <v>1292</v>
      </c>
      <c r="L104" s="138" t="s">
        <v>1292</v>
      </c>
      <c r="N104" s="83" t="s">
        <v>1292</v>
      </c>
      <c r="P104" t="str">
        <f>VLOOKUP(B104,PTN!A:B,2,FALSE)</f>
        <v>UNIVERSITAS SYIAH KUALA</v>
      </c>
      <c r="Q104" t="str">
        <f t="shared" si="1"/>
        <v>UNIVERSITAS SYIAH KUALAPENDIDIKAN KIMIA</v>
      </c>
    </row>
    <row r="105" spans="1:17" ht="15.75" thickBot="1" x14ac:dyDescent="0.3">
      <c r="A105" s="7">
        <v>104</v>
      </c>
      <c r="B105" s="6">
        <v>1</v>
      </c>
      <c r="C105" s="12">
        <v>1111134</v>
      </c>
      <c r="D105" t="s">
        <v>44</v>
      </c>
      <c r="E105" s="12">
        <v>36</v>
      </c>
      <c r="F105" s="10" t="s">
        <v>20</v>
      </c>
      <c r="J105" s="138" t="s">
        <v>1292</v>
      </c>
      <c r="K105" s="138" t="s">
        <v>1292</v>
      </c>
      <c r="L105" s="138" t="s">
        <v>1292</v>
      </c>
      <c r="N105" s="83" t="s">
        <v>1292</v>
      </c>
      <c r="P105" t="str">
        <f>VLOOKUP(B105,PTN!A:B,2,FALSE)</f>
        <v>UNIVERSITAS SYIAH KUALA</v>
      </c>
      <c r="Q105" t="str">
        <f t="shared" si="1"/>
        <v>UNIVERSITAS SYIAH KUALAPENDIDIKAN MATEMATIKA</v>
      </c>
    </row>
    <row r="106" spans="1:17" ht="15.75" thickBot="1" x14ac:dyDescent="0.3">
      <c r="A106" s="7">
        <v>105</v>
      </c>
      <c r="B106" s="6">
        <v>1</v>
      </c>
      <c r="C106" s="13">
        <v>1111382</v>
      </c>
      <c r="D106" t="s">
        <v>87</v>
      </c>
      <c r="E106" s="13">
        <v>18</v>
      </c>
      <c r="F106" s="10" t="s">
        <v>20</v>
      </c>
      <c r="J106" s="138" t="s">
        <v>1292</v>
      </c>
      <c r="K106" s="138" t="s">
        <v>1292</v>
      </c>
      <c r="L106" s="138" t="s">
        <v>1292</v>
      </c>
      <c r="N106" s="83" t="s">
        <v>1292</v>
      </c>
      <c r="P106" t="str">
        <f>VLOOKUP(B106,PTN!A:B,2,FALSE)</f>
        <v>UNIVERSITAS SYIAH KUALA</v>
      </c>
      <c r="Q106" t="str">
        <f t="shared" si="1"/>
        <v>UNIVERSITAS SYIAH KUALAPERENCANAAN WILAYAH DAN KOTA</v>
      </c>
    </row>
    <row r="107" spans="1:17" ht="15.75" thickBot="1" x14ac:dyDescent="0.3">
      <c r="A107" s="7">
        <v>106</v>
      </c>
      <c r="B107" s="6">
        <v>1</v>
      </c>
      <c r="C107" s="12">
        <v>1111092</v>
      </c>
      <c r="D107" t="s">
        <v>88</v>
      </c>
      <c r="E107" s="12">
        <v>36</v>
      </c>
      <c r="F107" s="10" t="s">
        <v>20</v>
      </c>
      <c r="J107" s="138" t="s">
        <v>1292</v>
      </c>
      <c r="K107" s="138" t="s">
        <v>1292</v>
      </c>
      <c r="L107" s="138" t="s">
        <v>1292</v>
      </c>
      <c r="N107" s="83" t="s">
        <v>1292</v>
      </c>
      <c r="P107" t="str">
        <f>VLOOKUP(B107,PTN!A:B,2,FALSE)</f>
        <v>UNIVERSITAS SYIAH KUALA</v>
      </c>
      <c r="Q107" t="str">
        <f t="shared" si="1"/>
        <v>UNIVERSITAS SYIAH KUALAPETERNAKAN</v>
      </c>
    </row>
    <row r="108" spans="1:17" ht="15.75" thickBot="1" x14ac:dyDescent="0.3">
      <c r="A108" s="7">
        <v>107</v>
      </c>
      <c r="B108" s="6">
        <v>1</v>
      </c>
      <c r="C108" s="13">
        <v>1111374</v>
      </c>
      <c r="D108" t="s">
        <v>89</v>
      </c>
      <c r="E108" s="13">
        <v>24</v>
      </c>
      <c r="F108" s="10" t="s">
        <v>20</v>
      </c>
      <c r="J108" s="138" t="s">
        <v>1292</v>
      </c>
      <c r="K108" s="138" t="s">
        <v>1292</v>
      </c>
      <c r="L108" s="138" t="s">
        <v>1292</v>
      </c>
      <c r="N108" s="83" t="s">
        <v>1292</v>
      </c>
      <c r="P108" t="str">
        <f>VLOOKUP(B108,PTN!A:B,2,FALSE)</f>
        <v>UNIVERSITAS SYIAH KUALA</v>
      </c>
      <c r="Q108" t="str">
        <f t="shared" si="1"/>
        <v>UNIVERSITAS SYIAH KUALAPROTEKSI TANAMAN</v>
      </c>
    </row>
    <row r="109" spans="1:17" ht="15.75" thickBot="1" x14ac:dyDescent="0.3">
      <c r="A109" s="7">
        <v>108</v>
      </c>
      <c r="B109" s="6">
        <v>1</v>
      </c>
      <c r="C109" s="12">
        <v>1111304</v>
      </c>
      <c r="D109" t="s">
        <v>90</v>
      </c>
      <c r="E109" s="12">
        <v>18</v>
      </c>
      <c r="F109" s="10" t="s">
        <v>20</v>
      </c>
      <c r="J109" s="138" t="s">
        <v>1292</v>
      </c>
      <c r="K109" s="138" t="s">
        <v>1292</v>
      </c>
      <c r="L109" s="138" t="s">
        <v>1292</v>
      </c>
      <c r="N109" s="83" t="s">
        <v>1292</v>
      </c>
      <c r="P109" t="str">
        <f>VLOOKUP(B109,PTN!A:B,2,FALSE)</f>
        <v>UNIVERSITAS SYIAH KUALA</v>
      </c>
      <c r="Q109" t="str">
        <f t="shared" si="1"/>
        <v>UNIVERSITAS SYIAH KUALASTATISTIKA</v>
      </c>
    </row>
    <row r="110" spans="1:17" ht="15.75" thickBot="1" x14ac:dyDescent="0.3">
      <c r="A110" s="7">
        <v>109</v>
      </c>
      <c r="B110" s="6">
        <v>1</v>
      </c>
      <c r="C110" s="13">
        <v>1111061</v>
      </c>
      <c r="D110" t="s">
        <v>48</v>
      </c>
      <c r="E110" s="13">
        <v>36</v>
      </c>
      <c r="F110" s="10" t="s">
        <v>20</v>
      </c>
      <c r="J110" s="138" t="s">
        <v>1292</v>
      </c>
      <c r="K110" s="138" t="s">
        <v>1292</v>
      </c>
      <c r="L110" s="138" t="s">
        <v>1292</v>
      </c>
      <c r="N110" s="83" t="s">
        <v>1292</v>
      </c>
      <c r="P110" t="str">
        <f>VLOOKUP(B110,PTN!A:B,2,FALSE)</f>
        <v>UNIVERSITAS SYIAH KUALA</v>
      </c>
      <c r="Q110" t="str">
        <f t="shared" si="1"/>
        <v>UNIVERSITAS SYIAH KUALATEKNIK ELEKTRO</v>
      </c>
    </row>
    <row r="111" spans="1:17" ht="15.75" thickBot="1" x14ac:dyDescent="0.3">
      <c r="A111" s="7">
        <v>110</v>
      </c>
      <c r="B111" s="6">
        <v>1</v>
      </c>
      <c r="C111" s="12">
        <v>1111285</v>
      </c>
      <c r="D111" t="s">
        <v>91</v>
      </c>
      <c r="E111" s="12">
        <v>24</v>
      </c>
      <c r="F111" s="10" t="s">
        <v>20</v>
      </c>
      <c r="J111" s="138" t="s">
        <v>1292</v>
      </c>
      <c r="K111" s="138" t="s">
        <v>1292</v>
      </c>
      <c r="L111" s="138" t="s">
        <v>1292</v>
      </c>
      <c r="N111" s="83" t="s">
        <v>1292</v>
      </c>
      <c r="P111" t="str">
        <f>VLOOKUP(B111,PTN!A:B,2,FALSE)</f>
        <v>UNIVERSITAS SYIAH KUALA</v>
      </c>
      <c r="Q111" t="str">
        <f t="shared" si="1"/>
        <v>UNIVERSITAS SYIAH KUALATEKNIK GEOFISIKA</v>
      </c>
    </row>
    <row r="112" spans="1:17" ht="15.75" thickBot="1" x14ac:dyDescent="0.3">
      <c r="A112" s="7">
        <v>111</v>
      </c>
      <c r="B112" s="6">
        <v>1</v>
      </c>
      <c r="C112" s="13">
        <v>1111335</v>
      </c>
      <c r="D112" t="s">
        <v>92</v>
      </c>
      <c r="E112" s="13">
        <v>18</v>
      </c>
      <c r="F112" s="10" t="s">
        <v>20</v>
      </c>
      <c r="J112" s="138" t="s">
        <v>1292</v>
      </c>
      <c r="K112" s="138" t="s">
        <v>1292</v>
      </c>
      <c r="L112" s="138" t="s">
        <v>1292</v>
      </c>
      <c r="N112" s="83" t="s">
        <v>1292</v>
      </c>
      <c r="P112" t="str">
        <f>VLOOKUP(B112,PTN!A:B,2,FALSE)</f>
        <v>UNIVERSITAS SYIAH KUALA</v>
      </c>
      <c r="Q112" t="str">
        <f t="shared" si="1"/>
        <v>UNIVERSITAS SYIAH KUALATEKNIK GEOLOGI</v>
      </c>
    </row>
    <row r="113" spans="1:17" ht="15.75" thickBot="1" x14ac:dyDescent="0.3">
      <c r="A113" s="7">
        <v>112</v>
      </c>
      <c r="B113" s="6">
        <v>1</v>
      </c>
      <c r="C113" s="12">
        <v>1111254</v>
      </c>
      <c r="D113" t="s">
        <v>49</v>
      </c>
      <c r="E113" s="12">
        <v>36</v>
      </c>
      <c r="F113" s="10" t="s">
        <v>20</v>
      </c>
      <c r="J113" s="138" t="s">
        <v>1292</v>
      </c>
      <c r="K113" s="138" t="s">
        <v>1292</v>
      </c>
      <c r="L113" s="138" t="s">
        <v>1292</v>
      </c>
      <c r="N113" s="83" t="s">
        <v>1292</v>
      </c>
      <c r="P113" t="str">
        <f>VLOOKUP(B113,PTN!A:B,2,FALSE)</f>
        <v>UNIVERSITAS SYIAH KUALA</v>
      </c>
      <c r="Q113" t="str">
        <f t="shared" si="1"/>
        <v>UNIVERSITAS SYIAH KUALATEKNIK INDUSTRI</v>
      </c>
    </row>
    <row r="114" spans="1:17" ht="15.75" thickBot="1" x14ac:dyDescent="0.3">
      <c r="A114" s="7">
        <v>113</v>
      </c>
      <c r="B114" s="6">
        <v>1</v>
      </c>
      <c r="C114" s="13">
        <v>1111045</v>
      </c>
      <c r="D114" t="s">
        <v>51</v>
      </c>
      <c r="E114" s="13">
        <v>36</v>
      </c>
      <c r="F114" s="10" t="s">
        <v>20</v>
      </c>
      <c r="J114" s="138" t="s">
        <v>1292</v>
      </c>
      <c r="K114" s="138" t="s">
        <v>1292</v>
      </c>
      <c r="L114" s="138" t="s">
        <v>1292</v>
      </c>
      <c r="N114" s="83" t="s">
        <v>1292</v>
      </c>
      <c r="P114" t="str">
        <f>VLOOKUP(B114,PTN!A:B,2,FALSE)</f>
        <v>UNIVERSITAS SYIAH KUALA</v>
      </c>
      <c r="Q114" t="str">
        <f t="shared" si="1"/>
        <v>UNIVERSITAS SYIAH KUALATEKNIK KIMIA</v>
      </c>
    </row>
    <row r="115" spans="1:17" ht="15.75" thickBot="1" x14ac:dyDescent="0.3">
      <c r="A115" s="7">
        <v>114</v>
      </c>
      <c r="B115" s="6">
        <v>1</v>
      </c>
      <c r="C115" s="12">
        <v>1111401</v>
      </c>
      <c r="D115" t="s">
        <v>93</v>
      </c>
      <c r="E115" s="12">
        <v>30</v>
      </c>
      <c r="F115" s="10" t="s">
        <v>20</v>
      </c>
      <c r="J115" s="138" t="s">
        <v>1292</v>
      </c>
      <c r="K115" s="138" t="s">
        <v>1292</v>
      </c>
      <c r="L115" s="138" t="s">
        <v>1292</v>
      </c>
      <c r="N115" s="83" t="s">
        <v>1292</v>
      </c>
      <c r="P115" t="str">
        <f>VLOOKUP(B115,PTN!A:B,2,FALSE)</f>
        <v>UNIVERSITAS SYIAH KUALA</v>
      </c>
      <c r="Q115" t="str">
        <f t="shared" si="1"/>
        <v>UNIVERSITAS SYIAH KUALATEKNIK KOMPUTER</v>
      </c>
    </row>
    <row r="116" spans="1:17" ht="15.75" thickBot="1" x14ac:dyDescent="0.3">
      <c r="A116" s="7">
        <v>115</v>
      </c>
      <c r="B116" s="6">
        <v>1</v>
      </c>
      <c r="C116" s="13">
        <v>1111037</v>
      </c>
      <c r="D116" t="s">
        <v>53</v>
      </c>
      <c r="E116" s="13">
        <v>36</v>
      </c>
      <c r="F116" s="10" t="s">
        <v>20</v>
      </c>
      <c r="J116" s="138" t="s">
        <v>1292</v>
      </c>
      <c r="K116" s="138" t="s">
        <v>1292</v>
      </c>
      <c r="L116" s="138" t="s">
        <v>1292</v>
      </c>
      <c r="M116" s="21"/>
      <c r="N116" s="83" t="s">
        <v>1292</v>
      </c>
      <c r="P116" t="str">
        <f>VLOOKUP(B116,PTN!A:B,2,FALSE)</f>
        <v>UNIVERSITAS SYIAH KUALA</v>
      </c>
      <c r="Q116" t="str">
        <f t="shared" si="1"/>
        <v>UNIVERSITAS SYIAH KUALATEKNIK MESIN</v>
      </c>
    </row>
    <row r="117" spans="1:17" ht="15.75" thickBot="1" x14ac:dyDescent="0.3">
      <c r="A117" s="7">
        <v>116</v>
      </c>
      <c r="B117" s="6">
        <v>1</v>
      </c>
      <c r="C117" s="12">
        <v>1111293</v>
      </c>
      <c r="D117" t="s">
        <v>94</v>
      </c>
      <c r="E117" s="12">
        <v>18</v>
      </c>
      <c r="F117" s="10" t="s">
        <v>20</v>
      </c>
      <c r="J117" s="138" t="s">
        <v>1292</v>
      </c>
      <c r="K117" s="138" t="s">
        <v>1292</v>
      </c>
      <c r="L117" s="138" t="s">
        <v>1292</v>
      </c>
      <c r="M117" s="21"/>
      <c r="N117" s="83" t="s">
        <v>1292</v>
      </c>
      <c r="P117" t="str">
        <f>VLOOKUP(B117,PTN!A:B,2,FALSE)</f>
        <v>UNIVERSITAS SYIAH KUALA</v>
      </c>
      <c r="Q117" t="str">
        <f t="shared" si="1"/>
        <v>UNIVERSITAS SYIAH KUALATeknik Pertambangan</v>
      </c>
    </row>
    <row r="118" spans="1:17" ht="16.5" thickTop="1" thickBot="1" x14ac:dyDescent="0.3">
      <c r="A118" s="7">
        <v>117</v>
      </c>
      <c r="B118" s="6">
        <v>1</v>
      </c>
      <c r="C118" s="13">
        <v>1111111</v>
      </c>
      <c r="D118" t="s">
        <v>95</v>
      </c>
      <c r="E118" s="13">
        <v>30</v>
      </c>
      <c r="F118" s="10" t="s">
        <v>20</v>
      </c>
      <c r="J118" s="138" t="s">
        <v>1292</v>
      </c>
      <c r="K118" s="138" t="s">
        <v>1292</v>
      </c>
      <c r="L118" s="138" t="s">
        <v>1292</v>
      </c>
      <c r="M118" s="24"/>
      <c r="N118" s="84" t="s">
        <v>1292</v>
      </c>
      <c r="P118" t="str">
        <f>VLOOKUP(B118,PTN!A:B,2,FALSE)</f>
        <v>UNIVERSITAS SYIAH KUALA</v>
      </c>
      <c r="Q118" t="str">
        <f t="shared" si="1"/>
        <v>UNIVERSITAS SYIAH KUALATEKNIK PERTANIAN</v>
      </c>
    </row>
    <row r="119" spans="1:17" ht="16.5" thickTop="1" thickBot="1" x14ac:dyDescent="0.3">
      <c r="A119" s="7">
        <v>118</v>
      </c>
      <c r="B119" s="6">
        <v>1</v>
      </c>
      <c r="C119" s="12">
        <v>1111022</v>
      </c>
      <c r="D119" t="s">
        <v>54</v>
      </c>
      <c r="E119" s="12">
        <v>48</v>
      </c>
      <c r="F119" s="10" t="s">
        <v>20</v>
      </c>
      <c r="J119" s="138" t="s">
        <v>1292</v>
      </c>
      <c r="K119" s="138" t="s">
        <v>1292</v>
      </c>
      <c r="L119" s="138" t="s">
        <v>1292</v>
      </c>
      <c r="M119" s="12"/>
      <c r="N119" s="88" t="s">
        <v>1292</v>
      </c>
      <c r="P119" t="str">
        <f>VLOOKUP(B119,PTN!A:B,2,FALSE)</f>
        <v>UNIVERSITAS SYIAH KUALA</v>
      </c>
      <c r="Q119" t="str">
        <f t="shared" si="1"/>
        <v>UNIVERSITAS SYIAH KUALATEKNIK SIPIL</v>
      </c>
    </row>
    <row r="120" spans="1:17" ht="15.75" thickBot="1" x14ac:dyDescent="0.3">
      <c r="A120" s="7">
        <v>119</v>
      </c>
      <c r="B120" s="6">
        <v>1</v>
      </c>
      <c r="C120" s="16">
        <v>1111103</v>
      </c>
      <c r="D120" t="s">
        <v>96</v>
      </c>
      <c r="E120" s="16">
        <v>36</v>
      </c>
      <c r="F120" s="10" t="s">
        <v>20</v>
      </c>
      <c r="J120" s="138" t="s">
        <v>1292</v>
      </c>
      <c r="K120" s="138" t="s">
        <v>1292</v>
      </c>
      <c r="L120" s="138" t="s">
        <v>1292</v>
      </c>
      <c r="M120" s="13"/>
      <c r="N120" s="89" t="s">
        <v>1292</v>
      </c>
      <c r="P120" t="str">
        <f>VLOOKUP(B120,PTN!A:B,2,FALSE)</f>
        <v>UNIVERSITAS SYIAH KUALA</v>
      </c>
      <c r="Q120" t="str">
        <f t="shared" si="1"/>
        <v>UNIVERSITAS SYIAH KUALATEKNOLOGI HASIL PERTANIAN</v>
      </c>
    </row>
    <row r="121" spans="1:17" ht="16.5" thickTop="1" thickBot="1" x14ac:dyDescent="0.3">
      <c r="A121" s="7">
        <v>120</v>
      </c>
      <c r="B121" s="6">
        <v>1</v>
      </c>
      <c r="C121" s="12">
        <v>1112033</v>
      </c>
      <c r="D121" t="s">
        <v>55</v>
      </c>
      <c r="E121" s="12">
        <v>48</v>
      </c>
      <c r="F121" s="10" t="s">
        <v>13</v>
      </c>
      <c r="J121" s="138" t="s">
        <v>1292</v>
      </c>
      <c r="K121" s="138" t="s">
        <v>1292</v>
      </c>
      <c r="L121" s="138" t="s">
        <v>1292</v>
      </c>
      <c r="M121" s="12"/>
      <c r="N121" s="88" t="s">
        <v>1292</v>
      </c>
      <c r="P121" t="str">
        <f>VLOOKUP(B121,PTN!A:B,2,FALSE)</f>
        <v>UNIVERSITAS SYIAH KUALA</v>
      </c>
      <c r="Q121" t="str">
        <f t="shared" si="1"/>
        <v>UNIVERSITAS SYIAH KUALAAKUNTANSI</v>
      </c>
    </row>
    <row r="122" spans="1:17" ht="15.75" thickBot="1" x14ac:dyDescent="0.3">
      <c r="A122" s="7">
        <v>121</v>
      </c>
      <c r="B122" s="6">
        <v>1</v>
      </c>
      <c r="C122" s="13">
        <v>1112145</v>
      </c>
      <c r="D122" t="s">
        <v>27</v>
      </c>
      <c r="E122" s="13">
        <v>30</v>
      </c>
      <c r="F122" s="10" t="s">
        <v>13</v>
      </c>
      <c r="J122" s="138" t="s">
        <v>1292</v>
      </c>
      <c r="K122" s="138" t="s">
        <v>1292</v>
      </c>
      <c r="L122" s="138" t="s">
        <v>1292</v>
      </c>
      <c r="M122" s="13"/>
      <c r="N122" s="89" t="s">
        <v>1292</v>
      </c>
      <c r="P122" t="str">
        <f>VLOOKUP(B122,PTN!A:B,2,FALSE)</f>
        <v>UNIVERSITAS SYIAH KUALA</v>
      </c>
      <c r="Q122" t="str">
        <f t="shared" si="1"/>
        <v>UNIVERSITAS SYIAH KUALABIMBINGAN KONSELING</v>
      </c>
    </row>
    <row r="123" spans="1:17" ht="15.75" thickBot="1" x14ac:dyDescent="0.3">
      <c r="A123" s="7">
        <v>122</v>
      </c>
      <c r="B123" s="6">
        <v>1</v>
      </c>
      <c r="C123" s="12">
        <v>1112226</v>
      </c>
      <c r="D123" t="s">
        <v>57</v>
      </c>
      <c r="E123" s="12">
        <v>36</v>
      </c>
      <c r="F123" s="10" t="s">
        <v>13</v>
      </c>
      <c r="J123" s="138" t="s">
        <v>1292</v>
      </c>
      <c r="K123" s="138" t="s">
        <v>1292</v>
      </c>
      <c r="L123" s="138" t="s">
        <v>1292</v>
      </c>
      <c r="M123" s="12"/>
      <c r="N123" s="88" t="s">
        <v>1292</v>
      </c>
      <c r="P123" t="str">
        <f>VLOOKUP(B123,PTN!A:B,2,FALSE)</f>
        <v>UNIVERSITAS SYIAH KUALA</v>
      </c>
      <c r="Q123" t="str">
        <f t="shared" si="1"/>
        <v>UNIVERSITAS SYIAH KUALAEKONOMI ISLAM</v>
      </c>
    </row>
    <row r="124" spans="1:17" ht="15.75" thickBot="1" x14ac:dyDescent="0.3">
      <c r="A124" s="7">
        <v>123</v>
      </c>
      <c r="B124" s="6">
        <v>1</v>
      </c>
      <c r="C124" s="13">
        <v>1112017</v>
      </c>
      <c r="D124" t="s">
        <v>69</v>
      </c>
      <c r="E124" s="13">
        <v>48</v>
      </c>
      <c r="F124" s="10" t="s">
        <v>13</v>
      </c>
      <c r="J124" s="138" t="s">
        <v>1292</v>
      </c>
      <c r="K124" s="138" t="s">
        <v>1292</v>
      </c>
      <c r="L124" s="138" t="s">
        <v>1292</v>
      </c>
      <c r="M124" s="13"/>
      <c r="N124" s="89" t="s">
        <v>1292</v>
      </c>
      <c r="P124" t="str">
        <f>VLOOKUP(B124,PTN!A:B,2,FALSE)</f>
        <v>UNIVERSITAS SYIAH KUALA</v>
      </c>
      <c r="Q124" t="str">
        <f t="shared" si="1"/>
        <v>UNIVERSITAS SYIAH KUALAEKONOMI PEMBANGUNAN</v>
      </c>
    </row>
    <row r="125" spans="1:17" ht="15.75" thickBot="1" x14ac:dyDescent="0.3">
      <c r="A125" s="7">
        <v>124</v>
      </c>
      <c r="B125" s="6">
        <v>1</v>
      </c>
      <c r="C125" s="12">
        <v>1112041</v>
      </c>
      <c r="D125" t="s">
        <v>31</v>
      </c>
      <c r="E125" s="12">
        <v>120</v>
      </c>
      <c r="F125" s="10" t="s">
        <v>13</v>
      </c>
      <c r="J125" s="138" t="s">
        <v>1292</v>
      </c>
      <c r="K125" s="138" t="s">
        <v>1292</v>
      </c>
      <c r="L125" s="138" t="s">
        <v>1292</v>
      </c>
      <c r="M125" s="12"/>
      <c r="N125" s="88" t="s">
        <v>1292</v>
      </c>
      <c r="P125" t="str">
        <f>VLOOKUP(B125,PTN!A:B,2,FALSE)</f>
        <v>UNIVERSITAS SYIAH KUALA</v>
      </c>
      <c r="Q125" t="str">
        <f t="shared" si="1"/>
        <v>UNIVERSITAS SYIAH KUALAILMU HUKUM</v>
      </c>
    </row>
    <row r="126" spans="1:17" ht="15.75" thickBot="1" x14ac:dyDescent="0.3">
      <c r="A126" s="7">
        <v>125</v>
      </c>
      <c r="B126" s="6">
        <v>1</v>
      </c>
      <c r="C126" s="13">
        <v>1112192</v>
      </c>
      <c r="D126" t="s">
        <v>60</v>
      </c>
      <c r="E126" s="13">
        <v>36</v>
      </c>
      <c r="F126" s="10" t="s">
        <v>13</v>
      </c>
      <c r="J126" s="138" t="s">
        <v>1292</v>
      </c>
      <c r="K126" s="138" t="s">
        <v>1292</v>
      </c>
      <c r="L126" s="138" t="s">
        <v>1292</v>
      </c>
      <c r="M126" s="13"/>
      <c r="N126" s="89" t="s">
        <v>1292</v>
      </c>
      <c r="P126" t="str">
        <f>VLOOKUP(B126,PTN!A:B,2,FALSE)</f>
        <v>UNIVERSITAS SYIAH KUALA</v>
      </c>
      <c r="Q126" t="str">
        <f t="shared" si="1"/>
        <v>UNIVERSITAS SYIAH KUALAILMU KOMUNIKASI</v>
      </c>
    </row>
    <row r="127" spans="1:17" ht="15.75" thickBot="1" x14ac:dyDescent="0.3">
      <c r="A127" s="7">
        <v>126</v>
      </c>
      <c r="B127" s="6">
        <v>1</v>
      </c>
      <c r="C127" s="12">
        <v>1112211</v>
      </c>
      <c r="D127" t="s">
        <v>97</v>
      </c>
      <c r="E127" s="12">
        <v>36</v>
      </c>
      <c r="F127" s="10" t="s">
        <v>13</v>
      </c>
      <c r="J127" s="138" t="s">
        <v>1292</v>
      </c>
      <c r="K127" s="138" t="s">
        <v>1292</v>
      </c>
      <c r="L127" s="138" t="s">
        <v>1292</v>
      </c>
      <c r="M127" s="12"/>
      <c r="N127" s="88" t="s">
        <v>1292</v>
      </c>
      <c r="P127" t="str">
        <f>VLOOKUP(B127,PTN!A:B,2,FALSE)</f>
        <v>UNIVERSITAS SYIAH KUALA</v>
      </c>
      <c r="Q127" t="str">
        <f t="shared" si="1"/>
        <v>UNIVERSITAS SYIAH KUALAILMU PEMERINTAHAN</v>
      </c>
    </row>
    <row r="128" spans="1:17" ht="15.75" thickBot="1" x14ac:dyDescent="0.3">
      <c r="A128" s="7">
        <v>127</v>
      </c>
      <c r="B128" s="6">
        <v>1</v>
      </c>
      <c r="C128" s="13">
        <v>1112176</v>
      </c>
      <c r="D128" t="s">
        <v>33</v>
      </c>
      <c r="E128" s="13">
        <v>36</v>
      </c>
      <c r="F128" s="10" t="s">
        <v>13</v>
      </c>
      <c r="J128" s="138" t="s">
        <v>1292</v>
      </c>
      <c r="K128" s="138" t="s">
        <v>1292</v>
      </c>
      <c r="L128" s="138" t="s">
        <v>1292</v>
      </c>
      <c r="M128" s="13"/>
      <c r="N128" s="89" t="s">
        <v>1292</v>
      </c>
      <c r="P128" t="str">
        <f>VLOOKUP(B128,PTN!A:B,2,FALSE)</f>
        <v>UNIVERSITAS SYIAH KUALA</v>
      </c>
      <c r="Q128" t="str">
        <f t="shared" si="1"/>
        <v>UNIVERSITAS SYIAH KUALAILMU POLITIK</v>
      </c>
    </row>
    <row r="129" spans="1:17" ht="15.75" thickBot="1" x14ac:dyDescent="0.3">
      <c r="A129" s="7">
        <v>128</v>
      </c>
      <c r="B129" s="6">
        <v>1</v>
      </c>
      <c r="C129" s="12">
        <v>1112025</v>
      </c>
      <c r="D129" t="s">
        <v>61</v>
      </c>
      <c r="E129" s="12">
        <v>48</v>
      </c>
      <c r="F129" s="10" t="s">
        <v>13</v>
      </c>
      <c r="J129" s="138" t="s">
        <v>1292</v>
      </c>
      <c r="K129" s="138" t="s">
        <v>1292</v>
      </c>
      <c r="L129" s="138" t="s">
        <v>1292</v>
      </c>
      <c r="M129" s="12"/>
      <c r="N129" s="88" t="s">
        <v>1292</v>
      </c>
      <c r="P129" t="str">
        <f>VLOOKUP(B129,PTN!A:B,2,FALSE)</f>
        <v>UNIVERSITAS SYIAH KUALA</v>
      </c>
      <c r="Q129" t="str">
        <f t="shared" si="1"/>
        <v>UNIVERSITAS SYIAH KUALAMANAJEMEN</v>
      </c>
    </row>
    <row r="130" spans="1:17" ht="15.75" thickBot="1" x14ac:dyDescent="0.3">
      <c r="A130" s="7">
        <v>129</v>
      </c>
      <c r="B130" s="6">
        <v>1</v>
      </c>
      <c r="C130" s="13">
        <v>1112234</v>
      </c>
      <c r="D130" t="s">
        <v>98</v>
      </c>
      <c r="E130" s="13">
        <v>27</v>
      </c>
      <c r="F130" s="10" t="s">
        <v>13</v>
      </c>
      <c r="J130" s="138" t="s">
        <v>1292</v>
      </c>
      <c r="K130" s="138" t="s">
        <v>1292</v>
      </c>
      <c r="L130" s="138" t="s">
        <v>1292</v>
      </c>
      <c r="M130" s="13"/>
      <c r="N130" s="89" t="s">
        <v>1292</v>
      </c>
      <c r="P130" t="str">
        <f>VLOOKUP(B130,PTN!A:B,2,FALSE)</f>
        <v>UNIVERSITAS SYIAH KUALA</v>
      </c>
      <c r="Q130" t="str">
        <f t="shared" si="1"/>
        <v>UNIVERSITAS SYIAH KUALAManajemen (PSDKU GAYO LUES)</v>
      </c>
    </row>
    <row r="131" spans="1:17" ht="15.75" thickBot="1" x14ac:dyDescent="0.3">
      <c r="A131" s="7">
        <v>130</v>
      </c>
      <c r="B131" s="6">
        <v>1</v>
      </c>
      <c r="C131" s="12">
        <v>1112095</v>
      </c>
      <c r="D131" t="s">
        <v>99</v>
      </c>
      <c r="E131" s="12">
        <v>27</v>
      </c>
      <c r="F131" s="10" t="s">
        <v>13</v>
      </c>
      <c r="J131" s="138" t="s">
        <v>1292</v>
      </c>
      <c r="K131" s="138" t="s">
        <v>1292</v>
      </c>
      <c r="L131" s="138" t="s">
        <v>1292</v>
      </c>
      <c r="M131" s="12"/>
      <c r="N131" s="88" t="s">
        <v>1292</v>
      </c>
      <c r="P131" t="str">
        <f>VLOOKUP(B131,PTN!A:B,2,FALSE)</f>
        <v>UNIVERSITAS SYIAH KUALA</v>
      </c>
      <c r="Q131" t="str">
        <f t="shared" ref="Q131:Q194" si="2">P131&amp;D131</f>
        <v>UNIVERSITAS SYIAH KUALAPENDIDIKAN BAHASA DAN SASTRA INDONESIA</v>
      </c>
    </row>
    <row r="132" spans="1:17" ht="15.75" thickBot="1" x14ac:dyDescent="0.3">
      <c r="A132" s="7">
        <v>131</v>
      </c>
      <c r="B132" s="6">
        <v>1</v>
      </c>
      <c r="C132" s="13">
        <v>1112106</v>
      </c>
      <c r="D132" t="s">
        <v>71</v>
      </c>
      <c r="E132" s="13">
        <v>36</v>
      </c>
      <c r="F132" s="10" t="s">
        <v>13</v>
      </c>
      <c r="J132" s="138" t="s">
        <v>1292</v>
      </c>
      <c r="K132" s="138" t="s">
        <v>1292</v>
      </c>
      <c r="L132" s="138" t="s">
        <v>1292</v>
      </c>
      <c r="M132" s="13"/>
      <c r="N132" s="89" t="s">
        <v>1292</v>
      </c>
      <c r="P132" t="str">
        <f>VLOOKUP(B132,PTN!A:B,2,FALSE)</f>
        <v>UNIVERSITAS SYIAH KUALA</v>
      </c>
      <c r="Q132" t="str">
        <f t="shared" si="2"/>
        <v>UNIVERSITAS SYIAH KUALAPENDIDIKAN BAHASA INGGRIS</v>
      </c>
    </row>
    <row r="133" spans="1:17" ht="15.75" thickBot="1" x14ac:dyDescent="0.3">
      <c r="A133" s="7">
        <v>132</v>
      </c>
      <c r="B133" s="6">
        <v>1</v>
      </c>
      <c r="C133" s="12">
        <v>1112072</v>
      </c>
      <c r="D133" t="s">
        <v>100</v>
      </c>
      <c r="E133" s="12">
        <v>27</v>
      </c>
      <c r="F133" s="10" t="s">
        <v>13</v>
      </c>
      <c r="J133" s="138" t="s">
        <v>1292</v>
      </c>
      <c r="K133" s="138" t="s">
        <v>1292</v>
      </c>
      <c r="L133" s="138" t="s">
        <v>1292</v>
      </c>
      <c r="M133" s="12"/>
      <c r="N133" s="88" t="s">
        <v>1292</v>
      </c>
      <c r="P133" t="str">
        <f>VLOOKUP(B133,PTN!A:B,2,FALSE)</f>
        <v>UNIVERSITAS SYIAH KUALA</v>
      </c>
      <c r="Q133" t="str">
        <f t="shared" si="2"/>
        <v>UNIVERSITAS SYIAH KUALAPENDIDIKAN EKONOMI</v>
      </c>
    </row>
    <row r="134" spans="1:17" ht="15.75" thickBot="1" x14ac:dyDescent="0.3">
      <c r="A134" s="7">
        <v>133</v>
      </c>
      <c r="B134" s="6">
        <v>1</v>
      </c>
      <c r="C134" s="13">
        <v>1112087</v>
      </c>
      <c r="D134" t="s">
        <v>72</v>
      </c>
      <c r="E134" s="13">
        <v>27</v>
      </c>
      <c r="F134" s="10" t="s">
        <v>13</v>
      </c>
      <c r="J134" s="138" t="s">
        <v>1292</v>
      </c>
      <c r="K134" s="138" t="s">
        <v>1292</v>
      </c>
      <c r="L134" s="138" t="s">
        <v>1292</v>
      </c>
      <c r="M134" s="13"/>
      <c r="N134" s="89" t="s">
        <v>1292</v>
      </c>
      <c r="P134" t="str">
        <f>VLOOKUP(B134,PTN!A:B,2,FALSE)</f>
        <v>UNIVERSITAS SYIAH KUALA</v>
      </c>
      <c r="Q134" t="str">
        <f t="shared" si="2"/>
        <v>UNIVERSITAS SYIAH KUALAPENDIDIKAN GEOGRAFI</v>
      </c>
    </row>
    <row r="135" spans="1:17" ht="15.75" thickBot="1" x14ac:dyDescent="0.3">
      <c r="A135" s="7">
        <v>134</v>
      </c>
      <c r="B135" s="6">
        <v>1</v>
      </c>
      <c r="C135" s="12">
        <v>1112203</v>
      </c>
      <c r="D135" t="s">
        <v>101</v>
      </c>
      <c r="E135" s="12">
        <v>27</v>
      </c>
      <c r="F135" s="10" t="s">
        <v>13</v>
      </c>
      <c r="J135" s="138" t="s">
        <v>1292</v>
      </c>
      <c r="K135" s="138" t="s">
        <v>1292</v>
      </c>
      <c r="L135" s="138" t="s">
        <v>1292</v>
      </c>
      <c r="M135" s="12"/>
      <c r="N135" s="88" t="s">
        <v>1292</v>
      </c>
      <c r="P135" t="str">
        <f>VLOOKUP(B135,PTN!A:B,2,FALSE)</f>
        <v>UNIVERSITAS SYIAH KUALA</v>
      </c>
      <c r="Q135" t="str">
        <f t="shared" si="2"/>
        <v>UNIVERSITAS SYIAH KUALAPENDIDIKAN GURU PAUD</v>
      </c>
    </row>
    <row r="136" spans="1:17" ht="15.75" thickBot="1" x14ac:dyDescent="0.3">
      <c r="A136" s="7">
        <v>135</v>
      </c>
      <c r="B136" s="6">
        <v>1</v>
      </c>
      <c r="C136" s="13">
        <v>1112153</v>
      </c>
      <c r="D136" t="s">
        <v>73</v>
      </c>
      <c r="E136" s="13">
        <v>36</v>
      </c>
      <c r="F136" s="10" t="s">
        <v>13</v>
      </c>
      <c r="J136" s="138" t="s">
        <v>1292</v>
      </c>
      <c r="K136" s="138" t="s">
        <v>1292</v>
      </c>
      <c r="L136" s="138" t="s">
        <v>1292</v>
      </c>
      <c r="M136" s="13"/>
      <c r="N136" s="89" t="s">
        <v>1292</v>
      </c>
      <c r="P136" t="str">
        <f>VLOOKUP(B136,PTN!A:B,2,FALSE)</f>
        <v>UNIVERSITAS SYIAH KUALA</v>
      </c>
      <c r="Q136" t="str">
        <f t="shared" si="2"/>
        <v>UNIVERSITAS SYIAH KUALAPENDIDIKAN GURU SEKOLAH DASAR</v>
      </c>
    </row>
    <row r="137" spans="1:17" ht="15.75" thickBot="1" x14ac:dyDescent="0.3">
      <c r="A137" s="7">
        <v>136</v>
      </c>
      <c r="B137" s="6">
        <v>1</v>
      </c>
      <c r="C137" s="12">
        <v>1112122</v>
      </c>
      <c r="D137" t="s">
        <v>102</v>
      </c>
      <c r="E137" s="12">
        <v>30</v>
      </c>
      <c r="F137" s="10" t="s">
        <v>13</v>
      </c>
      <c r="J137" s="138" t="s">
        <v>1292</v>
      </c>
      <c r="K137" s="138" t="s">
        <v>1292</v>
      </c>
      <c r="L137" s="138" t="s">
        <v>1292</v>
      </c>
      <c r="M137" s="12"/>
      <c r="N137" s="88" t="s">
        <v>1292</v>
      </c>
      <c r="P137" t="str">
        <f>VLOOKUP(B137,PTN!A:B,2,FALSE)</f>
        <v>UNIVERSITAS SYIAH KUALA</v>
      </c>
      <c r="Q137" t="str">
        <f t="shared" si="2"/>
        <v>UNIVERSITAS SYIAH KUALAPENDIDIKAN KESEJAHTERAAN KELUARGA</v>
      </c>
    </row>
    <row r="138" spans="1:17" ht="15.75" thickBot="1" x14ac:dyDescent="0.3">
      <c r="A138" s="7">
        <v>137</v>
      </c>
      <c r="B138" s="6">
        <v>1</v>
      </c>
      <c r="C138" s="13">
        <v>1112056</v>
      </c>
      <c r="D138" t="s">
        <v>103</v>
      </c>
      <c r="E138" s="13">
        <v>27</v>
      </c>
      <c r="F138" s="10" t="s">
        <v>13</v>
      </c>
      <c r="J138" s="138" t="s">
        <v>1292</v>
      </c>
      <c r="K138" s="138" t="s">
        <v>1292</v>
      </c>
      <c r="L138" s="138" t="s">
        <v>1292</v>
      </c>
      <c r="M138" s="13"/>
      <c r="N138" s="89" t="s">
        <v>1292</v>
      </c>
      <c r="P138" t="str">
        <f>VLOOKUP(B138,PTN!A:B,2,FALSE)</f>
        <v>UNIVERSITAS SYIAH KUALA</v>
      </c>
      <c r="Q138" t="str">
        <f t="shared" si="2"/>
        <v>UNIVERSITAS SYIAH KUALAPENDIDIKAN PANCASILA DAN KEWARGANEGARAAN</v>
      </c>
    </row>
    <row r="139" spans="1:17" ht="15.75" thickBot="1" x14ac:dyDescent="0.3">
      <c r="A139" s="7">
        <v>138</v>
      </c>
      <c r="B139" s="6">
        <v>1</v>
      </c>
      <c r="C139" s="12">
        <v>1112064</v>
      </c>
      <c r="D139" t="s">
        <v>75</v>
      </c>
      <c r="E139" s="12">
        <v>27</v>
      </c>
      <c r="F139" s="10" t="s">
        <v>13</v>
      </c>
      <c r="J139" s="138" t="s">
        <v>1292</v>
      </c>
      <c r="K139" s="138" t="s">
        <v>1292</v>
      </c>
      <c r="L139" s="138" t="s">
        <v>1292</v>
      </c>
      <c r="M139" s="12"/>
      <c r="N139" s="88" t="s">
        <v>1292</v>
      </c>
      <c r="P139" t="str">
        <f>VLOOKUP(B139,PTN!A:B,2,FALSE)</f>
        <v>UNIVERSITAS SYIAH KUALA</v>
      </c>
      <c r="Q139" t="str">
        <f t="shared" si="2"/>
        <v>UNIVERSITAS SYIAH KUALAPENDIDIKAN SEJARAH</v>
      </c>
    </row>
    <row r="140" spans="1:17" ht="15.75" thickBot="1" x14ac:dyDescent="0.3">
      <c r="A140" s="7">
        <v>139</v>
      </c>
      <c r="B140" s="6">
        <v>1</v>
      </c>
      <c r="C140" s="13">
        <v>1112114</v>
      </c>
      <c r="D140" t="s">
        <v>104</v>
      </c>
      <c r="E140" s="13">
        <v>36</v>
      </c>
      <c r="F140" s="10" t="s">
        <v>13</v>
      </c>
      <c r="J140" s="138" t="s">
        <v>1292</v>
      </c>
      <c r="K140" s="138" t="s">
        <v>1292</v>
      </c>
      <c r="L140" s="138" t="s">
        <v>1292</v>
      </c>
      <c r="M140" s="13"/>
      <c r="N140" s="89" t="s">
        <v>1292</v>
      </c>
      <c r="P140" t="str">
        <f>VLOOKUP(B140,PTN!A:B,2,FALSE)</f>
        <v>UNIVERSITAS SYIAH KUALA</v>
      </c>
      <c r="Q140" t="str">
        <f t="shared" si="2"/>
        <v>UNIVERSITAS SYIAH KUALAPENDIDIKAN SENI DRAMA TARI DAN MUSIK</v>
      </c>
    </row>
    <row r="141" spans="1:17" ht="15.75" thickBot="1" x14ac:dyDescent="0.3">
      <c r="A141" s="7">
        <v>140</v>
      </c>
      <c r="B141" s="6">
        <v>1</v>
      </c>
      <c r="C141" s="12">
        <v>1112137</v>
      </c>
      <c r="D141" t="s">
        <v>105</v>
      </c>
      <c r="E141" s="12">
        <v>36</v>
      </c>
      <c r="F141" s="10" t="s">
        <v>13</v>
      </c>
      <c r="J141" s="138" t="s">
        <v>1292</v>
      </c>
      <c r="K141" s="138" t="s">
        <v>1292</v>
      </c>
      <c r="L141" s="138" t="s">
        <v>1292</v>
      </c>
      <c r="M141" s="14"/>
      <c r="N141" s="90" t="s">
        <v>1292</v>
      </c>
      <c r="P141" t="str">
        <f>VLOOKUP(B141,PTN!A:B,2,FALSE)</f>
        <v>UNIVERSITAS SYIAH KUALA</v>
      </c>
      <c r="Q141" t="str">
        <f t="shared" si="2"/>
        <v>UNIVERSITAS SYIAH KUALAPEND. JASMANI KESEHATAN DAN REKREASI</v>
      </c>
    </row>
    <row r="142" spans="1:17" ht="16.5" thickTop="1" thickBot="1" x14ac:dyDescent="0.3">
      <c r="A142" s="7">
        <v>141</v>
      </c>
      <c r="B142" s="6">
        <v>1</v>
      </c>
      <c r="C142" s="13">
        <v>1112161</v>
      </c>
      <c r="D142" t="s">
        <v>36</v>
      </c>
      <c r="E142" s="13">
        <v>24</v>
      </c>
      <c r="F142" s="10" t="s">
        <v>13</v>
      </c>
      <c r="I142" s="20"/>
      <c r="J142" s="138" t="s">
        <v>1292</v>
      </c>
      <c r="K142" s="138" t="s">
        <v>1292</v>
      </c>
      <c r="L142" s="138" t="s">
        <v>1292</v>
      </c>
      <c r="M142" s="21"/>
      <c r="N142" s="83" t="s">
        <v>1292</v>
      </c>
      <c r="P142" t="str">
        <f>VLOOKUP(B142,PTN!A:B,2,FALSE)</f>
        <v>UNIVERSITAS SYIAH KUALA</v>
      </c>
      <c r="Q142" t="str">
        <f t="shared" si="2"/>
        <v>UNIVERSITAS SYIAH KUALAPSIKOLOGI</v>
      </c>
    </row>
    <row r="143" spans="1:17" ht="15.75" thickBot="1" x14ac:dyDescent="0.3">
      <c r="A143" s="7">
        <v>142</v>
      </c>
      <c r="B143" s="6">
        <v>1</v>
      </c>
      <c r="C143" s="14">
        <v>1112184</v>
      </c>
      <c r="D143" t="s">
        <v>63</v>
      </c>
      <c r="E143" s="14">
        <v>36</v>
      </c>
      <c r="F143" s="10" t="s">
        <v>13</v>
      </c>
      <c r="I143" s="22"/>
      <c r="J143" s="138" t="s">
        <v>1292</v>
      </c>
      <c r="K143" s="138" t="s">
        <v>1292</v>
      </c>
      <c r="L143" s="138" t="s">
        <v>1292</v>
      </c>
      <c r="M143" s="21"/>
      <c r="N143" s="83" t="s">
        <v>1292</v>
      </c>
      <c r="P143" t="str">
        <f>VLOOKUP(B143,PTN!A:B,2,FALSE)</f>
        <v>UNIVERSITAS SYIAH KUALA</v>
      </c>
      <c r="Q143" t="str">
        <f t="shared" si="2"/>
        <v>UNIVERSITAS SYIAH KUALASOSIOLOGI</v>
      </c>
    </row>
    <row r="144" spans="1:17" ht="16.5" thickTop="1" thickBot="1" x14ac:dyDescent="0.3">
      <c r="A144" s="7">
        <v>143</v>
      </c>
      <c r="B144" s="6">
        <v>3</v>
      </c>
      <c r="C144" s="12">
        <v>1131042</v>
      </c>
      <c r="D144" t="s">
        <v>37</v>
      </c>
      <c r="E144" s="12">
        <v>24</v>
      </c>
      <c r="F144" s="10" t="s">
        <v>20</v>
      </c>
      <c r="I144" s="23"/>
      <c r="J144" s="138" t="s">
        <v>1292</v>
      </c>
      <c r="K144" s="138" t="s">
        <v>1292</v>
      </c>
      <c r="L144" s="138" t="s">
        <v>1292</v>
      </c>
      <c r="M144" s="25"/>
      <c r="N144" s="83" t="s">
        <v>1292</v>
      </c>
      <c r="P144" t="str">
        <f>VLOOKUP(B144,PTN!A:B,2,FALSE)</f>
        <v>UNIVERSITAS TEUKU UMAR</v>
      </c>
      <c r="Q144" t="str">
        <f t="shared" si="2"/>
        <v>UNIVERSITAS TEUKU UMARAGRIBISNIS</v>
      </c>
    </row>
    <row r="145" spans="1:17" ht="16.5" thickTop="1" thickBot="1" x14ac:dyDescent="0.3">
      <c r="A145" s="7">
        <v>144</v>
      </c>
      <c r="B145" s="6">
        <v>3</v>
      </c>
      <c r="C145" s="13">
        <v>1131057</v>
      </c>
      <c r="D145" t="s">
        <v>64</v>
      </c>
      <c r="E145" s="13">
        <v>24</v>
      </c>
      <c r="F145" s="10" t="s">
        <v>20</v>
      </c>
      <c r="I145" s="26"/>
      <c r="J145" s="138" t="s">
        <v>1292</v>
      </c>
      <c r="K145" s="138" t="s">
        <v>1292</v>
      </c>
      <c r="L145" s="138" t="s">
        <v>1292</v>
      </c>
      <c r="M145" s="27"/>
      <c r="N145" s="83" t="s">
        <v>1292</v>
      </c>
      <c r="P145" t="str">
        <f>VLOOKUP(B145,PTN!A:B,2,FALSE)</f>
        <v>UNIVERSITAS TEUKU UMAR</v>
      </c>
      <c r="Q145" t="str">
        <f t="shared" si="2"/>
        <v>UNIVERSITAS TEUKU UMARAGROTEKNOLOGI</v>
      </c>
    </row>
    <row r="146" spans="1:17" ht="15.75" thickBot="1" x14ac:dyDescent="0.3">
      <c r="A146" s="7">
        <v>145</v>
      </c>
      <c r="B146" s="6">
        <v>3</v>
      </c>
      <c r="C146" s="12">
        <v>1131081</v>
      </c>
      <c r="D146" t="s">
        <v>106</v>
      </c>
      <c r="E146" s="12">
        <v>12</v>
      </c>
      <c r="F146" s="10" t="s">
        <v>20</v>
      </c>
      <c r="I146" s="87"/>
      <c r="J146" s="138" t="s">
        <v>1292</v>
      </c>
      <c r="K146" s="138" t="s">
        <v>1292</v>
      </c>
      <c r="L146" s="138" t="s">
        <v>1292</v>
      </c>
      <c r="M146" s="28"/>
      <c r="N146" s="83" t="s">
        <v>1292</v>
      </c>
      <c r="P146" t="str">
        <f>VLOOKUP(B146,PTN!A:B,2,FALSE)</f>
        <v>UNIVERSITAS TEUKU UMAR</v>
      </c>
      <c r="Q146" t="str">
        <f t="shared" si="2"/>
        <v>UNIVERSITAS TEUKU UMARAKUAKULTUR</v>
      </c>
    </row>
    <row r="147" spans="1:17" ht="15.75" thickBot="1" x14ac:dyDescent="0.3">
      <c r="A147" s="7">
        <v>146</v>
      </c>
      <c r="B147" s="6">
        <v>3</v>
      </c>
      <c r="C147" s="13">
        <v>1131115</v>
      </c>
      <c r="D147" t="s">
        <v>40</v>
      </c>
      <c r="E147" s="13">
        <v>12</v>
      </c>
      <c r="F147" s="10" t="s">
        <v>20</v>
      </c>
      <c r="I147" s="26"/>
      <c r="J147" s="138" t="s">
        <v>1292</v>
      </c>
      <c r="K147" s="138" t="s">
        <v>1292</v>
      </c>
      <c r="L147" s="138" t="s">
        <v>1292</v>
      </c>
      <c r="M147" s="27"/>
      <c r="N147" s="83" t="s">
        <v>1292</v>
      </c>
      <c r="P147" t="str">
        <f>VLOOKUP(B147,PTN!A:B,2,FALSE)</f>
        <v>UNIVERSITAS TEUKU UMAR</v>
      </c>
      <c r="Q147" t="str">
        <f t="shared" si="2"/>
        <v>UNIVERSITAS TEUKU UMARILMU KELAUTAN</v>
      </c>
    </row>
    <row r="148" spans="1:17" ht="15.75" thickBot="1" x14ac:dyDescent="0.3">
      <c r="A148" s="7">
        <v>147</v>
      </c>
      <c r="B148" s="6">
        <v>3</v>
      </c>
      <c r="C148" s="12">
        <v>1131073</v>
      </c>
      <c r="D148" t="s">
        <v>107</v>
      </c>
      <c r="E148" s="12">
        <v>30</v>
      </c>
      <c r="F148" s="10" t="s">
        <v>20</v>
      </c>
      <c r="I148" s="87"/>
      <c r="J148" s="138" t="s">
        <v>1292</v>
      </c>
      <c r="K148" s="138" t="s">
        <v>1292</v>
      </c>
      <c r="L148" s="138" t="s">
        <v>1292</v>
      </c>
      <c r="M148" s="28"/>
      <c r="N148" s="83" t="s">
        <v>1292</v>
      </c>
      <c r="P148" t="str">
        <f>VLOOKUP(B148,PTN!A:B,2,FALSE)</f>
        <v>UNIVERSITAS TEUKU UMAR</v>
      </c>
      <c r="Q148" t="str">
        <f t="shared" si="2"/>
        <v>UNIVERSITAS TEUKU UMARKESEHATAN MASYARAKAT</v>
      </c>
    </row>
    <row r="149" spans="1:17" ht="15.75" thickBot="1" x14ac:dyDescent="0.3">
      <c r="A149" s="7">
        <v>148</v>
      </c>
      <c r="B149" s="6">
        <v>3</v>
      </c>
      <c r="C149" s="13">
        <v>1131065</v>
      </c>
      <c r="D149" t="s">
        <v>108</v>
      </c>
      <c r="E149" s="13">
        <v>24</v>
      </c>
      <c r="F149" s="10" t="s">
        <v>20</v>
      </c>
      <c r="I149" s="26"/>
      <c r="J149" s="138" t="s">
        <v>1292</v>
      </c>
      <c r="K149" s="138" t="s">
        <v>1292</v>
      </c>
      <c r="L149" s="138" t="s">
        <v>1292</v>
      </c>
      <c r="M149" s="27"/>
      <c r="N149" s="83" t="s">
        <v>1292</v>
      </c>
      <c r="P149" t="str">
        <f>VLOOKUP(B149,PTN!A:B,2,FALSE)</f>
        <v>UNIVERSITAS TEUKU UMAR</v>
      </c>
      <c r="Q149" t="str">
        <f t="shared" si="2"/>
        <v>UNIVERSITAS TEUKU UMARPERIKANAN</v>
      </c>
    </row>
    <row r="150" spans="1:17" ht="15.75" thickBot="1" x14ac:dyDescent="0.3">
      <c r="A150" s="7">
        <v>149</v>
      </c>
      <c r="B150" s="6">
        <v>3</v>
      </c>
      <c r="C150" s="12">
        <v>1131096</v>
      </c>
      <c r="D150" t="s">
        <v>109</v>
      </c>
      <c r="E150" s="12">
        <v>12</v>
      </c>
      <c r="F150" s="10" t="s">
        <v>20</v>
      </c>
      <c r="I150" s="87"/>
      <c r="J150" s="138" t="s">
        <v>1292</v>
      </c>
      <c r="K150" s="138" t="s">
        <v>1292</v>
      </c>
      <c r="L150" s="138" t="s">
        <v>1292</v>
      </c>
      <c r="M150" s="28"/>
      <c r="N150" s="83" t="s">
        <v>1292</v>
      </c>
      <c r="P150" t="str">
        <f>VLOOKUP(B150,PTN!A:B,2,FALSE)</f>
        <v>UNIVERSITAS TEUKU UMAR</v>
      </c>
      <c r="Q150" t="str">
        <f t="shared" si="2"/>
        <v>UNIVERSITAS TEUKU UMARSUMBER DAYA AKUATIK</v>
      </c>
    </row>
    <row r="151" spans="1:17" ht="15.75" thickBot="1" x14ac:dyDescent="0.3">
      <c r="A151" s="7">
        <v>150</v>
      </c>
      <c r="B151" s="6">
        <v>3</v>
      </c>
      <c r="C151" s="13">
        <v>1131034</v>
      </c>
      <c r="D151" t="s">
        <v>49</v>
      </c>
      <c r="E151" s="13">
        <v>16</v>
      </c>
      <c r="F151" s="10" t="s">
        <v>20</v>
      </c>
      <c r="I151" s="29"/>
      <c r="J151" s="138" t="s">
        <v>1292</v>
      </c>
      <c r="K151" s="138" t="s">
        <v>1292</v>
      </c>
      <c r="L151" s="138" t="s">
        <v>1292</v>
      </c>
      <c r="M151" s="30"/>
      <c r="N151" s="83" t="s">
        <v>1292</v>
      </c>
      <c r="P151" t="str">
        <f>VLOOKUP(B151,PTN!A:B,2,FALSE)</f>
        <v>UNIVERSITAS TEUKU UMAR</v>
      </c>
      <c r="Q151" t="str">
        <f t="shared" si="2"/>
        <v>UNIVERSITAS TEUKU UMARTEKNIK INDUSTRI</v>
      </c>
    </row>
    <row r="152" spans="1:17" ht="16.5" thickTop="1" thickBot="1" x14ac:dyDescent="0.3">
      <c r="A152" s="7">
        <v>151</v>
      </c>
      <c r="B152" s="6">
        <v>3</v>
      </c>
      <c r="C152" s="12">
        <v>1131026</v>
      </c>
      <c r="D152" t="s">
        <v>53</v>
      </c>
      <c r="E152" s="12">
        <v>16</v>
      </c>
      <c r="F152" s="10" t="s">
        <v>20</v>
      </c>
      <c r="I152" s="26"/>
      <c r="J152" s="138" t="s">
        <v>1292</v>
      </c>
      <c r="K152" s="138" t="s">
        <v>1292</v>
      </c>
      <c r="L152" s="138" t="s">
        <v>1292</v>
      </c>
      <c r="M152" s="27"/>
      <c r="N152" s="83" t="s">
        <v>1292</v>
      </c>
      <c r="P152" t="str">
        <f>VLOOKUP(B152,PTN!A:B,2,FALSE)</f>
        <v>UNIVERSITAS TEUKU UMAR</v>
      </c>
      <c r="Q152" t="str">
        <f t="shared" si="2"/>
        <v>UNIVERSITAS TEUKU UMARTEKNIK MESIN</v>
      </c>
    </row>
    <row r="153" spans="1:17" ht="15.75" thickBot="1" x14ac:dyDescent="0.3">
      <c r="A153" s="7">
        <v>152</v>
      </c>
      <c r="B153" s="6">
        <v>3</v>
      </c>
      <c r="C153" s="13">
        <v>1131011</v>
      </c>
      <c r="D153" t="s">
        <v>54</v>
      </c>
      <c r="E153" s="13">
        <v>24</v>
      </c>
      <c r="F153" s="10" t="s">
        <v>20</v>
      </c>
      <c r="I153" s="87"/>
      <c r="J153" s="138" t="s">
        <v>1292</v>
      </c>
      <c r="K153" s="138" t="s">
        <v>1292</v>
      </c>
      <c r="L153" s="138" t="s">
        <v>1292</v>
      </c>
      <c r="M153" s="28"/>
      <c r="N153" s="83" t="s">
        <v>1292</v>
      </c>
      <c r="P153" t="str">
        <f>VLOOKUP(B153,PTN!A:B,2,FALSE)</f>
        <v>UNIVERSITAS TEUKU UMAR</v>
      </c>
      <c r="Q153" t="str">
        <f t="shared" si="2"/>
        <v>UNIVERSITAS TEUKU UMARTEKNIK SIPIL</v>
      </c>
    </row>
    <row r="154" spans="1:17" ht="15.75" thickBot="1" x14ac:dyDescent="0.3">
      <c r="A154" s="7">
        <v>153</v>
      </c>
      <c r="B154" s="6">
        <v>3</v>
      </c>
      <c r="C154" s="14">
        <v>1131107</v>
      </c>
      <c r="D154" t="s">
        <v>96</v>
      </c>
      <c r="E154" s="14">
        <v>16</v>
      </c>
      <c r="F154" s="10" t="s">
        <v>20</v>
      </c>
      <c r="I154" s="26"/>
      <c r="J154" s="138" t="s">
        <v>1292</v>
      </c>
      <c r="K154" s="138" t="s">
        <v>1292</v>
      </c>
      <c r="L154" s="138" t="s">
        <v>1292</v>
      </c>
      <c r="M154" s="27"/>
      <c r="N154" s="83" t="s">
        <v>1292</v>
      </c>
      <c r="P154" t="str">
        <f>VLOOKUP(B154,PTN!A:B,2,FALSE)</f>
        <v>UNIVERSITAS TEUKU UMAR</v>
      </c>
      <c r="Q154" t="str">
        <f t="shared" si="2"/>
        <v>UNIVERSITAS TEUKU UMARTEKNOLOGI HASIL PERTANIAN</v>
      </c>
    </row>
    <row r="155" spans="1:17" ht="16.5" thickTop="1" thickBot="1" x14ac:dyDescent="0.3">
      <c r="A155" s="7">
        <v>154</v>
      </c>
      <c r="B155" s="6">
        <v>3</v>
      </c>
      <c r="C155" s="12">
        <v>1132061</v>
      </c>
      <c r="D155" t="s">
        <v>55</v>
      </c>
      <c r="E155" s="12">
        <v>24</v>
      </c>
      <c r="F155" s="10" t="s">
        <v>13</v>
      </c>
      <c r="I155" s="87"/>
      <c r="J155" s="138" t="s">
        <v>1292</v>
      </c>
      <c r="K155" s="138" t="s">
        <v>1292</v>
      </c>
      <c r="L155" s="138" t="s">
        <v>1292</v>
      </c>
      <c r="M155" s="28"/>
      <c r="N155" s="83" t="s">
        <v>1292</v>
      </c>
      <c r="P155" t="str">
        <f>VLOOKUP(B155,PTN!A:B,2,FALSE)</f>
        <v>UNIVERSITAS TEUKU UMAR</v>
      </c>
      <c r="Q155" t="str">
        <f t="shared" si="2"/>
        <v>UNIVERSITAS TEUKU UMARAKUNTANSI</v>
      </c>
    </row>
    <row r="156" spans="1:17" ht="15.75" thickBot="1" x14ac:dyDescent="0.3">
      <c r="A156" s="7">
        <v>155</v>
      </c>
      <c r="B156" s="6">
        <v>3</v>
      </c>
      <c r="C156" s="13">
        <v>1132014</v>
      </c>
      <c r="D156" t="s">
        <v>69</v>
      </c>
      <c r="E156" s="13">
        <v>24</v>
      </c>
      <c r="F156" s="10" t="s">
        <v>13</v>
      </c>
      <c r="I156" s="29"/>
      <c r="J156" s="138" t="s">
        <v>1292</v>
      </c>
      <c r="K156" s="138" t="s">
        <v>1292</v>
      </c>
      <c r="L156" s="138" t="s">
        <v>1292</v>
      </c>
      <c r="M156" s="30"/>
      <c r="N156" s="83" t="s">
        <v>1292</v>
      </c>
      <c r="P156" t="str">
        <f>VLOOKUP(B156,PTN!A:B,2,FALSE)</f>
        <v>UNIVERSITAS TEUKU UMAR</v>
      </c>
      <c r="Q156" t="str">
        <f t="shared" si="2"/>
        <v>UNIVERSITAS TEUKU UMAREKONOMI PEMBANGUNAN</v>
      </c>
    </row>
    <row r="157" spans="1:17" ht="16.5" thickTop="1" thickBot="1" x14ac:dyDescent="0.3">
      <c r="A157" s="7">
        <v>156</v>
      </c>
      <c r="B157" s="6">
        <v>3</v>
      </c>
      <c r="C157" s="12">
        <v>1132022</v>
      </c>
      <c r="D157" t="s">
        <v>29</v>
      </c>
      <c r="E157" s="12">
        <v>24</v>
      </c>
      <c r="F157" s="10" t="s">
        <v>13</v>
      </c>
      <c r="I157" s="20"/>
      <c r="J157" s="138" t="s">
        <v>1292</v>
      </c>
      <c r="K157" s="138" t="s">
        <v>1292</v>
      </c>
      <c r="L157" s="138" t="s">
        <v>1292</v>
      </c>
      <c r="M157" s="21"/>
      <c r="N157" s="83" t="s">
        <v>1292</v>
      </c>
      <c r="P157" t="str">
        <f>VLOOKUP(B157,PTN!A:B,2,FALSE)</f>
        <v>UNIVERSITAS TEUKU UMAR</v>
      </c>
      <c r="Q157" t="str">
        <f t="shared" si="2"/>
        <v>UNIVERSITAS TEUKU UMARILMU ADMINISTRASI NEGARA</v>
      </c>
    </row>
    <row r="158" spans="1:17" ht="15.75" thickBot="1" x14ac:dyDescent="0.3">
      <c r="A158" s="7">
        <v>157</v>
      </c>
      <c r="B158" s="6">
        <v>3</v>
      </c>
      <c r="C158" s="13">
        <v>1132076</v>
      </c>
      <c r="D158" t="s">
        <v>31</v>
      </c>
      <c r="E158" s="13">
        <v>24</v>
      </c>
      <c r="F158" s="10" t="s">
        <v>13</v>
      </c>
      <c r="I158" s="22"/>
      <c r="J158" s="138" t="s">
        <v>1292</v>
      </c>
      <c r="K158" s="138" t="s">
        <v>1292</v>
      </c>
      <c r="L158" s="138" t="s">
        <v>1292</v>
      </c>
      <c r="M158" s="21"/>
      <c r="N158" s="83" t="s">
        <v>1292</v>
      </c>
      <c r="P158" t="str">
        <f>VLOOKUP(B158,PTN!A:B,2,FALSE)</f>
        <v>UNIVERSITAS TEUKU UMAR</v>
      </c>
      <c r="Q158" t="str">
        <f t="shared" si="2"/>
        <v>UNIVERSITAS TEUKU UMARILMU HUKUM</v>
      </c>
    </row>
    <row r="159" spans="1:17" ht="16.5" thickTop="1" thickBot="1" x14ac:dyDescent="0.3">
      <c r="A159" s="7">
        <v>158</v>
      </c>
      <c r="B159" s="6">
        <v>3</v>
      </c>
      <c r="C159" s="12">
        <v>1132045</v>
      </c>
      <c r="D159" t="s">
        <v>60</v>
      </c>
      <c r="E159" s="12">
        <v>24</v>
      </c>
      <c r="F159" s="10" t="s">
        <v>13</v>
      </c>
      <c r="H159" s="20"/>
      <c r="I159" s="21"/>
      <c r="J159" s="138" t="s">
        <v>1292</v>
      </c>
      <c r="K159" s="138" t="s">
        <v>1292</v>
      </c>
      <c r="L159" s="138" t="s">
        <v>1292</v>
      </c>
      <c r="M159" s="31"/>
      <c r="N159" s="83" t="s">
        <v>1292</v>
      </c>
      <c r="P159" t="str">
        <f>VLOOKUP(B159,PTN!A:B,2,FALSE)</f>
        <v>UNIVERSITAS TEUKU UMAR</v>
      </c>
      <c r="Q159" t="str">
        <f t="shared" si="2"/>
        <v>UNIVERSITAS TEUKU UMARILMU KOMUNIKASI</v>
      </c>
    </row>
    <row r="160" spans="1:17" ht="16.5" thickTop="1" thickBot="1" x14ac:dyDescent="0.3">
      <c r="A160" s="7">
        <v>159</v>
      </c>
      <c r="B160" s="6">
        <v>3</v>
      </c>
      <c r="C160" s="13">
        <v>1132053</v>
      </c>
      <c r="D160" t="s">
        <v>61</v>
      </c>
      <c r="E160" s="13">
        <v>24</v>
      </c>
      <c r="F160" s="10" t="s">
        <v>13</v>
      </c>
      <c r="H160" s="22"/>
      <c r="I160" s="21"/>
      <c r="J160" s="138" t="s">
        <v>1292</v>
      </c>
      <c r="K160" s="138" t="s">
        <v>1292</v>
      </c>
      <c r="L160" s="138" t="s">
        <v>1292</v>
      </c>
      <c r="M160" s="32"/>
      <c r="N160" s="83" t="s">
        <v>1292</v>
      </c>
      <c r="P160" t="str">
        <f>VLOOKUP(B160,PTN!A:B,2,FALSE)</f>
        <v>UNIVERSITAS TEUKU UMAR</v>
      </c>
      <c r="Q160" t="str">
        <f t="shared" si="2"/>
        <v>UNIVERSITAS TEUKU UMARMANAJEMEN</v>
      </c>
    </row>
    <row r="161" spans="1:17" ht="15.75" thickBot="1" x14ac:dyDescent="0.3">
      <c r="A161" s="7">
        <v>160</v>
      </c>
      <c r="B161" s="6">
        <v>3</v>
      </c>
      <c r="C161" s="14">
        <v>1132037</v>
      </c>
      <c r="D161" t="s">
        <v>63</v>
      </c>
      <c r="E161" s="14">
        <v>24</v>
      </c>
      <c r="F161" s="10" t="s">
        <v>13</v>
      </c>
      <c r="H161" s="20"/>
      <c r="I161" s="21"/>
      <c r="J161" s="138" t="s">
        <v>1292</v>
      </c>
      <c r="K161" s="138" t="s">
        <v>1292</v>
      </c>
      <c r="L161" s="138" t="s">
        <v>1292</v>
      </c>
      <c r="M161" s="33"/>
      <c r="N161" s="83" t="s">
        <v>1292</v>
      </c>
      <c r="P161" t="str">
        <f>VLOOKUP(B161,PTN!A:B,2,FALSE)</f>
        <v>UNIVERSITAS TEUKU UMAR</v>
      </c>
      <c r="Q161" t="str">
        <f t="shared" si="2"/>
        <v>UNIVERSITAS TEUKU UMARSOSIOLOGI</v>
      </c>
    </row>
    <row r="162" spans="1:17" ht="16.5" thickTop="1" thickBot="1" x14ac:dyDescent="0.3">
      <c r="A162" s="7">
        <v>161</v>
      </c>
      <c r="B162" s="6">
        <v>9</v>
      </c>
      <c r="C162" s="17">
        <v>1231043</v>
      </c>
      <c r="D162" t="s">
        <v>21</v>
      </c>
      <c r="E162" s="17">
        <v>42</v>
      </c>
      <c r="F162" s="10" t="s">
        <v>20</v>
      </c>
      <c r="H162" s="22"/>
      <c r="I162" s="21"/>
      <c r="J162" s="138" t="s">
        <v>1292</v>
      </c>
      <c r="K162" s="138" t="s">
        <v>1292</v>
      </c>
      <c r="L162" s="138" t="s">
        <v>1292</v>
      </c>
      <c r="M162" s="32"/>
      <c r="N162" s="83" t="s">
        <v>1292</v>
      </c>
      <c r="P162" t="str">
        <f>VLOOKUP(B162,PTN!A:B,2,FALSE)</f>
        <v>UIN SUMATERA UTARA</v>
      </c>
      <c r="Q162" t="str">
        <f t="shared" si="2"/>
        <v>UIN SUMATERA UTARABIOLOGI</v>
      </c>
    </row>
    <row r="163" spans="1:17" ht="16.5" thickTop="1" thickBot="1" x14ac:dyDescent="0.3">
      <c r="A163" s="7">
        <v>162</v>
      </c>
      <c r="B163" s="6">
        <v>9</v>
      </c>
      <c r="C163" s="18">
        <v>1231051</v>
      </c>
      <c r="D163" t="s">
        <v>65</v>
      </c>
      <c r="E163" s="18">
        <v>32</v>
      </c>
      <c r="F163" s="10" t="s">
        <v>20</v>
      </c>
      <c r="H163" s="23"/>
      <c r="I163" s="24"/>
      <c r="J163" s="138" t="s">
        <v>1292</v>
      </c>
      <c r="K163" s="138" t="s">
        <v>1292</v>
      </c>
      <c r="L163" s="138" t="s">
        <v>1292</v>
      </c>
      <c r="M163" s="33"/>
      <c r="N163" s="83" t="s">
        <v>1292</v>
      </c>
      <c r="P163" t="str">
        <f>VLOOKUP(B163,PTN!A:B,2,FALSE)</f>
        <v>UIN SUMATERA UTARA</v>
      </c>
      <c r="Q163" t="str">
        <f t="shared" si="2"/>
        <v>UIN SUMATERA UTARAFISIKA</v>
      </c>
    </row>
    <row r="164" spans="1:17" ht="16.5" thickTop="1" thickBot="1" x14ac:dyDescent="0.3">
      <c r="A164" s="7">
        <v>163</v>
      </c>
      <c r="B164" s="6">
        <v>9</v>
      </c>
      <c r="C164" s="17">
        <v>1231066</v>
      </c>
      <c r="D164" t="s">
        <v>110</v>
      </c>
      <c r="E164" s="17">
        <v>120</v>
      </c>
      <c r="F164" s="10" t="s">
        <v>20</v>
      </c>
      <c r="H164" s="26"/>
      <c r="I164" s="12"/>
      <c r="J164" s="138" t="s">
        <v>1292</v>
      </c>
      <c r="K164" s="138" t="s">
        <v>1292</v>
      </c>
      <c r="L164" s="138" t="s">
        <v>1292</v>
      </c>
      <c r="M164" s="32"/>
      <c r="N164" s="83" t="s">
        <v>1292</v>
      </c>
      <c r="P164" t="str">
        <f>VLOOKUP(B164,PTN!A:B,2,FALSE)</f>
        <v>UIN SUMATERA UTARA</v>
      </c>
      <c r="Q164" t="str">
        <f t="shared" si="2"/>
        <v>UIN SUMATERA UTARAILMU KESEHATAN MASYARAKAT</v>
      </c>
    </row>
    <row r="165" spans="1:17" ht="15.75" thickBot="1" x14ac:dyDescent="0.3">
      <c r="A165" s="7">
        <v>164</v>
      </c>
      <c r="B165" s="6">
        <v>9</v>
      </c>
      <c r="C165" s="18">
        <v>1231012</v>
      </c>
      <c r="D165" t="s">
        <v>111</v>
      </c>
      <c r="E165" s="18">
        <v>63</v>
      </c>
      <c r="F165" s="10" t="s">
        <v>20</v>
      </c>
      <c r="H165" s="87"/>
      <c r="I165" s="13"/>
      <c r="J165" s="138" t="s">
        <v>1292</v>
      </c>
      <c r="K165" s="138" t="s">
        <v>1292</v>
      </c>
      <c r="L165" s="138" t="s">
        <v>1292</v>
      </c>
      <c r="M165" s="34"/>
      <c r="N165" s="83" t="s">
        <v>1292</v>
      </c>
      <c r="P165" t="str">
        <f>VLOOKUP(B165,PTN!A:B,2,FALSE)</f>
        <v>UIN SUMATERA UTARA</v>
      </c>
      <c r="Q165" t="str">
        <f t="shared" si="2"/>
        <v>UIN SUMATERA UTARAILMU KOMPUTER</v>
      </c>
    </row>
    <row r="166" spans="1:17" ht="16.5" thickTop="1" thickBot="1" x14ac:dyDescent="0.3">
      <c r="A166" s="7">
        <v>165</v>
      </c>
      <c r="B166" s="6">
        <v>9</v>
      </c>
      <c r="C166" s="17">
        <v>1231035</v>
      </c>
      <c r="D166" t="s">
        <v>66</v>
      </c>
      <c r="E166" s="17">
        <v>42</v>
      </c>
      <c r="F166" s="10" t="s">
        <v>20</v>
      </c>
      <c r="H166" s="26"/>
      <c r="I166" s="12"/>
      <c r="J166" s="138" t="s">
        <v>1292</v>
      </c>
      <c r="K166" s="138" t="s">
        <v>1292</v>
      </c>
      <c r="L166" s="138" t="s">
        <v>1292</v>
      </c>
      <c r="N166" s="83" t="s">
        <v>1292</v>
      </c>
      <c r="P166" t="str">
        <f>VLOOKUP(B166,PTN!A:B,2,FALSE)</f>
        <v>UIN SUMATERA UTARA</v>
      </c>
      <c r="Q166" t="str">
        <f t="shared" si="2"/>
        <v>UIN SUMATERA UTARAMATEMATIKA</v>
      </c>
    </row>
    <row r="167" spans="1:17" ht="15.75" thickBot="1" x14ac:dyDescent="0.3">
      <c r="A167" s="7">
        <v>166</v>
      </c>
      <c r="B167" s="6">
        <v>9</v>
      </c>
      <c r="C167" s="35">
        <v>1231027</v>
      </c>
      <c r="D167" t="s">
        <v>46</v>
      </c>
      <c r="E167" s="35">
        <v>63</v>
      </c>
      <c r="F167" s="10" t="s">
        <v>20</v>
      </c>
      <c r="H167" s="87"/>
      <c r="I167" s="13"/>
      <c r="J167" s="138" t="s">
        <v>1292</v>
      </c>
      <c r="K167" s="138" t="s">
        <v>1292</v>
      </c>
      <c r="L167" s="138" t="s">
        <v>1292</v>
      </c>
      <c r="N167" s="83" t="s">
        <v>1292</v>
      </c>
      <c r="P167" t="str">
        <f>VLOOKUP(B167,PTN!A:B,2,FALSE)</f>
        <v>UIN SUMATERA UTARA</v>
      </c>
      <c r="Q167" t="str">
        <f t="shared" si="2"/>
        <v>UIN SUMATERA UTARASISTEM INFORMASI</v>
      </c>
    </row>
    <row r="168" spans="1:17" ht="16.5" thickTop="1" thickBot="1" x14ac:dyDescent="0.3">
      <c r="A168" s="7">
        <v>167</v>
      </c>
      <c r="B168" s="6">
        <v>9</v>
      </c>
      <c r="C168" s="17">
        <v>1232046</v>
      </c>
      <c r="D168" t="s">
        <v>112</v>
      </c>
      <c r="E168" s="17">
        <v>36</v>
      </c>
      <c r="F168" s="10" t="s">
        <v>13</v>
      </c>
      <c r="H168" s="26"/>
      <c r="I168" s="12"/>
      <c r="J168" s="138" t="s">
        <v>1292</v>
      </c>
      <c r="K168" s="138" t="s">
        <v>1292</v>
      </c>
      <c r="L168" s="138" t="s">
        <v>1292</v>
      </c>
      <c r="N168" s="83" t="s">
        <v>1292</v>
      </c>
      <c r="P168" t="str">
        <f>VLOOKUP(B168,PTN!A:B,2,FALSE)</f>
        <v>UIN SUMATERA UTARA</v>
      </c>
      <c r="Q168" t="str">
        <f t="shared" si="2"/>
        <v>UIN SUMATERA UTARAHUKUM</v>
      </c>
    </row>
    <row r="169" spans="1:17" ht="15.75" thickBot="1" x14ac:dyDescent="0.3">
      <c r="A169" s="7">
        <v>168</v>
      </c>
      <c r="B169" s="6">
        <v>9</v>
      </c>
      <c r="C169" s="18">
        <v>1232023</v>
      </c>
      <c r="D169" t="s">
        <v>60</v>
      </c>
      <c r="E169" s="18">
        <v>48</v>
      </c>
      <c r="F169" s="10" t="s">
        <v>13</v>
      </c>
      <c r="H169" s="87"/>
      <c r="I169" s="13"/>
      <c r="J169" s="138" t="s">
        <v>1292</v>
      </c>
      <c r="K169" s="138" t="s">
        <v>1292</v>
      </c>
      <c r="L169" s="138" t="s">
        <v>1292</v>
      </c>
      <c r="N169" s="83" t="s">
        <v>1292</v>
      </c>
      <c r="P169" t="str">
        <f>VLOOKUP(B169,PTN!A:B,2,FALSE)</f>
        <v>UIN SUMATERA UTARA</v>
      </c>
      <c r="Q169" t="str">
        <f t="shared" si="2"/>
        <v>UIN SUMATERA UTARAILMU KOMUNIKASI</v>
      </c>
    </row>
    <row r="170" spans="1:17" ht="15.75" thickBot="1" x14ac:dyDescent="0.3">
      <c r="A170" s="7">
        <v>169</v>
      </c>
      <c r="B170" s="6">
        <v>9</v>
      </c>
      <c r="C170" s="17">
        <v>1232015</v>
      </c>
      <c r="D170" t="s">
        <v>32</v>
      </c>
      <c r="E170" s="17">
        <v>48</v>
      </c>
      <c r="F170" s="10" t="s">
        <v>13</v>
      </c>
      <c r="H170" s="26"/>
      <c r="I170" s="12"/>
      <c r="J170" s="138" t="s">
        <v>1292</v>
      </c>
      <c r="K170" s="138" t="s">
        <v>1292</v>
      </c>
      <c r="L170" s="138" t="s">
        <v>1292</v>
      </c>
      <c r="N170" s="83" t="s">
        <v>1292</v>
      </c>
      <c r="P170" t="str">
        <f>VLOOKUP(B170,PTN!A:B,2,FALSE)</f>
        <v>UIN SUMATERA UTARA</v>
      </c>
      <c r="Q170" t="str">
        <f t="shared" si="2"/>
        <v>UIN SUMATERA UTARAILMU PERPUSTAKAAN</v>
      </c>
    </row>
    <row r="171" spans="1:17" ht="15.75" thickBot="1" x14ac:dyDescent="0.3">
      <c r="A171" s="7">
        <v>170</v>
      </c>
      <c r="B171" s="6">
        <v>9</v>
      </c>
      <c r="C171" s="35">
        <v>1232031</v>
      </c>
      <c r="D171" t="s">
        <v>61</v>
      </c>
      <c r="E171" s="35">
        <v>60</v>
      </c>
      <c r="F171" s="10" t="s">
        <v>13</v>
      </c>
      <c r="H171" s="87"/>
      <c r="I171" s="13"/>
      <c r="J171" s="138" t="s">
        <v>1292</v>
      </c>
      <c r="K171" s="138" t="s">
        <v>1292</v>
      </c>
      <c r="L171" s="138" t="s">
        <v>1292</v>
      </c>
      <c r="N171" s="83" t="s">
        <v>1292</v>
      </c>
      <c r="P171" t="str">
        <f>VLOOKUP(B171,PTN!A:B,2,FALSE)</f>
        <v>UIN SUMATERA UTARA</v>
      </c>
      <c r="Q171" t="str">
        <f t="shared" si="2"/>
        <v>UIN SUMATERA UTARAMANAJEMEN</v>
      </c>
    </row>
    <row r="172" spans="1:17" ht="16.5" thickTop="1" thickBot="1" x14ac:dyDescent="0.3">
      <c r="A172" s="7">
        <v>171</v>
      </c>
      <c r="B172" s="6">
        <v>8</v>
      </c>
      <c r="C172" s="12">
        <v>1221095</v>
      </c>
      <c r="D172" t="s">
        <v>21</v>
      </c>
      <c r="E172" s="12">
        <v>30</v>
      </c>
      <c r="F172" s="10" t="s">
        <v>20</v>
      </c>
      <c r="H172" s="26"/>
      <c r="I172" s="12"/>
      <c r="J172" s="138" t="s">
        <v>1292</v>
      </c>
      <c r="K172" s="138" t="s">
        <v>1292</v>
      </c>
      <c r="L172" s="138" t="s">
        <v>1292</v>
      </c>
      <c r="N172" s="83" t="s">
        <v>1292</v>
      </c>
      <c r="P172" t="str">
        <f>VLOOKUP(B172,PTN!A:B,2,FALSE)</f>
        <v>UNIVERSITAS NEGERI MEDAN</v>
      </c>
      <c r="Q172" t="str">
        <f t="shared" si="2"/>
        <v>UNIVERSITAS NEGERI MEDANBIOLOGI</v>
      </c>
    </row>
    <row r="173" spans="1:17" ht="15.75" thickBot="1" x14ac:dyDescent="0.3">
      <c r="A173" s="7">
        <v>172</v>
      </c>
      <c r="B173" s="6">
        <v>8</v>
      </c>
      <c r="C173" s="13">
        <v>1221122</v>
      </c>
      <c r="D173" t="s">
        <v>65</v>
      </c>
      <c r="E173" s="13">
        <v>10</v>
      </c>
      <c r="F173" s="10" t="s">
        <v>20</v>
      </c>
      <c r="H173" s="87"/>
      <c r="I173" s="13"/>
      <c r="J173" s="138" t="s">
        <v>1292</v>
      </c>
      <c r="K173" s="138" t="s">
        <v>1292</v>
      </c>
      <c r="L173" s="138" t="s">
        <v>1292</v>
      </c>
      <c r="N173" s="83" t="s">
        <v>1292</v>
      </c>
      <c r="P173" t="str">
        <f>VLOOKUP(B173,PTN!A:B,2,FALSE)</f>
        <v>UNIVERSITAS NEGERI MEDAN</v>
      </c>
      <c r="Q173" t="str">
        <f t="shared" si="2"/>
        <v>UNIVERSITAS NEGERI MEDANFISIKA</v>
      </c>
    </row>
    <row r="174" spans="1:17" ht="15.75" thickBot="1" x14ac:dyDescent="0.3">
      <c r="A174" s="7">
        <v>173</v>
      </c>
      <c r="B174" s="6">
        <v>8</v>
      </c>
      <c r="C174" s="12">
        <v>1221145</v>
      </c>
      <c r="D174" t="s">
        <v>113</v>
      </c>
      <c r="E174" s="12">
        <v>15</v>
      </c>
      <c r="F174" s="10" t="s">
        <v>20</v>
      </c>
      <c r="H174" s="26"/>
      <c r="I174" s="12"/>
      <c r="J174" s="138" t="s">
        <v>1292</v>
      </c>
      <c r="K174" s="138" t="s">
        <v>1292</v>
      </c>
      <c r="L174" s="138" t="s">
        <v>1292</v>
      </c>
      <c r="N174" s="83" t="s">
        <v>1292</v>
      </c>
      <c r="P174" t="str">
        <f>VLOOKUP(B174,PTN!A:B,2,FALSE)</f>
        <v>UNIVERSITAS NEGERI MEDAN</v>
      </c>
      <c r="Q174" t="str">
        <f t="shared" si="2"/>
        <v>UNIVERSITAS NEGERI MEDANGIZI</v>
      </c>
    </row>
    <row r="175" spans="1:17" ht="15.75" thickBot="1" x14ac:dyDescent="0.3">
      <c r="A175" s="7">
        <v>174</v>
      </c>
      <c r="B175" s="6">
        <v>8</v>
      </c>
      <c r="C175" s="13">
        <v>1221106</v>
      </c>
      <c r="D175" t="s">
        <v>114</v>
      </c>
      <c r="E175" s="13">
        <v>25</v>
      </c>
      <c r="F175" s="10" t="s">
        <v>20</v>
      </c>
      <c r="H175" s="87"/>
      <c r="I175" s="13"/>
      <c r="J175" s="138" t="s">
        <v>1292</v>
      </c>
      <c r="K175" s="138" t="s">
        <v>1292</v>
      </c>
      <c r="L175" s="138" t="s">
        <v>1292</v>
      </c>
      <c r="N175" s="83" t="s">
        <v>1292</v>
      </c>
      <c r="P175" t="str">
        <f>VLOOKUP(B175,PTN!A:B,2,FALSE)</f>
        <v>UNIVERSITAS NEGERI MEDAN</v>
      </c>
      <c r="Q175" t="str">
        <f t="shared" si="2"/>
        <v>UNIVERSITAS NEGERI MEDANILMU KEOLAHRAGAAN</v>
      </c>
    </row>
    <row r="176" spans="1:17" ht="15.75" thickBot="1" x14ac:dyDescent="0.3">
      <c r="A176" s="7">
        <v>175</v>
      </c>
      <c r="B176" s="6">
        <v>8</v>
      </c>
      <c r="C176" s="12">
        <v>1221184</v>
      </c>
      <c r="D176" t="s">
        <v>111</v>
      </c>
      <c r="E176" s="12">
        <v>20</v>
      </c>
      <c r="F176" s="10" t="s">
        <v>20</v>
      </c>
      <c r="H176" s="26"/>
      <c r="I176" s="12"/>
      <c r="J176" s="138" t="s">
        <v>1292</v>
      </c>
      <c r="K176" s="138" t="s">
        <v>1292</v>
      </c>
      <c r="L176" s="138" t="s">
        <v>1292</v>
      </c>
      <c r="N176" s="83" t="s">
        <v>1292</v>
      </c>
      <c r="P176" t="str">
        <f>VLOOKUP(B176,PTN!A:B,2,FALSE)</f>
        <v>UNIVERSITAS NEGERI MEDAN</v>
      </c>
      <c r="Q176" t="str">
        <f t="shared" si="2"/>
        <v>UNIVERSITAS NEGERI MEDANILMU KOMPUTER</v>
      </c>
    </row>
    <row r="177" spans="1:17" ht="15.75" thickBot="1" x14ac:dyDescent="0.3">
      <c r="A177" s="7">
        <v>176</v>
      </c>
      <c r="B177" s="6">
        <v>8</v>
      </c>
      <c r="C177" s="13">
        <v>1221087</v>
      </c>
      <c r="D177" t="s">
        <v>22</v>
      </c>
      <c r="E177" s="13">
        <v>20</v>
      </c>
      <c r="F177" s="10" t="s">
        <v>20</v>
      </c>
      <c r="H177" s="87"/>
      <c r="I177" s="13"/>
      <c r="J177" s="138" t="s">
        <v>1292</v>
      </c>
      <c r="K177" s="138" t="s">
        <v>1292</v>
      </c>
      <c r="L177" s="138" t="s">
        <v>1292</v>
      </c>
      <c r="N177" s="83" t="s">
        <v>1292</v>
      </c>
      <c r="P177" t="str">
        <f>VLOOKUP(B177,PTN!A:B,2,FALSE)</f>
        <v>UNIVERSITAS NEGERI MEDAN</v>
      </c>
      <c r="Q177" t="str">
        <f t="shared" si="2"/>
        <v>UNIVERSITAS NEGERI MEDANKIMIA</v>
      </c>
    </row>
    <row r="178" spans="1:17" ht="15.75" thickBot="1" x14ac:dyDescent="0.3">
      <c r="A178" s="7">
        <v>177</v>
      </c>
      <c r="B178" s="6">
        <v>8</v>
      </c>
      <c r="C178" s="12">
        <v>1221114</v>
      </c>
      <c r="D178" t="s">
        <v>66</v>
      </c>
      <c r="E178" s="12">
        <v>22</v>
      </c>
      <c r="F178" s="10" t="s">
        <v>20</v>
      </c>
      <c r="H178" s="26"/>
      <c r="I178" s="12"/>
      <c r="J178" s="138" t="s">
        <v>1292</v>
      </c>
      <c r="K178" s="138" t="s">
        <v>1292</v>
      </c>
      <c r="L178" s="138" t="s">
        <v>1292</v>
      </c>
      <c r="N178" s="83" t="s">
        <v>1292</v>
      </c>
      <c r="P178" t="str">
        <f>VLOOKUP(B178,PTN!A:B,2,FALSE)</f>
        <v>UNIVERSITAS NEGERI MEDAN</v>
      </c>
      <c r="Q178" t="str">
        <f t="shared" si="2"/>
        <v>UNIVERSITAS NEGERI MEDANMATEMATIKA</v>
      </c>
    </row>
    <row r="179" spans="1:17" ht="15.75" thickBot="1" x14ac:dyDescent="0.3">
      <c r="A179" s="7">
        <v>178</v>
      </c>
      <c r="B179" s="6">
        <v>8</v>
      </c>
      <c r="C179" s="13">
        <v>1221025</v>
      </c>
      <c r="D179" t="s">
        <v>67</v>
      </c>
      <c r="E179" s="13">
        <v>39</v>
      </c>
      <c r="F179" s="10" t="s">
        <v>20</v>
      </c>
      <c r="H179" s="87"/>
      <c r="I179" s="13"/>
      <c r="J179" s="138" t="s">
        <v>1292</v>
      </c>
      <c r="K179" s="138" t="s">
        <v>1292</v>
      </c>
      <c r="L179" s="138" t="s">
        <v>1292</v>
      </c>
      <c r="N179" s="83" t="s">
        <v>1292</v>
      </c>
      <c r="P179" t="str">
        <f>VLOOKUP(B179,PTN!A:B,2,FALSE)</f>
        <v>UNIVERSITAS NEGERI MEDAN</v>
      </c>
      <c r="Q179" t="str">
        <f t="shared" si="2"/>
        <v>UNIVERSITAS NEGERI MEDANPENDIDIKAN BIOLOGI</v>
      </c>
    </row>
    <row r="180" spans="1:17" ht="15.75" thickBot="1" x14ac:dyDescent="0.3">
      <c r="A180" s="7">
        <v>179</v>
      </c>
      <c r="B180" s="6">
        <v>8</v>
      </c>
      <c r="C180" s="12">
        <v>1221033</v>
      </c>
      <c r="D180" t="s">
        <v>42</v>
      </c>
      <c r="E180" s="12">
        <v>46</v>
      </c>
      <c r="F180" s="10" t="s">
        <v>20</v>
      </c>
      <c r="H180" s="26"/>
      <c r="I180" s="12"/>
      <c r="J180" s="138" t="s">
        <v>1292</v>
      </c>
      <c r="K180" s="138" t="s">
        <v>1292</v>
      </c>
      <c r="L180" s="138" t="s">
        <v>1292</v>
      </c>
      <c r="N180" s="83" t="s">
        <v>1292</v>
      </c>
      <c r="P180" t="str">
        <f>VLOOKUP(B180,PTN!A:B,2,FALSE)</f>
        <v>UNIVERSITAS NEGERI MEDAN</v>
      </c>
      <c r="Q180" t="str">
        <f t="shared" si="2"/>
        <v>UNIVERSITAS NEGERI MEDANPENDIDIKAN FISIKA</v>
      </c>
    </row>
    <row r="181" spans="1:17" ht="15.75" thickBot="1" x14ac:dyDescent="0.3">
      <c r="A181" s="7">
        <v>180</v>
      </c>
      <c r="B181" s="6">
        <v>8</v>
      </c>
      <c r="C181" s="13">
        <v>1221192</v>
      </c>
      <c r="D181" t="s">
        <v>115</v>
      </c>
      <c r="E181" s="13">
        <v>26</v>
      </c>
      <c r="F181" s="10" t="s">
        <v>20</v>
      </c>
      <c r="H181" s="87"/>
      <c r="I181" s="13"/>
      <c r="J181" s="138" t="s">
        <v>1292</v>
      </c>
      <c r="K181" s="138" t="s">
        <v>1292</v>
      </c>
      <c r="L181" s="138" t="s">
        <v>1292</v>
      </c>
      <c r="N181" s="83" t="s">
        <v>1292</v>
      </c>
      <c r="P181" t="str">
        <f>VLOOKUP(B181,PTN!A:B,2,FALSE)</f>
        <v>UNIVERSITAS NEGERI MEDAN</v>
      </c>
      <c r="Q181" t="str">
        <f t="shared" si="2"/>
        <v>UNIVERSITAS NEGERI MEDANPENDIDIKAN IPA</v>
      </c>
    </row>
    <row r="182" spans="1:17" ht="15.75" thickBot="1" x14ac:dyDescent="0.3">
      <c r="A182" s="7">
        <v>181</v>
      </c>
      <c r="B182" s="6">
        <v>8</v>
      </c>
      <c r="C182" s="12">
        <v>1221041</v>
      </c>
      <c r="D182" t="s">
        <v>43</v>
      </c>
      <c r="E182" s="12">
        <v>46</v>
      </c>
      <c r="F182" s="10" t="s">
        <v>20</v>
      </c>
      <c r="H182" s="29"/>
      <c r="I182" s="14"/>
      <c r="J182" s="138" t="s">
        <v>1292</v>
      </c>
      <c r="K182" s="138" t="s">
        <v>1292</v>
      </c>
      <c r="L182" s="138" t="s">
        <v>1292</v>
      </c>
      <c r="N182" s="83" t="s">
        <v>1292</v>
      </c>
      <c r="P182" t="str">
        <f>VLOOKUP(B182,PTN!A:B,2,FALSE)</f>
        <v>UNIVERSITAS NEGERI MEDAN</v>
      </c>
      <c r="Q182" t="str">
        <f t="shared" si="2"/>
        <v>UNIVERSITAS NEGERI MEDANPENDIDIKAN KIMIA</v>
      </c>
    </row>
    <row r="183" spans="1:17" ht="16.5" thickTop="1" thickBot="1" x14ac:dyDescent="0.3">
      <c r="A183" s="7">
        <v>182</v>
      </c>
      <c r="B183" s="6">
        <v>8</v>
      </c>
      <c r="C183" s="13">
        <v>1221017</v>
      </c>
      <c r="D183" t="s">
        <v>44</v>
      </c>
      <c r="E183" s="13">
        <v>80</v>
      </c>
      <c r="F183" s="10" t="s">
        <v>20</v>
      </c>
      <c r="J183" s="138" t="s">
        <v>1292</v>
      </c>
      <c r="K183" s="138" t="s">
        <v>1292</v>
      </c>
      <c r="L183" s="138" t="s">
        <v>1292</v>
      </c>
      <c r="N183" s="83" t="s">
        <v>1292</v>
      </c>
      <c r="P183" t="str">
        <f>VLOOKUP(B183,PTN!A:B,2,FALSE)</f>
        <v>UNIVERSITAS NEGERI MEDAN</v>
      </c>
      <c r="Q183" t="str">
        <f t="shared" si="2"/>
        <v>UNIVERSITAS NEGERI MEDANPENDIDIKAN MATEMATIKA</v>
      </c>
    </row>
    <row r="184" spans="1:17" ht="15.75" thickBot="1" x14ac:dyDescent="0.3">
      <c r="A184" s="7">
        <v>183</v>
      </c>
      <c r="B184" s="6">
        <v>8</v>
      </c>
      <c r="C184" s="12">
        <v>1221056</v>
      </c>
      <c r="D184" t="s">
        <v>116</v>
      </c>
      <c r="E184" s="12">
        <v>22</v>
      </c>
      <c r="F184" s="10" t="s">
        <v>20</v>
      </c>
      <c r="J184" s="138" t="s">
        <v>1292</v>
      </c>
      <c r="K184" s="138" t="s">
        <v>1292</v>
      </c>
      <c r="L184" s="138" t="s">
        <v>1292</v>
      </c>
      <c r="N184" s="83" t="s">
        <v>1292</v>
      </c>
      <c r="P184" t="str">
        <f>VLOOKUP(B184,PTN!A:B,2,FALSE)</f>
        <v>UNIVERSITAS NEGERI MEDAN</v>
      </c>
      <c r="Q184" t="str">
        <f t="shared" si="2"/>
        <v>UNIVERSITAS NEGERI MEDANPENDIDIKAN TEKNIK BANGUNAN</v>
      </c>
    </row>
    <row r="185" spans="1:17" ht="15.75" thickBot="1" x14ac:dyDescent="0.3">
      <c r="A185" s="7">
        <v>184</v>
      </c>
      <c r="B185" s="6">
        <v>8</v>
      </c>
      <c r="C185" s="13">
        <v>1221072</v>
      </c>
      <c r="D185" t="s">
        <v>23</v>
      </c>
      <c r="E185" s="13">
        <v>22</v>
      </c>
      <c r="F185" s="10" t="s">
        <v>20</v>
      </c>
      <c r="J185" s="138" t="s">
        <v>1292</v>
      </c>
      <c r="K185" s="138" t="s">
        <v>1292</v>
      </c>
      <c r="L185" s="138" t="s">
        <v>1292</v>
      </c>
      <c r="N185" s="83" t="s">
        <v>1292</v>
      </c>
      <c r="P185" t="str">
        <f>VLOOKUP(B185,PTN!A:B,2,FALSE)</f>
        <v>UNIVERSITAS NEGERI MEDAN</v>
      </c>
      <c r="Q185" t="str">
        <f t="shared" si="2"/>
        <v>UNIVERSITAS NEGERI MEDANPENDIDIKAN TEKNIK ELEKTRO</v>
      </c>
    </row>
    <row r="186" spans="1:17" ht="15.75" thickBot="1" x14ac:dyDescent="0.3">
      <c r="A186" s="7">
        <v>185</v>
      </c>
      <c r="B186" s="6">
        <v>8</v>
      </c>
      <c r="C186" s="12">
        <v>1221064</v>
      </c>
      <c r="D186" t="s">
        <v>45</v>
      </c>
      <c r="E186" s="12">
        <v>22</v>
      </c>
      <c r="F186" s="10" t="s">
        <v>20</v>
      </c>
      <c r="J186" s="138" t="s">
        <v>1292</v>
      </c>
      <c r="K186" s="138" t="s">
        <v>1292</v>
      </c>
      <c r="L186" s="138" t="s">
        <v>1292</v>
      </c>
      <c r="N186" s="83" t="s">
        <v>1292</v>
      </c>
      <c r="P186" t="str">
        <f>VLOOKUP(B186,PTN!A:B,2,FALSE)</f>
        <v>UNIVERSITAS NEGERI MEDAN</v>
      </c>
      <c r="Q186" t="str">
        <f t="shared" si="2"/>
        <v>UNIVERSITAS NEGERI MEDANPENDIDIKAN TEKNIK MESIN</v>
      </c>
    </row>
    <row r="187" spans="1:17" ht="15.75" thickBot="1" x14ac:dyDescent="0.3">
      <c r="A187" s="7">
        <v>186</v>
      </c>
      <c r="B187" s="6">
        <v>8</v>
      </c>
      <c r="C187" s="13">
        <v>1221137</v>
      </c>
      <c r="D187" t="s">
        <v>117</v>
      </c>
      <c r="E187" s="13">
        <v>22</v>
      </c>
      <c r="F187" s="10" t="s">
        <v>20</v>
      </c>
      <c r="J187" s="138" t="s">
        <v>1292</v>
      </c>
      <c r="K187" s="138" t="s">
        <v>1292</v>
      </c>
      <c r="L187" s="138" t="s">
        <v>1292</v>
      </c>
      <c r="N187" s="83" t="s">
        <v>1292</v>
      </c>
      <c r="P187" t="str">
        <f>VLOOKUP(B187,PTN!A:B,2,FALSE)</f>
        <v>UNIVERSITAS NEGERI MEDAN</v>
      </c>
      <c r="Q187" t="str">
        <f t="shared" si="2"/>
        <v>UNIVERSITAS NEGERI MEDANPENDIDIKAN TEKNIK OTOMOTIF</v>
      </c>
    </row>
    <row r="188" spans="1:17" ht="15.75" thickBot="1" x14ac:dyDescent="0.3">
      <c r="A188" s="7">
        <v>187</v>
      </c>
      <c r="B188" s="6">
        <v>8</v>
      </c>
      <c r="C188" s="12">
        <v>1221176</v>
      </c>
      <c r="D188" t="s">
        <v>118</v>
      </c>
      <c r="E188" s="12">
        <v>22</v>
      </c>
      <c r="F188" s="10" t="s">
        <v>20</v>
      </c>
      <c r="J188" s="138" t="s">
        <v>1292</v>
      </c>
      <c r="K188" s="138" t="s">
        <v>1292</v>
      </c>
      <c r="L188" s="138" t="s">
        <v>1292</v>
      </c>
      <c r="N188" s="83" t="s">
        <v>1292</v>
      </c>
      <c r="P188" t="str">
        <f>VLOOKUP(B188,PTN!A:B,2,FALSE)</f>
        <v>UNIVERSITAS NEGERI MEDAN</v>
      </c>
      <c r="Q188" t="str">
        <f t="shared" si="2"/>
        <v>UNIVERSITAS NEGERI MEDANPENDIDIKAN TEKNOLOGI INFORMATIKA DAN KOMPUTER</v>
      </c>
    </row>
    <row r="189" spans="1:17" ht="15.75" thickBot="1" x14ac:dyDescent="0.3">
      <c r="A189" s="7">
        <v>188</v>
      </c>
      <c r="B189" s="6">
        <v>8</v>
      </c>
      <c r="C189" s="13">
        <v>1221153</v>
      </c>
      <c r="D189" t="s">
        <v>48</v>
      </c>
      <c r="E189" s="13">
        <v>13</v>
      </c>
      <c r="F189" s="10" t="s">
        <v>20</v>
      </c>
      <c r="J189" s="138" t="s">
        <v>1292</v>
      </c>
      <c r="K189" s="138" t="s">
        <v>1292</v>
      </c>
      <c r="L189" s="138" t="s">
        <v>1292</v>
      </c>
      <c r="N189" s="83" t="s">
        <v>1292</v>
      </c>
      <c r="P189" t="str">
        <f>VLOOKUP(B189,PTN!A:B,2,FALSE)</f>
        <v>UNIVERSITAS NEGERI MEDAN</v>
      </c>
      <c r="Q189" t="str">
        <f t="shared" si="2"/>
        <v>UNIVERSITAS NEGERI MEDANTEKNIK ELEKTRO</v>
      </c>
    </row>
    <row r="190" spans="1:17" ht="15.75" thickBot="1" x14ac:dyDescent="0.3">
      <c r="A190" s="7">
        <v>189</v>
      </c>
      <c r="B190" s="6">
        <v>8</v>
      </c>
      <c r="C190" s="14">
        <v>1221161</v>
      </c>
      <c r="D190" t="s">
        <v>54</v>
      </c>
      <c r="E190" s="14">
        <v>20</v>
      </c>
      <c r="F190" s="10" t="s">
        <v>20</v>
      </c>
      <c r="H190" s="20"/>
      <c r="I190" s="21"/>
      <c r="J190" s="138" t="s">
        <v>1292</v>
      </c>
      <c r="K190" s="138" t="s">
        <v>1292</v>
      </c>
      <c r="L190" s="138" t="s">
        <v>1292</v>
      </c>
      <c r="N190" s="83" t="s">
        <v>1292</v>
      </c>
      <c r="P190" t="str">
        <f>VLOOKUP(B190,PTN!A:B,2,FALSE)</f>
        <v>UNIVERSITAS NEGERI MEDAN</v>
      </c>
      <c r="Q190" t="str">
        <f t="shared" si="2"/>
        <v>UNIVERSITAS NEGERI MEDANTEKNIK SIPIL</v>
      </c>
    </row>
    <row r="191" spans="1:17" ht="16.5" thickTop="1" thickBot="1" x14ac:dyDescent="0.3">
      <c r="A191" s="7">
        <v>190</v>
      </c>
      <c r="B191" s="6">
        <v>8</v>
      </c>
      <c r="C191" s="12">
        <v>1222102</v>
      </c>
      <c r="D191" t="s">
        <v>55</v>
      </c>
      <c r="E191" s="12">
        <v>26</v>
      </c>
      <c r="F191" s="10" t="s">
        <v>13</v>
      </c>
      <c r="H191" s="22"/>
      <c r="I191" s="21"/>
      <c r="J191" s="138" t="s">
        <v>1292</v>
      </c>
      <c r="K191" s="138" t="s">
        <v>1292</v>
      </c>
      <c r="L191" s="138" t="s">
        <v>1292</v>
      </c>
      <c r="N191" s="83" t="s">
        <v>1292</v>
      </c>
      <c r="P191" t="str">
        <f>VLOOKUP(B191,PTN!A:B,2,FALSE)</f>
        <v>UNIVERSITAS NEGERI MEDAN</v>
      </c>
      <c r="Q191" t="str">
        <f t="shared" si="2"/>
        <v>UNIVERSITAS NEGERI MEDANAKUNTANSI</v>
      </c>
    </row>
    <row r="192" spans="1:17" ht="16.5" thickTop="1" thickBot="1" x14ac:dyDescent="0.3">
      <c r="A192" s="7">
        <v>191</v>
      </c>
      <c r="B192" s="6">
        <v>8</v>
      </c>
      <c r="C192" s="13">
        <v>1222334</v>
      </c>
      <c r="D192" t="s">
        <v>30</v>
      </c>
      <c r="E192" s="13">
        <v>26</v>
      </c>
      <c r="F192" s="10" t="s">
        <v>13</v>
      </c>
      <c r="H192" s="23"/>
      <c r="I192" s="24"/>
      <c r="J192" s="138" t="s">
        <v>1292</v>
      </c>
      <c r="K192" s="138" t="s">
        <v>1292</v>
      </c>
      <c r="L192" s="138" t="s">
        <v>1292</v>
      </c>
      <c r="N192" s="83" t="s">
        <v>1292</v>
      </c>
      <c r="P192" t="str">
        <f>VLOOKUP(B192,PTN!A:B,2,FALSE)</f>
        <v>UNIVERSITAS NEGERI MEDAN</v>
      </c>
      <c r="Q192" t="str">
        <f t="shared" si="2"/>
        <v>UNIVERSITAS NEGERI MEDANILMU EKONOMI</v>
      </c>
    </row>
    <row r="193" spans="1:17" ht="16.5" thickTop="1" thickBot="1" x14ac:dyDescent="0.3">
      <c r="A193" s="7">
        <v>192</v>
      </c>
      <c r="B193" s="6">
        <v>8</v>
      </c>
      <c r="C193" s="12">
        <v>1222091</v>
      </c>
      <c r="D193" t="s">
        <v>61</v>
      </c>
      <c r="E193" s="12">
        <v>26</v>
      </c>
      <c r="F193" s="10" t="s">
        <v>13</v>
      </c>
      <c r="H193" s="26"/>
      <c r="I193" s="12"/>
      <c r="J193" s="138" t="s">
        <v>1292</v>
      </c>
      <c r="K193" s="138" t="s">
        <v>1292</v>
      </c>
      <c r="L193" s="138" t="s">
        <v>1292</v>
      </c>
      <c r="N193" s="83" t="s">
        <v>1292</v>
      </c>
      <c r="P193" t="str">
        <f>VLOOKUP(B193,PTN!A:B,2,FALSE)</f>
        <v>UNIVERSITAS NEGERI MEDAN</v>
      </c>
      <c r="Q193" t="str">
        <f t="shared" si="2"/>
        <v>UNIVERSITAS NEGERI MEDANMANAJEMEN</v>
      </c>
    </row>
    <row r="194" spans="1:17" ht="15.75" thickBot="1" x14ac:dyDescent="0.3">
      <c r="A194" s="7">
        <v>193</v>
      </c>
      <c r="B194" s="6">
        <v>8</v>
      </c>
      <c r="C194" s="13">
        <v>1222117</v>
      </c>
      <c r="D194" t="s">
        <v>119</v>
      </c>
      <c r="E194" s="13">
        <v>42</v>
      </c>
      <c r="F194" s="10" t="s">
        <v>13</v>
      </c>
      <c r="H194" s="87"/>
      <c r="I194" s="13"/>
      <c r="J194" s="138" t="s">
        <v>1292</v>
      </c>
      <c r="K194" s="138" t="s">
        <v>1292</v>
      </c>
      <c r="L194" s="138" t="s">
        <v>1292</v>
      </c>
      <c r="N194" s="83" t="s">
        <v>1292</v>
      </c>
      <c r="P194" t="str">
        <f>VLOOKUP(B194,PTN!A:B,2,FALSE)</f>
        <v>UNIVERSITAS NEGERI MEDAN</v>
      </c>
      <c r="Q194" t="str">
        <f t="shared" si="2"/>
        <v>UNIVERSITAS NEGERI MEDANPEND. BAHASA, SASTRA INDONESIA &amp; DAERAH</v>
      </c>
    </row>
    <row r="195" spans="1:17" ht="15.75" thickBot="1" x14ac:dyDescent="0.3">
      <c r="A195" s="7">
        <v>194</v>
      </c>
      <c r="B195" s="6">
        <v>8</v>
      </c>
      <c r="C195" s="12">
        <v>1222237</v>
      </c>
      <c r="D195" t="s">
        <v>120</v>
      </c>
      <c r="E195" s="12">
        <v>35</v>
      </c>
      <c r="F195" s="10" t="s">
        <v>13</v>
      </c>
      <c r="H195" s="26"/>
      <c r="I195" s="12"/>
      <c r="J195" s="138" t="s">
        <v>1292</v>
      </c>
      <c r="K195" s="138" t="s">
        <v>1292</v>
      </c>
      <c r="L195" s="138" t="s">
        <v>1292</v>
      </c>
      <c r="N195" s="83" t="s">
        <v>1292</v>
      </c>
      <c r="P195" t="str">
        <f>VLOOKUP(B195,PTN!A:B,2,FALSE)</f>
        <v>UNIVERSITAS NEGERI MEDAN</v>
      </c>
      <c r="Q195" t="str">
        <f t="shared" ref="Q195:Q258" si="3">P195&amp;D195</f>
        <v>UNIVERSITAS NEGERI MEDANPEND. GURU PENDIDIKAN ANAK USIA DINI</v>
      </c>
    </row>
    <row r="196" spans="1:17" ht="15.75" thickBot="1" x14ac:dyDescent="0.3">
      <c r="A196" s="7">
        <v>195</v>
      </c>
      <c r="B196" s="6">
        <v>8</v>
      </c>
      <c r="C196" s="13">
        <v>1222276</v>
      </c>
      <c r="D196" t="s">
        <v>121</v>
      </c>
      <c r="E196" s="13">
        <v>17</v>
      </c>
      <c r="F196" s="10" t="s">
        <v>13</v>
      </c>
      <c r="H196" s="87"/>
      <c r="I196" s="13"/>
      <c r="J196" s="138" t="s">
        <v>1292</v>
      </c>
      <c r="K196" s="138" t="s">
        <v>1292</v>
      </c>
      <c r="L196" s="138" t="s">
        <v>1292</v>
      </c>
      <c r="N196" s="83" t="s">
        <v>1292</v>
      </c>
      <c r="P196" t="str">
        <f>VLOOKUP(B196,PTN!A:B,2,FALSE)</f>
        <v>UNIVERSITAS NEGERI MEDAN</v>
      </c>
      <c r="Q196" t="str">
        <f t="shared" si="3"/>
        <v>UNIVERSITAS NEGERI MEDANPENDIDIKAN ADMINISTRASI PERKANTORAN</v>
      </c>
    </row>
    <row r="197" spans="1:17" ht="15.75" thickBot="1" x14ac:dyDescent="0.3">
      <c r="A197" s="7">
        <v>196</v>
      </c>
      <c r="B197" s="6">
        <v>8</v>
      </c>
      <c r="C197" s="12">
        <v>1222253</v>
      </c>
      <c r="D197" t="s">
        <v>122</v>
      </c>
      <c r="E197" s="12">
        <v>17</v>
      </c>
      <c r="F197" s="10" t="s">
        <v>13</v>
      </c>
      <c r="H197" s="26"/>
      <c r="I197" s="12"/>
      <c r="J197" s="138" t="s">
        <v>1292</v>
      </c>
      <c r="K197" s="138" t="s">
        <v>1292</v>
      </c>
      <c r="L197" s="138" t="s">
        <v>1292</v>
      </c>
      <c r="N197" s="83" t="s">
        <v>1292</v>
      </c>
      <c r="P197" t="str">
        <f>VLOOKUP(B197,PTN!A:B,2,FALSE)</f>
        <v>UNIVERSITAS NEGERI MEDAN</v>
      </c>
      <c r="Q197" t="str">
        <f t="shared" si="3"/>
        <v>UNIVERSITAS NEGERI MEDANPENDIDIKAN AKUNTANSI</v>
      </c>
    </row>
    <row r="198" spans="1:17" ht="15.75" thickBot="1" x14ac:dyDescent="0.3">
      <c r="A198" s="7">
        <v>197</v>
      </c>
      <c r="B198" s="6">
        <v>8</v>
      </c>
      <c r="C198" s="13">
        <v>1222222</v>
      </c>
      <c r="D198" t="s">
        <v>123</v>
      </c>
      <c r="E198" s="13">
        <v>30</v>
      </c>
      <c r="F198" s="10" t="s">
        <v>13</v>
      </c>
      <c r="H198" s="87"/>
      <c r="I198" s="13"/>
      <c r="J198" s="138" t="s">
        <v>1292</v>
      </c>
      <c r="K198" s="138" t="s">
        <v>1292</v>
      </c>
      <c r="L198" s="138" t="s">
        <v>1292</v>
      </c>
      <c r="N198" s="83" t="s">
        <v>1292</v>
      </c>
      <c r="P198" t="str">
        <f>VLOOKUP(B198,PTN!A:B,2,FALSE)</f>
        <v>UNIVERSITAS NEGERI MEDAN</v>
      </c>
      <c r="Q198" t="str">
        <f t="shared" si="3"/>
        <v>UNIVERSITAS NEGERI MEDANPENDIDIKAN ANTROPOLOGI</v>
      </c>
    </row>
    <row r="199" spans="1:17" ht="15.75" thickBot="1" x14ac:dyDescent="0.3">
      <c r="A199" s="7">
        <v>198</v>
      </c>
      <c r="B199" s="6">
        <v>8</v>
      </c>
      <c r="C199" s="12">
        <v>1222125</v>
      </c>
      <c r="D199" t="s">
        <v>71</v>
      </c>
      <c r="E199" s="12">
        <v>37</v>
      </c>
      <c r="F199" s="10" t="s">
        <v>13</v>
      </c>
      <c r="H199" s="26"/>
      <c r="I199" s="12"/>
      <c r="J199" s="138" t="s">
        <v>1292</v>
      </c>
      <c r="K199" s="138" t="s">
        <v>1292</v>
      </c>
      <c r="L199" s="138" t="s">
        <v>1292</v>
      </c>
      <c r="N199" s="83" t="s">
        <v>1292</v>
      </c>
      <c r="P199" t="str">
        <f>VLOOKUP(B199,PTN!A:B,2,FALSE)</f>
        <v>UNIVERSITAS NEGERI MEDAN</v>
      </c>
      <c r="Q199" t="str">
        <f t="shared" si="3"/>
        <v>UNIVERSITAS NEGERI MEDANPENDIDIKAN BAHASA INGGRIS</v>
      </c>
    </row>
    <row r="200" spans="1:17" ht="15.75" thickBot="1" x14ac:dyDescent="0.3">
      <c r="A200" s="7">
        <v>199</v>
      </c>
      <c r="B200" s="6">
        <v>8</v>
      </c>
      <c r="C200" s="13">
        <v>1222141</v>
      </c>
      <c r="D200" t="s">
        <v>124</v>
      </c>
      <c r="E200" s="13">
        <v>25</v>
      </c>
      <c r="F200" s="10" t="s">
        <v>13</v>
      </c>
      <c r="H200" s="87"/>
      <c r="I200" s="13"/>
      <c r="J200" s="138" t="s">
        <v>1292</v>
      </c>
      <c r="K200" s="138" t="s">
        <v>1292</v>
      </c>
      <c r="L200" s="138" t="s">
        <v>1292</v>
      </c>
      <c r="N200" s="83" t="s">
        <v>1292</v>
      </c>
      <c r="P200" t="str">
        <f>VLOOKUP(B200,PTN!A:B,2,FALSE)</f>
        <v>UNIVERSITAS NEGERI MEDAN</v>
      </c>
      <c r="Q200" t="str">
        <f t="shared" si="3"/>
        <v>UNIVERSITAS NEGERI MEDANPENDIDIKAN BAHASA JERMAN</v>
      </c>
    </row>
    <row r="201" spans="1:17" ht="15.75" thickBot="1" x14ac:dyDescent="0.3">
      <c r="A201" s="7">
        <v>200</v>
      </c>
      <c r="B201" s="6">
        <v>8</v>
      </c>
      <c r="C201" s="12">
        <v>1222133</v>
      </c>
      <c r="D201" t="s">
        <v>125</v>
      </c>
      <c r="E201" s="12">
        <v>30</v>
      </c>
      <c r="F201" s="10" t="s">
        <v>13</v>
      </c>
      <c r="H201" s="26"/>
      <c r="I201" s="12"/>
      <c r="J201" s="138" t="s">
        <v>1292</v>
      </c>
      <c r="K201" s="138" t="s">
        <v>1292</v>
      </c>
      <c r="L201" s="138" t="s">
        <v>1292</v>
      </c>
      <c r="N201" s="83" t="s">
        <v>1292</v>
      </c>
      <c r="P201" t="str">
        <f>VLOOKUP(B201,PTN!A:B,2,FALSE)</f>
        <v>UNIVERSITAS NEGERI MEDAN</v>
      </c>
      <c r="Q201" t="str">
        <f t="shared" si="3"/>
        <v>UNIVERSITAS NEGERI MEDANPENDIDIKAN BAHASA PERANCIS</v>
      </c>
    </row>
    <row r="202" spans="1:17" ht="15.75" thickBot="1" x14ac:dyDescent="0.3">
      <c r="A202" s="7">
        <v>201</v>
      </c>
      <c r="B202" s="6">
        <v>8</v>
      </c>
      <c r="C202" s="13">
        <v>1222245</v>
      </c>
      <c r="D202" t="s">
        <v>126</v>
      </c>
      <c r="E202" s="13">
        <v>38</v>
      </c>
      <c r="F202" s="10" t="s">
        <v>13</v>
      </c>
      <c r="H202" s="87"/>
      <c r="I202" s="13"/>
      <c r="J202" s="138" t="s">
        <v>1292</v>
      </c>
      <c r="K202" s="138" t="s">
        <v>1292</v>
      </c>
      <c r="L202" s="138" t="s">
        <v>1292</v>
      </c>
      <c r="N202" s="83" t="s">
        <v>1292</v>
      </c>
      <c r="P202" t="str">
        <f>VLOOKUP(B202,PTN!A:B,2,FALSE)</f>
        <v>UNIVERSITAS NEGERI MEDAN</v>
      </c>
      <c r="Q202" t="str">
        <f t="shared" si="3"/>
        <v>UNIVERSITAS NEGERI MEDANPENDIDIKAN BIMBINGAN DAN KONSELING</v>
      </c>
    </row>
    <row r="203" spans="1:17" ht="15.75" thickBot="1" x14ac:dyDescent="0.3">
      <c r="A203" s="7">
        <v>202</v>
      </c>
      <c r="B203" s="6">
        <v>8</v>
      </c>
      <c r="C203" s="12">
        <v>1222083</v>
      </c>
      <c r="D203" t="s">
        <v>100</v>
      </c>
      <c r="E203" s="12">
        <v>26</v>
      </c>
      <c r="F203" s="10" t="s">
        <v>13</v>
      </c>
      <c r="H203" s="26"/>
      <c r="I203" s="12"/>
      <c r="J203" s="138" t="s">
        <v>1292</v>
      </c>
      <c r="K203" s="138" t="s">
        <v>1292</v>
      </c>
      <c r="L203" s="138" t="s">
        <v>1292</v>
      </c>
      <c r="N203" s="83" t="s">
        <v>1292</v>
      </c>
      <c r="P203" t="str">
        <f>VLOOKUP(B203,PTN!A:B,2,FALSE)</f>
        <v>UNIVERSITAS NEGERI MEDAN</v>
      </c>
      <c r="Q203" t="str">
        <f t="shared" si="3"/>
        <v>UNIVERSITAS NEGERI MEDANPENDIDIKAN EKONOMI</v>
      </c>
    </row>
    <row r="204" spans="1:17" ht="15.75" thickBot="1" x14ac:dyDescent="0.3">
      <c r="A204" s="7">
        <v>203</v>
      </c>
      <c r="B204" s="6">
        <v>8</v>
      </c>
      <c r="C204" s="13">
        <v>1222044</v>
      </c>
      <c r="D204" t="s">
        <v>72</v>
      </c>
      <c r="E204" s="13">
        <v>31</v>
      </c>
      <c r="F204" s="10" t="s">
        <v>13</v>
      </c>
      <c r="H204" s="87"/>
      <c r="I204" s="13"/>
      <c r="J204" s="138" t="s">
        <v>1292</v>
      </c>
      <c r="K204" s="138" t="s">
        <v>1292</v>
      </c>
      <c r="L204" s="138" t="s">
        <v>1292</v>
      </c>
      <c r="N204" s="83" t="s">
        <v>1292</v>
      </c>
      <c r="P204" t="str">
        <f>VLOOKUP(B204,PTN!A:B,2,FALSE)</f>
        <v>UNIVERSITAS NEGERI MEDAN</v>
      </c>
      <c r="Q204" t="str">
        <f t="shared" si="3"/>
        <v>UNIVERSITAS NEGERI MEDANPENDIDIKAN GEOGRAFI</v>
      </c>
    </row>
    <row r="205" spans="1:17" ht="15.75" thickBot="1" x14ac:dyDescent="0.3">
      <c r="A205" s="7">
        <v>204</v>
      </c>
      <c r="B205" s="6">
        <v>8</v>
      </c>
      <c r="C205" s="12">
        <v>1222195</v>
      </c>
      <c r="D205" t="s">
        <v>127</v>
      </c>
      <c r="E205" s="12">
        <v>88</v>
      </c>
      <c r="F205" s="10" t="s">
        <v>13</v>
      </c>
      <c r="H205" s="26"/>
      <c r="I205" s="12"/>
      <c r="J205" s="138" t="s">
        <v>1292</v>
      </c>
      <c r="K205" s="138" t="s">
        <v>1292</v>
      </c>
      <c r="L205" s="138" t="s">
        <v>1292</v>
      </c>
      <c r="N205" s="83" t="s">
        <v>1292</v>
      </c>
      <c r="P205" t="str">
        <f>VLOOKUP(B205,PTN!A:B,2,FALSE)</f>
        <v>UNIVERSITAS NEGERI MEDAN</v>
      </c>
      <c r="Q205" t="str">
        <f t="shared" si="3"/>
        <v>UNIVERSITAS NEGERI MEDANPENDIDIKAN GURU SEKOLAH DASAR (PGSD)</v>
      </c>
    </row>
    <row r="206" spans="1:17" ht="15.75" thickBot="1" x14ac:dyDescent="0.3">
      <c r="A206" s="7">
        <v>205</v>
      </c>
      <c r="B206" s="6">
        <v>8</v>
      </c>
      <c r="C206" s="13">
        <v>1222067</v>
      </c>
      <c r="D206" t="s">
        <v>128</v>
      </c>
      <c r="E206" s="13">
        <v>44</v>
      </c>
      <c r="F206" s="10" t="s">
        <v>13</v>
      </c>
      <c r="H206" s="87"/>
      <c r="I206" s="13"/>
      <c r="J206" s="138" t="s">
        <v>1292</v>
      </c>
      <c r="K206" s="138" t="s">
        <v>1292</v>
      </c>
      <c r="L206" s="138" t="s">
        <v>1292</v>
      </c>
      <c r="N206" s="83" t="s">
        <v>1292</v>
      </c>
      <c r="P206" t="str">
        <f>VLOOKUP(B206,PTN!A:B,2,FALSE)</f>
        <v>UNIVERSITAS NEGERI MEDAN</v>
      </c>
      <c r="Q206" t="str">
        <f t="shared" si="3"/>
        <v>UNIVERSITAS NEGERI MEDANPENDIDIKAN KEPELATIHAN OLAHRAGA (PKO)</v>
      </c>
    </row>
    <row r="207" spans="1:17" ht="15.75" thickBot="1" x14ac:dyDescent="0.3">
      <c r="A207" s="7">
        <v>206</v>
      </c>
      <c r="B207" s="6">
        <v>8</v>
      </c>
      <c r="C207" s="12">
        <v>1222075</v>
      </c>
      <c r="D207" t="s">
        <v>129</v>
      </c>
      <c r="E207" s="12">
        <v>20</v>
      </c>
      <c r="F207" s="10" t="s">
        <v>13</v>
      </c>
      <c r="H207" s="26"/>
      <c r="I207" s="12"/>
      <c r="J207" s="138" t="s">
        <v>1292</v>
      </c>
      <c r="K207" s="138" t="s">
        <v>1292</v>
      </c>
      <c r="L207" s="138" t="s">
        <v>1292</v>
      </c>
      <c r="N207" s="83" t="s">
        <v>1292</v>
      </c>
      <c r="P207" t="str">
        <f>VLOOKUP(B207,PTN!A:B,2,FALSE)</f>
        <v>UNIVERSITAS NEGERI MEDAN</v>
      </c>
      <c r="Q207" t="str">
        <f t="shared" si="3"/>
        <v>UNIVERSITAS NEGERI MEDANPENDIDIKAN LUAR SEKOLAH (PLS)</v>
      </c>
    </row>
    <row r="208" spans="1:17" ht="15.75" thickBot="1" x14ac:dyDescent="0.3">
      <c r="A208" s="7">
        <v>207</v>
      </c>
      <c r="B208" s="6">
        <v>8</v>
      </c>
      <c r="C208" s="13">
        <v>1222021</v>
      </c>
      <c r="D208" t="s">
        <v>75</v>
      </c>
      <c r="E208" s="13">
        <v>30</v>
      </c>
      <c r="F208" s="10" t="s">
        <v>13</v>
      </c>
      <c r="H208" s="87"/>
      <c r="I208" s="13"/>
      <c r="J208" s="138" t="s">
        <v>1292</v>
      </c>
      <c r="K208" s="138" t="s">
        <v>1292</v>
      </c>
      <c r="L208" s="138" t="s">
        <v>1292</v>
      </c>
      <c r="N208" s="83" t="s">
        <v>1292</v>
      </c>
      <c r="P208" t="str">
        <f>VLOOKUP(B208,PTN!A:B,2,FALSE)</f>
        <v>UNIVERSITAS NEGERI MEDAN</v>
      </c>
      <c r="Q208" t="str">
        <f t="shared" si="3"/>
        <v>UNIVERSITAS NEGERI MEDANPENDIDIKAN SEJARAH</v>
      </c>
    </row>
    <row r="209" spans="1:17" ht="15.75" thickBot="1" x14ac:dyDescent="0.3">
      <c r="A209" s="7">
        <v>208</v>
      </c>
      <c r="B209" s="6">
        <v>8</v>
      </c>
      <c r="C209" s="12">
        <v>1222303</v>
      </c>
      <c r="D209" t="s">
        <v>130</v>
      </c>
      <c r="E209" s="12">
        <v>27</v>
      </c>
      <c r="F209" s="10" t="s">
        <v>13</v>
      </c>
      <c r="H209" s="26"/>
      <c r="I209" s="12"/>
      <c r="J209" s="138" t="s">
        <v>1292</v>
      </c>
      <c r="K209" s="138" t="s">
        <v>1292</v>
      </c>
      <c r="L209" s="138" t="s">
        <v>1292</v>
      </c>
      <c r="N209" s="83" t="s">
        <v>1292</v>
      </c>
      <c r="P209" t="str">
        <f>VLOOKUP(B209,PTN!A:B,2,FALSE)</f>
        <v>UNIVERSITAS NEGERI MEDAN</v>
      </c>
      <c r="Q209" t="str">
        <f t="shared" si="3"/>
        <v>UNIVERSITAS NEGERI MEDANPENDIDIKAN SENI MUSIK</v>
      </c>
    </row>
    <row r="210" spans="1:17" ht="15.75" thickBot="1" x14ac:dyDescent="0.3">
      <c r="A210" s="7">
        <v>209</v>
      </c>
      <c r="B210" s="6">
        <v>8</v>
      </c>
      <c r="C210" s="13">
        <v>1222156</v>
      </c>
      <c r="D210" t="s">
        <v>131</v>
      </c>
      <c r="E210" s="13">
        <v>15</v>
      </c>
      <c r="F210" s="10" t="s">
        <v>13</v>
      </c>
      <c r="H210" s="87"/>
      <c r="I210" s="13"/>
      <c r="J210" s="138" t="s">
        <v>1292</v>
      </c>
      <c r="K210" s="138" t="s">
        <v>1292</v>
      </c>
      <c r="L210" s="138" t="s">
        <v>1292</v>
      </c>
      <c r="N210" s="83" t="s">
        <v>1292</v>
      </c>
      <c r="P210" t="str">
        <f>VLOOKUP(B210,PTN!A:B,2,FALSE)</f>
        <v>UNIVERSITAS NEGERI MEDAN</v>
      </c>
      <c r="Q210" t="str">
        <f t="shared" si="3"/>
        <v>UNIVERSITAS NEGERI MEDANPENDIDIKAN SENI RUPA</v>
      </c>
    </row>
    <row r="211" spans="1:17" ht="15.75" thickBot="1" x14ac:dyDescent="0.3">
      <c r="A211" s="7">
        <v>210</v>
      </c>
      <c r="B211" s="6">
        <v>8</v>
      </c>
      <c r="C211" s="12">
        <v>1222292</v>
      </c>
      <c r="D211" t="s">
        <v>132</v>
      </c>
      <c r="E211" s="12">
        <v>16</v>
      </c>
      <c r="F211" s="10" t="s">
        <v>13</v>
      </c>
      <c r="H211" s="26"/>
      <c r="I211" s="12"/>
      <c r="J211" s="138" t="s">
        <v>1292</v>
      </c>
      <c r="K211" s="138" t="s">
        <v>1292</v>
      </c>
      <c r="L211" s="138" t="s">
        <v>1292</v>
      </c>
      <c r="N211" s="83" t="s">
        <v>1292</v>
      </c>
      <c r="P211" t="str">
        <f>VLOOKUP(B211,PTN!A:B,2,FALSE)</f>
        <v>UNIVERSITAS NEGERI MEDAN</v>
      </c>
      <c r="Q211" t="str">
        <f t="shared" si="3"/>
        <v>UNIVERSITAS NEGERI MEDANPENDIDIKAN SENI TARI</v>
      </c>
    </row>
    <row r="212" spans="1:17" ht="15.75" thickBot="1" x14ac:dyDescent="0.3">
      <c r="A212" s="7">
        <v>211</v>
      </c>
      <c r="B212" s="6">
        <v>8</v>
      </c>
      <c r="C212" s="13">
        <v>1222206</v>
      </c>
      <c r="D212" t="s">
        <v>133</v>
      </c>
      <c r="E212" s="13">
        <v>20</v>
      </c>
      <c r="F212" s="10" t="s">
        <v>13</v>
      </c>
      <c r="H212" s="87"/>
      <c r="I212" s="13"/>
      <c r="J212" s="138" t="s">
        <v>1292</v>
      </c>
      <c r="K212" s="138" t="s">
        <v>1292</v>
      </c>
      <c r="L212" s="138" t="s">
        <v>1292</v>
      </c>
      <c r="N212" s="83" t="s">
        <v>1292</v>
      </c>
      <c r="P212" t="str">
        <f>VLOOKUP(B212,PTN!A:B,2,FALSE)</f>
        <v>UNIVERSITAS NEGERI MEDAN</v>
      </c>
      <c r="Q212" t="str">
        <f t="shared" si="3"/>
        <v>UNIVERSITAS NEGERI MEDANPENDIDIKAN TATA BOGA</v>
      </c>
    </row>
    <row r="213" spans="1:17" ht="15.75" thickBot="1" x14ac:dyDescent="0.3">
      <c r="A213" s="7">
        <v>212</v>
      </c>
      <c r="B213" s="6">
        <v>8</v>
      </c>
      <c r="C213" s="12">
        <v>1222311</v>
      </c>
      <c r="D213" t="s">
        <v>134</v>
      </c>
      <c r="E213" s="12">
        <v>20</v>
      </c>
      <c r="F213" s="10" t="s">
        <v>13</v>
      </c>
      <c r="H213" s="26"/>
      <c r="I213" s="12"/>
      <c r="J213" s="138" t="s">
        <v>1292</v>
      </c>
      <c r="K213" s="138" t="s">
        <v>1292</v>
      </c>
      <c r="L213" s="138" t="s">
        <v>1292</v>
      </c>
      <c r="N213" s="83" t="s">
        <v>1292</v>
      </c>
      <c r="P213" t="str">
        <f>VLOOKUP(B213,PTN!A:B,2,FALSE)</f>
        <v>UNIVERSITAS NEGERI MEDAN</v>
      </c>
      <c r="Q213" t="str">
        <f t="shared" si="3"/>
        <v>UNIVERSITAS NEGERI MEDANPENDIDIKAN TATA BUSANA</v>
      </c>
    </row>
    <row r="214" spans="1:17" ht="15.75" thickBot="1" x14ac:dyDescent="0.3">
      <c r="A214" s="7">
        <v>213</v>
      </c>
      <c r="B214" s="6">
        <v>8</v>
      </c>
      <c r="C214" s="13">
        <v>1222284</v>
      </c>
      <c r="D214" t="s">
        <v>135</v>
      </c>
      <c r="E214" s="13">
        <v>17</v>
      </c>
      <c r="F214" s="10" t="s">
        <v>13</v>
      </c>
      <c r="H214" s="87"/>
      <c r="I214" s="13"/>
      <c r="J214" s="138" t="s">
        <v>1292</v>
      </c>
      <c r="K214" s="138" t="s">
        <v>1292</v>
      </c>
      <c r="L214" s="138" t="s">
        <v>1292</v>
      </c>
      <c r="N214" s="83" t="s">
        <v>1292</v>
      </c>
      <c r="P214" t="str">
        <f>VLOOKUP(B214,PTN!A:B,2,FALSE)</f>
        <v>UNIVERSITAS NEGERI MEDAN</v>
      </c>
      <c r="Q214" t="str">
        <f t="shared" si="3"/>
        <v>UNIVERSITAS NEGERI MEDANPENDIDIKAN TATA NIAGA</v>
      </c>
    </row>
    <row r="215" spans="1:17" ht="15.75" thickBot="1" x14ac:dyDescent="0.3">
      <c r="A215" s="7">
        <v>214</v>
      </c>
      <c r="B215" s="6">
        <v>8</v>
      </c>
      <c r="C215" s="12">
        <v>1222214</v>
      </c>
      <c r="D215" t="s">
        <v>136</v>
      </c>
      <c r="E215" s="12">
        <v>20</v>
      </c>
      <c r="F215" s="10" t="s">
        <v>13</v>
      </c>
      <c r="H215" s="26"/>
      <c r="I215" s="12"/>
      <c r="J215" s="138" t="s">
        <v>1292</v>
      </c>
      <c r="K215" s="138" t="s">
        <v>1292</v>
      </c>
      <c r="L215" s="138" t="s">
        <v>1292</v>
      </c>
      <c r="N215" s="83" t="s">
        <v>1292</v>
      </c>
      <c r="P215" t="str">
        <f>VLOOKUP(B215,PTN!A:B,2,FALSE)</f>
        <v>UNIVERSITAS NEGERI MEDAN</v>
      </c>
      <c r="Q215" t="str">
        <f t="shared" si="3"/>
        <v>UNIVERSITAS NEGERI MEDANPENDIDIKAN TATA RIAS</v>
      </c>
    </row>
    <row r="216" spans="1:17" ht="15.75" thickBot="1" x14ac:dyDescent="0.3">
      <c r="A216" s="7">
        <v>215</v>
      </c>
      <c r="B216" s="6">
        <v>8</v>
      </c>
      <c r="C216" s="13">
        <v>1222052</v>
      </c>
      <c r="D216" t="s">
        <v>137</v>
      </c>
      <c r="E216" s="13">
        <v>46</v>
      </c>
      <c r="F216" s="10" t="s">
        <v>13</v>
      </c>
      <c r="H216" s="87"/>
      <c r="I216" s="13"/>
      <c r="J216" s="138" t="s">
        <v>1292</v>
      </c>
      <c r="K216" s="138" t="s">
        <v>1292</v>
      </c>
      <c r="L216" s="138" t="s">
        <v>1292</v>
      </c>
      <c r="N216" s="83" t="s">
        <v>1292</v>
      </c>
      <c r="P216" t="str">
        <f>VLOOKUP(B216,PTN!A:B,2,FALSE)</f>
        <v>UNIVERSITAS NEGERI MEDAN</v>
      </c>
      <c r="Q216" t="str">
        <f t="shared" si="3"/>
        <v>UNIVERSITAS NEGERI MEDANPEND. JASMANI, KESEHATAN &amp; REKREASI</v>
      </c>
    </row>
    <row r="217" spans="1:17" ht="15.75" thickBot="1" x14ac:dyDescent="0.3">
      <c r="A217" s="7">
        <v>216</v>
      </c>
      <c r="B217" s="6">
        <v>8</v>
      </c>
      <c r="C217" s="12">
        <v>1222036</v>
      </c>
      <c r="D217" t="s">
        <v>138</v>
      </c>
      <c r="E217" s="12">
        <v>31</v>
      </c>
      <c r="F217" s="10" t="s">
        <v>13</v>
      </c>
      <c r="H217" s="26"/>
      <c r="I217" s="12"/>
      <c r="J217" s="138" t="s">
        <v>1292</v>
      </c>
      <c r="K217" s="138" t="s">
        <v>1292</v>
      </c>
      <c r="L217" s="138" t="s">
        <v>1292</v>
      </c>
      <c r="N217" s="83" t="s">
        <v>1292</v>
      </c>
      <c r="P217" t="str">
        <f>VLOOKUP(B217,PTN!A:B,2,FALSE)</f>
        <v>UNIVERSITAS NEGERI MEDAN</v>
      </c>
      <c r="Q217" t="str">
        <f t="shared" si="3"/>
        <v>UNIVERSITAS NEGERI MEDANPEND. PANCASILA &amp; KEWARGANEGARAAN (PPKN)</v>
      </c>
    </row>
    <row r="218" spans="1:17" ht="15.75" thickBot="1" x14ac:dyDescent="0.3">
      <c r="A218" s="7">
        <v>217</v>
      </c>
      <c r="B218" s="6">
        <v>8</v>
      </c>
      <c r="C218" s="13">
        <v>1222164</v>
      </c>
      <c r="D218" t="s">
        <v>62</v>
      </c>
      <c r="E218" s="13">
        <v>20</v>
      </c>
      <c r="F218" s="10" t="s">
        <v>13</v>
      </c>
      <c r="H218" s="87"/>
      <c r="I218" s="13"/>
      <c r="J218" s="138" t="s">
        <v>1292</v>
      </c>
      <c r="K218" s="138" t="s">
        <v>1292</v>
      </c>
      <c r="L218" s="138" t="s">
        <v>1292</v>
      </c>
      <c r="N218" s="83" t="s">
        <v>1292</v>
      </c>
      <c r="P218" t="str">
        <f>VLOOKUP(B218,PTN!A:B,2,FALSE)</f>
        <v>UNIVERSITAS NEGERI MEDAN</v>
      </c>
      <c r="Q218" t="str">
        <f t="shared" si="3"/>
        <v>UNIVERSITAS NEGERI MEDANSASTRA INDONESIA</v>
      </c>
    </row>
    <row r="219" spans="1:17" ht="15.75" thickBot="1" x14ac:dyDescent="0.3">
      <c r="A219" s="7">
        <v>218</v>
      </c>
      <c r="B219" s="6">
        <v>8</v>
      </c>
      <c r="C219" s="12">
        <v>1222172</v>
      </c>
      <c r="D219" t="s">
        <v>139</v>
      </c>
      <c r="E219" s="12">
        <v>19</v>
      </c>
      <c r="F219" s="10" t="s">
        <v>13</v>
      </c>
      <c r="H219" s="26"/>
      <c r="I219" s="12"/>
      <c r="J219" s="138" t="s">
        <v>1292</v>
      </c>
      <c r="K219" s="138" t="s">
        <v>1292</v>
      </c>
      <c r="L219" s="138" t="s">
        <v>1292</v>
      </c>
      <c r="N219" s="83" t="s">
        <v>1292</v>
      </c>
      <c r="P219" t="str">
        <f>VLOOKUP(B219,PTN!A:B,2,FALSE)</f>
        <v>UNIVERSITAS NEGERI MEDAN</v>
      </c>
      <c r="Q219" t="str">
        <f t="shared" si="3"/>
        <v>UNIVERSITAS NEGERI MEDANSASTRA INGGRIS</v>
      </c>
    </row>
    <row r="220" spans="1:17" ht="15.75" thickBot="1" x14ac:dyDescent="0.3">
      <c r="A220" s="7">
        <v>219</v>
      </c>
      <c r="B220" s="6">
        <v>8</v>
      </c>
      <c r="C220" s="16">
        <v>1222326</v>
      </c>
      <c r="D220" t="s">
        <v>140</v>
      </c>
      <c r="E220" s="16">
        <v>16</v>
      </c>
      <c r="F220" s="10" t="s">
        <v>13</v>
      </c>
      <c r="H220" s="20"/>
      <c r="I220" s="21"/>
      <c r="J220" s="138" t="s">
        <v>1292</v>
      </c>
      <c r="K220" s="138" t="s">
        <v>1292</v>
      </c>
      <c r="L220" s="138" t="s">
        <v>1292</v>
      </c>
      <c r="N220" s="83" t="s">
        <v>1292</v>
      </c>
      <c r="P220" t="str">
        <f>VLOOKUP(B220,PTN!A:B,2,FALSE)</f>
        <v>UNIVERSITAS NEGERI MEDAN</v>
      </c>
      <c r="Q220" t="str">
        <f t="shared" si="3"/>
        <v>UNIVERSITAS NEGERI MEDANSENI PERTUNJUKAN</v>
      </c>
    </row>
    <row r="221" spans="1:17" ht="16.5" thickTop="1" thickBot="1" x14ac:dyDescent="0.3">
      <c r="A221" s="7">
        <v>220</v>
      </c>
      <c r="B221" s="6">
        <v>7</v>
      </c>
      <c r="C221" s="12">
        <v>1211166</v>
      </c>
      <c r="D221" t="s">
        <v>37</v>
      </c>
      <c r="E221" s="12">
        <v>50</v>
      </c>
      <c r="F221" s="10" t="s">
        <v>20</v>
      </c>
      <c r="H221" s="22"/>
      <c r="I221" s="21"/>
      <c r="J221" s="138" t="s">
        <v>1292</v>
      </c>
      <c r="K221" s="138" t="s">
        <v>1292</v>
      </c>
      <c r="L221" s="138" t="s">
        <v>1292</v>
      </c>
      <c r="N221" s="83" t="s">
        <v>1292</v>
      </c>
      <c r="P221" t="str">
        <f>VLOOKUP(B221,PTN!A:B,2,FALSE)</f>
        <v>UNIVERSITAS SUMATERA UTARA</v>
      </c>
      <c r="Q221" t="str">
        <f t="shared" si="3"/>
        <v>UNIVERSITAS SUMATERA UTARAAGRIBISNIS</v>
      </c>
    </row>
    <row r="222" spans="1:17" ht="16.5" thickTop="1" thickBot="1" x14ac:dyDescent="0.3">
      <c r="A222" s="7">
        <v>221</v>
      </c>
      <c r="B222" s="6">
        <v>7</v>
      </c>
      <c r="C222" s="13">
        <v>1211135</v>
      </c>
      <c r="D222" t="s">
        <v>38</v>
      </c>
      <c r="E222" s="13">
        <v>81</v>
      </c>
      <c r="F222" s="10" t="s">
        <v>20</v>
      </c>
      <c r="H222" s="23"/>
      <c r="I222" s="24"/>
      <c r="J222" s="138" t="s">
        <v>1292</v>
      </c>
      <c r="K222" s="138" t="s">
        <v>1292</v>
      </c>
      <c r="L222" s="138" t="s">
        <v>1292</v>
      </c>
      <c r="N222" s="83" t="s">
        <v>1292</v>
      </c>
      <c r="P222" t="str">
        <f>VLOOKUP(B222,PTN!A:B,2,FALSE)</f>
        <v>UNIVERSITAS SUMATERA UTARA</v>
      </c>
      <c r="Q222" t="str">
        <f t="shared" si="3"/>
        <v>UNIVERSITAS SUMATERA UTARAAGROEKOTEKNOLOGI</v>
      </c>
    </row>
    <row r="223" spans="1:17" ht="16.5" thickTop="1" thickBot="1" x14ac:dyDescent="0.3">
      <c r="A223" s="7">
        <v>222</v>
      </c>
      <c r="B223" s="6">
        <v>7</v>
      </c>
      <c r="C223" s="12">
        <v>1211197</v>
      </c>
      <c r="D223" t="s">
        <v>19</v>
      </c>
      <c r="E223" s="12">
        <v>52</v>
      </c>
      <c r="F223" s="10" t="s">
        <v>20</v>
      </c>
      <c r="H223" s="26"/>
      <c r="I223" s="12"/>
      <c r="J223" s="138" t="s">
        <v>1292</v>
      </c>
      <c r="K223" s="138" t="s">
        <v>1292</v>
      </c>
      <c r="L223" s="138" t="s">
        <v>1292</v>
      </c>
      <c r="N223" s="83" t="s">
        <v>1292</v>
      </c>
      <c r="P223" t="str">
        <f>VLOOKUP(B223,PTN!A:B,2,FALSE)</f>
        <v>UNIVERSITAS SUMATERA UTARA</v>
      </c>
      <c r="Q223" t="str">
        <f t="shared" si="3"/>
        <v>UNIVERSITAS SUMATERA UTARAARSITEKTUR</v>
      </c>
    </row>
    <row r="224" spans="1:17" ht="15.75" thickBot="1" x14ac:dyDescent="0.3">
      <c r="A224" s="7">
        <v>223</v>
      </c>
      <c r="B224" s="6">
        <v>7</v>
      </c>
      <c r="C224" s="13">
        <v>1211151</v>
      </c>
      <c r="D224" t="s">
        <v>21</v>
      </c>
      <c r="E224" s="13">
        <v>50</v>
      </c>
      <c r="F224" s="10" t="s">
        <v>20</v>
      </c>
      <c r="H224" s="87"/>
      <c r="I224" s="13"/>
      <c r="J224" s="138" t="s">
        <v>1292</v>
      </c>
      <c r="K224" s="138" t="s">
        <v>1292</v>
      </c>
      <c r="L224" s="138" t="s">
        <v>1292</v>
      </c>
      <c r="N224" s="83" t="s">
        <v>1292</v>
      </c>
      <c r="P224" t="str">
        <f>VLOOKUP(B224,PTN!A:B,2,FALSE)</f>
        <v>UNIVERSITAS SUMATERA UTARA</v>
      </c>
      <c r="Q224" t="str">
        <f t="shared" si="3"/>
        <v>UNIVERSITAS SUMATERA UTARABIOLOGI</v>
      </c>
    </row>
    <row r="225" spans="1:17" ht="15.75" thickBot="1" x14ac:dyDescent="0.3">
      <c r="A225" s="7">
        <v>224</v>
      </c>
      <c r="B225" s="6">
        <v>7</v>
      </c>
      <c r="C225" s="12">
        <v>1211104</v>
      </c>
      <c r="D225" t="s">
        <v>77</v>
      </c>
      <c r="E225" s="12">
        <v>59</v>
      </c>
      <c r="F225" s="10" t="s">
        <v>20</v>
      </c>
      <c r="H225" s="26"/>
      <c r="I225" s="12"/>
      <c r="J225" s="138">
        <v>622.30999999999995</v>
      </c>
      <c r="K225" s="138">
        <v>635.06999999999994</v>
      </c>
      <c r="L225" s="138">
        <v>609.54999999999995</v>
      </c>
      <c r="N225" s="83">
        <v>622.30999999999995</v>
      </c>
      <c r="P225" t="str">
        <f>VLOOKUP(B225,PTN!A:B,2,FALSE)</f>
        <v>UNIVERSITAS SUMATERA UTARA</v>
      </c>
      <c r="Q225" t="str">
        <f t="shared" si="3"/>
        <v>UNIVERSITAS SUMATERA UTARAFARMASI</v>
      </c>
    </row>
    <row r="226" spans="1:17" ht="15.75" thickBot="1" x14ac:dyDescent="0.3">
      <c r="A226" s="7">
        <v>225</v>
      </c>
      <c r="B226" s="6">
        <v>7</v>
      </c>
      <c r="C226" s="13">
        <v>1211112</v>
      </c>
      <c r="D226" t="s">
        <v>65</v>
      </c>
      <c r="E226" s="13">
        <v>50</v>
      </c>
      <c r="F226" s="10" t="s">
        <v>20</v>
      </c>
      <c r="H226" s="87"/>
      <c r="I226" s="13"/>
      <c r="J226" s="138" t="s">
        <v>1292</v>
      </c>
      <c r="K226" s="138" t="s">
        <v>1292</v>
      </c>
      <c r="L226" s="138" t="s">
        <v>1292</v>
      </c>
      <c r="N226" s="83" t="s">
        <v>1292</v>
      </c>
      <c r="P226" t="str">
        <f>VLOOKUP(B226,PTN!A:B,2,FALSE)</f>
        <v>UNIVERSITAS SUMATERA UTARA</v>
      </c>
      <c r="Q226" t="str">
        <f t="shared" si="3"/>
        <v>UNIVERSITAS SUMATERA UTARAFISIKA</v>
      </c>
    </row>
    <row r="227" spans="1:17" ht="15.75" thickBot="1" x14ac:dyDescent="0.3">
      <c r="A227" s="7">
        <v>226</v>
      </c>
      <c r="B227" s="6">
        <v>7</v>
      </c>
      <c r="C227" s="12">
        <v>1211174</v>
      </c>
      <c r="D227" t="s">
        <v>141</v>
      </c>
      <c r="E227" s="12">
        <v>27</v>
      </c>
      <c r="F227" s="10" t="s">
        <v>20</v>
      </c>
      <c r="H227" s="26"/>
      <c r="I227" s="12"/>
      <c r="J227" s="138" t="s">
        <v>1292</v>
      </c>
      <c r="K227" s="138" t="s">
        <v>1292</v>
      </c>
      <c r="L227" s="138" t="s">
        <v>1292</v>
      </c>
      <c r="N227" s="83" t="s">
        <v>1292</v>
      </c>
      <c r="P227" t="str">
        <f>VLOOKUP(B227,PTN!A:B,2,FALSE)</f>
        <v>UNIVERSITAS SUMATERA UTARA</v>
      </c>
      <c r="Q227" t="str">
        <f t="shared" si="3"/>
        <v>UNIVERSITAS SUMATERA UTARAILMU DAN TEKNOLOGI PANGAN</v>
      </c>
    </row>
    <row r="228" spans="1:17" ht="15.75" thickBot="1" x14ac:dyDescent="0.3">
      <c r="A228" s="7">
        <v>227</v>
      </c>
      <c r="B228" s="6">
        <v>7</v>
      </c>
      <c r="C228" s="13">
        <v>1211201</v>
      </c>
      <c r="D228" t="s">
        <v>78</v>
      </c>
      <c r="E228" s="13">
        <v>54</v>
      </c>
      <c r="F228" s="10" t="s">
        <v>20</v>
      </c>
      <c r="H228" s="87"/>
      <c r="I228" s="13"/>
      <c r="J228" s="138">
        <v>600</v>
      </c>
      <c r="K228" s="138" t="s">
        <v>1292</v>
      </c>
      <c r="L228" s="138" t="s">
        <v>1292</v>
      </c>
      <c r="N228" s="83">
        <v>600</v>
      </c>
      <c r="P228" t="str">
        <f>VLOOKUP(B228,PTN!A:B,2,FALSE)</f>
        <v>UNIVERSITAS SUMATERA UTARA</v>
      </c>
      <c r="Q228" t="str">
        <f t="shared" si="3"/>
        <v>UNIVERSITAS SUMATERA UTARAILMU KEPERAWATAN</v>
      </c>
    </row>
    <row r="229" spans="1:17" ht="15.75" thickBot="1" x14ac:dyDescent="0.3">
      <c r="A229" s="7">
        <v>228</v>
      </c>
      <c r="B229" s="6">
        <v>7</v>
      </c>
      <c r="C229" s="12">
        <v>1211127</v>
      </c>
      <c r="D229" t="s">
        <v>110</v>
      </c>
      <c r="E229" s="12">
        <v>89</v>
      </c>
      <c r="F229" s="10" t="s">
        <v>20</v>
      </c>
      <c r="H229" s="26"/>
      <c r="I229" s="12"/>
      <c r="J229" s="138" t="s">
        <v>1292</v>
      </c>
      <c r="K229" s="138" t="s">
        <v>1292</v>
      </c>
      <c r="L229" s="138" t="s">
        <v>1292</v>
      </c>
      <c r="N229" s="83" t="s">
        <v>1292</v>
      </c>
      <c r="P229" t="str">
        <f>VLOOKUP(B229,PTN!A:B,2,FALSE)</f>
        <v>UNIVERSITAS SUMATERA UTARA</v>
      </c>
      <c r="Q229" t="str">
        <f t="shared" si="3"/>
        <v>UNIVERSITAS SUMATERA UTARAILMU KESEHATAN MASYARAKAT</v>
      </c>
    </row>
    <row r="230" spans="1:17" ht="15.75" thickBot="1" x14ac:dyDescent="0.3">
      <c r="A230" s="7">
        <v>229</v>
      </c>
      <c r="B230" s="6">
        <v>7</v>
      </c>
      <c r="C230" s="13">
        <v>1211232</v>
      </c>
      <c r="D230" t="s">
        <v>111</v>
      </c>
      <c r="E230" s="13">
        <v>41</v>
      </c>
      <c r="F230" s="10" t="s">
        <v>20</v>
      </c>
      <c r="H230" s="87"/>
      <c r="I230" s="13"/>
      <c r="J230" s="138">
        <v>614.91</v>
      </c>
      <c r="K230" s="138">
        <v>625.65</v>
      </c>
      <c r="L230" s="138">
        <v>604.16999999999996</v>
      </c>
      <c r="N230" s="83">
        <v>614.91</v>
      </c>
      <c r="P230" t="str">
        <f>VLOOKUP(B230,PTN!A:B,2,FALSE)</f>
        <v>UNIVERSITAS SUMATERA UTARA</v>
      </c>
      <c r="Q230" t="str">
        <f t="shared" si="3"/>
        <v>UNIVERSITAS SUMATERA UTARAILMU KOMPUTER</v>
      </c>
    </row>
    <row r="231" spans="1:17" ht="15.75" thickBot="1" x14ac:dyDescent="0.3">
      <c r="A231" s="7">
        <v>230</v>
      </c>
      <c r="B231" s="6">
        <v>7</v>
      </c>
      <c r="C231" s="12">
        <v>1211216</v>
      </c>
      <c r="D231" t="s">
        <v>81</v>
      </c>
      <c r="E231" s="12">
        <v>82</v>
      </c>
      <c r="F231" s="10" t="s">
        <v>20</v>
      </c>
      <c r="H231" s="26"/>
      <c r="I231" s="12"/>
      <c r="J231" s="138" t="s">
        <v>1292</v>
      </c>
      <c r="K231" s="138" t="s">
        <v>1292</v>
      </c>
      <c r="L231" s="138" t="s">
        <v>1292</v>
      </c>
      <c r="N231" s="83" t="s">
        <v>1292</v>
      </c>
      <c r="P231" t="str">
        <f>VLOOKUP(B231,PTN!A:B,2,FALSE)</f>
        <v>UNIVERSITAS SUMATERA UTARA</v>
      </c>
      <c r="Q231" t="str">
        <f t="shared" si="3"/>
        <v>UNIVERSITAS SUMATERA UTARAKEHUTANAN</v>
      </c>
    </row>
    <row r="232" spans="1:17" ht="15.75" thickBot="1" x14ac:dyDescent="0.3">
      <c r="A232" s="7">
        <v>231</v>
      </c>
      <c r="B232" s="6">
        <v>7</v>
      </c>
      <c r="C232" s="13">
        <v>1211143</v>
      </c>
      <c r="D232" t="s">
        <v>142</v>
      </c>
      <c r="E232" s="13">
        <v>27</v>
      </c>
      <c r="F232" s="10" t="s">
        <v>20</v>
      </c>
      <c r="H232" s="87"/>
      <c r="I232" s="13"/>
      <c r="J232" s="138" t="s">
        <v>1292</v>
      </c>
      <c r="K232" s="138" t="s">
        <v>1292</v>
      </c>
      <c r="L232" s="138" t="s">
        <v>1292</v>
      </c>
      <c r="N232" s="83" t="s">
        <v>1292</v>
      </c>
      <c r="P232" t="str">
        <f>VLOOKUP(B232,PTN!A:B,2,FALSE)</f>
        <v>UNIVERSITAS SUMATERA UTARA</v>
      </c>
      <c r="Q232" t="str">
        <f t="shared" si="3"/>
        <v>UNIVERSITAS SUMATERA UTARAKETEKNIKAN PERTANIAN</v>
      </c>
    </row>
    <row r="233" spans="1:17" ht="15.75" thickBot="1" x14ac:dyDescent="0.3">
      <c r="A233" s="7">
        <v>232</v>
      </c>
      <c r="B233" s="6">
        <v>7</v>
      </c>
      <c r="C233" s="12">
        <v>1211093</v>
      </c>
      <c r="D233" t="s">
        <v>22</v>
      </c>
      <c r="E233" s="12">
        <v>58</v>
      </c>
      <c r="F233" s="10" t="s">
        <v>20</v>
      </c>
      <c r="H233" s="26"/>
      <c r="I233" s="12"/>
      <c r="J233" s="138" t="s">
        <v>1292</v>
      </c>
      <c r="K233" s="138" t="s">
        <v>1292</v>
      </c>
      <c r="L233" s="138" t="s">
        <v>1292</v>
      </c>
      <c r="N233" s="83" t="s">
        <v>1292</v>
      </c>
      <c r="P233" t="str">
        <f>VLOOKUP(B233,PTN!A:B,2,FALSE)</f>
        <v>UNIVERSITAS SUMATERA UTARA</v>
      </c>
      <c r="Q233" t="str">
        <f t="shared" si="3"/>
        <v>UNIVERSITAS SUMATERA UTARAKIMIA</v>
      </c>
    </row>
    <row r="234" spans="1:17" ht="15.75" thickBot="1" x14ac:dyDescent="0.3">
      <c r="A234" s="7">
        <v>233</v>
      </c>
      <c r="B234" s="6">
        <v>7</v>
      </c>
      <c r="C234" s="13">
        <v>1211255</v>
      </c>
      <c r="D234" t="s">
        <v>143</v>
      </c>
      <c r="E234" s="13">
        <v>27</v>
      </c>
      <c r="F234" s="10" t="s">
        <v>20</v>
      </c>
      <c r="H234" s="87"/>
      <c r="I234" s="13"/>
      <c r="J234" s="138" t="s">
        <v>1292</v>
      </c>
      <c r="K234" s="138" t="s">
        <v>1292</v>
      </c>
      <c r="L234" s="138" t="s">
        <v>1292</v>
      </c>
      <c r="N234" s="83" t="s">
        <v>1292</v>
      </c>
      <c r="P234" t="str">
        <f>VLOOKUP(B234,PTN!A:B,2,FALSE)</f>
        <v>UNIVERSITAS SUMATERA UTARA</v>
      </c>
      <c r="Q234" t="str">
        <f t="shared" si="3"/>
        <v>UNIVERSITAS SUMATERA UTARAMANAJEMEN SUMBER DAYA PERAIRAN</v>
      </c>
    </row>
    <row r="235" spans="1:17" ht="15.75" thickBot="1" x14ac:dyDescent="0.3">
      <c r="A235" s="7">
        <v>234</v>
      </c>
      <c r="B235" s="6">
        <v>7</v>
      </c>
      <c r="C235" s="12">
        <v>1211085</v>
      </c>
      <c r="D235" t="s">
        <v>66</v>
      </c>
      <c r="E235" s="12">
        <v>50</v>
      </c>
      <c r="F235" s="10" t="s">
        <v>20</v>
      </c>
      <c r="H235" s="26"/>
      <c r="I235" s="12"/>
      <c r="J235" s="138" t="s">
        <v>1292</v>
      </c>
      <c r="K235" s="138" t="s">
        <v>1292</v>
      </c>
      <c r="L235" s="138" t="s">
        <v>1292</v>
      </c>
      <c r="N235" s="83" t="s">
        <v>1292</v>
      </c>
      <c r="P235" t="str">
        <f>VLOOKUP(B235,PTN!A:B,2,FALSE)</f>
        <v>UNIVERSITAS SUMATERA UTARA</v>
      </c>
      <c r="Q235" t="str">
        <f t="shared" si="3"/>
        <v>UNIVERSITAS SUMATERA UTARAMATEMATIKA</v>
      </c>
    </row>
    <row r="236" spans="1:17" ht="15.75" thickBot="1" x14ac:dyDescent="0.3">
      <c r="A236" s="7">
        <v>235</v>
      </c>
      <c r="B236" s="6">
        <v>7</v>
      </c>
      <c r="C236" s="13">
        <v>1211015</v>
      </c>
      <c r="D236" t="s">
        <v>41</v>
      </c>
      <c r="E236" s="13">
        <v>62</v>
      </c>
      <c r="F236" s="10" t="s">
        <v>20</v>
      </c>
      <c r="H236" s="87"/>
      <c r="I236" s="13"/>
      <c r="J236" s="138">
        <v>680.69</v>
      </c>
      <c r="K236" s="138">
        <v>690.1400000000001</v>
      </c>
      <c r="L236" s="138">
        <v>671.24</v>
      </c>
      <c r="N236" s="83">
        <v>680.69</v>
      </c>
      <c r="P236" t="str">
        <f>VLOOKUP(B236,PTN!A:B,2,FALSE)</f>
        <v>UNIVERSITAS SUMATERA UTARA</v>
      </c>
      <c r="Q236" t="str">
        <f t="shared" si="3"/>
        <v>UNIVERSITAS SUMATERA UTARAPENDIDIKAN DOKTER</v>
      </c>
    </row>
    <row r="237" spans="1:17" ht="15.75" thickBot="1" x14ac:dyDescent="0.3">
      <c r="A237" s="7">
        <v>236</v>
      </c>
      <c r="B237" s="6">
        <v>7</v>
      </c>
      <c r="C237" s="12">
        <v>1211077</v>
      </c>
      <c r="D237" t="s">
        <v>85</v>
      </c>
      <c r="E237" s="12">
        <v>62</v>
      </c>
      <c r="F237" s="10" t="s">
        <v>20</v>
      </c>
      <c r="H237" s="26"/>
      <c r="I237" s="12"/>
      <c r="J237" s="138">
        <v>633.94000000000005</v>
      </c>
      <c r="K237" s="138">
        <v>641.11500000000001</v>
      </c>
      <c r="L237" s="138">
        <v>626.7650000000001</v>
      </c>
      <c r="N237" s="83">
        <v>633.94000000000005</v>
      </c>
      <c r="P237" t="str">
        <f>VLOOKUP(B237,PTN!A:B,2,FALSE)</f>
        <v>UNIVERSITAS SUMATERA UTARA</v>
      </c>
      <c r="Q237" t="str">
        <f t="shared" si="3"/>
        <v>UNIVERSITAS SUMATERA UTARAPENDIDIKAN DOKTER GIGI</v>
      </c>
    </row>
    <row r="238" spans="1:17" ht="15.75" thickBot="1" x14ac:dyDescent="0.3">
      <c r="A238" s="7">
        <v>237</v>
      </c>
      <c r="B238" s="6">
        <v>7</v>
      </c>
      <c r="C238" s="13">
        <v>1211182</v>
      </c>
      <c r="D238" t="s">
        <v>88</v>
      </c>
      <c r="E238" s="13">
        <v>54</v>
      </c>
      <c r="F238" s="10" t="s">
        <v>20</v>
      </c>
      <c r="H238" s="87"/>
      <c r="I238" s="13"/>
      <c r="J238" s="138" t="s">
        <v>1292</v>
      </c>
      <c r="K238" s="138" t="s">
        <v>1292</v>
      </c>
      <c r="L238" s="138" t="s">
        <v>1292</v>
      </c>
      <c r="N238" s="83" t="s">
        <v>1292</v>
      </c>
      <c r="P238" t="str">
        <f>VLOOKUP(B238,PTN!A:B,2,FALSE)</f>
        <v>UNIVERSITAS SUMATERA UTARA</v>
      </c>
      <c r="Q238" t="str">
        <f t="shared" si="3"/>
        <v>UNIVERSITAS SUMATERA UTARAPETERNAKAN</v>
      </c>
    </row>
    <row r="239" spans="1:17" ht="15.75" thickBot="1" x14ac:dyDescent="0.3">
      <c r="A239" s="7">
        <v>238</v>
      </c>
      <c r="B239" s="6">
        <v>7</v>
      </c>
      <c r="C239" s="12">
        <v>1211046</v>
      </c>
      <c r="D239" t="s">
        <v>48</v>
      </c>
      <c r="E239" s="12">
        <v>52</v>
      </c>
      <c r="F239" s="10" t="s">
        <v>20</v>
      </c>
      <c r="H239" s="26"/>
      <c r="I239" s="12"/>
      <c r="J239" s="138" t="s">
        <v>1292</v>
      </c>
      <c r="K239" s="138" t="s">
        <v>1292</v>
      </c>
      <c r="L239" s="138" t="s">
        <v>1292</v>
      </c>
      <c r="N239" s="83" t="s">
        <v>1292</v>
      </c>
      <c r="P239" t="str">
        <f>VLOOKUP(B239,PTN!A:B,2,FALSE)</f>
        <v>UNIVERSITAS SUMATERA UTARA</v>
      </c>
      <c r="Q239" t="str">
        <f t="shared" si="3"/>
        <v>UNIVERSITAS SUMATERA UTARATEKNIK ELEKTRO</v>
      </c>
    </row>
    <row r="240" spans="1:17" ht="15.75" thickBot="1" x14ac:dyDescent="0.3">
      <c r="A240" s="7">
        <v>239</v>
      </c>
      <c r="B240" s="6">
        <v>7</v>
      </c>
      <c r="C240" s="13">
        <v>1211054</v>
      </c>
      <c r="D240" t="s">
        <v>49</v>
      </c>
      <c r="E240" s="13">
        <v>52</v>
      </c>
      <c r="F240" s="10" t="s">
        <v>20</v>
      </c>
      <c r="H240" s="87"/>
      <c r="I240" s="13"/>
      <c r="J240" s="138">
        <v>618.78</v>
      </c>
      <c r="K240" s="138">
        <v>629.79499999999996</v>
      </c>
      <c r="L240" s="138">
        <v>607.76499999999999</v>
      </c>
      <c r="N240" s="83">
        <v>618.78</v>
      </c>
      <c r="P240" t="str">
        <f>VLOOKUP(B240,PTN!A:B,2,FALSE)</f>
        <v>UNIVERSITAS SUMATERA UTARA</v>
      </c>
      <c r="Q240" t="str">
        <f t="shared" si="3"/>
        <v>UNIVERSITAS SUMATERA UTARATEKNIK INDUSTRI</v>
      </c>
    </row>
    <row r="241" spans="1:17" ht="15.75" thickBot="1" x14ac:dyDescent="0.3">
      <c r="A241" s="7">
        <v>240</v>
      </c>
      <c r="B241" s="6">
        <v>7</v>
      </c>
      <c r="C241" s="12">
        <v>1211062</v>
      </c>
      <c r="D241" t="s">
        <v>51</v>
      </c>
      <c r="E241" s="12">
        <v>52</v>
      </c>
      <c r="F241" s="10" t="s">
        <v>20</v>
      </c>
      <c r="H241" s="26"/>
      <c r="I241" s="12"/>
      <c r="J241" s="138">
        <v>609.41</v>
      </c>
      <c r="K241" s="138">
        <v>618.22500000000002</v>
      </c>
      <c r="L241" s="138">
        <v>600.59499999999991</v>
      </c>
      <c r="N241" s="83">
        <v>609.41</v>
      </c>
      <c r="P241" t="str">
        <f>VLOOKUP(B241,PTN!A:B,2,FALSE)</f>
        <v>UNIVERSITAS SUMATERA UTARA</v>
      </c>
      <c r="Q241" t="str">
        <f t="shared" si="3"/>
        <v>UNIVERSITAS SUMATERA UTARATEKNIK KIMIA</v>
      </c>
    </row>
    <row r="242" spans="1:17" ht="15.75" thickBot="1" x14ac:dyDescent="0.3">
      <c r="A242" s="7">
        <v>241</v>
      </c>
      <c r="B242" s="6">
        <v>7</v>
      </c>
      <c r="C242" s="13">
        <v>1211263</v>
      </c>
      <c r="D242" t="s">
        <v>25</v>
      </c>
      <c r="E242" s="13">
        <v>14</v>
      </c>
      <c r="F242" s="10" t="s">
        <v>20</v>
      </c>
      <c r="H242" s="87"/>
      <c r="I242" s="13"/>
      <c r="J242" s="138" t="s">
        <v>1292</v>
      </c>
      <c r="K242" s="138" t="s">
        <v>1292</v>
      </c>
      <c r="L242" s="138" t="s">
        <v>1292</v>
      </c>
      <c r="N242" s="83" t="s">
        <v>1292</v>
      </c>
      <c r="P242" t="str">
        <f>VLOOKUP(B242,PTN!A:B,2,FALSE)</f>
        <v>UNIVERSITAS SUMATERA UTARA</v>
      </c>
      <c r="Q242" t="str">
        <f t="shared" si="3"/>
        <v>UNIVERSITAS SUMATERA UTARATEKNIK LINGKUNGAN</v>
      </c>
    </row>
    <row r="243" spans="1:17" ht="15.75" thickBot="1" x14ac:dyDescent="0.3">
      <c r="A243" s="7">
        <v>242</v>
      </c>
      <c r="B243" s="6">
        <v>7</v>
      </c>
      <c r="C243" s="12">
        <v>1211031</v>
      </c>
      <c r="D243" t="s">
        <v>53</v>
      </c>
      <c r="E243" s="12">
        <v>52</v>
      </c>
      <c r="F243" s="10" t="s">
        <v>20</v>
      </c>
      <c r="H243" s="26"/>
      <c r="I243" s="12"/>
      <c r="J243" s="138" t="s">
        <v>1292</v>
      </c>
      <c r="K243" s="138" t="s">
        <v>1292</v>
      </c>
      <c r="L243" s="138" t="s">
        <v>1292</v>
      </c>
      <c r="N243" s="83" t="s">
        <v>1292</v>
      </c>
      <c r="P243" t="str">
        <f>VLOOKUP(B243,PTN!A:B,2,FALSE)</f>
        <v>UNIVERSITAS SUMATERA UTARA</v>
      </c>
      <c r="Q243" t="str">
        <f t="shared" si="3"/>
        <v>UNIVERSITAS SUMATERA UTARATEKNIK MESIN</v>
      </c>
    </row>
    <row r="244" spans="1:17" ht="15.75" thickBot="1" x14ac:dyDescent="0.3">
      <c r="A244" s="7">
        <v>243</v>
      </c>
      <c r="B244" s="6">
        <v>7</v>
      </c>
      <c r="C244" s="13">
        <v>1211023</v>
      </c>
      <c r="D244" t="s">
        <v>54</v>
      </c>
      <c r="E244" s="13">
        <v>39</v>
      </c>
      <c r="F244" s="10" t="s">
        <v>20</v>
      </c>
      <c r="H244" s="87"/>
      <c r="I244" s="13"/>
      <c r="J244" s="138">
        <v>608.17999999999995</v>
      </c>
      <c r="K244" s="138">
        <v>616.79999999999995</v>
      </c>
      <c r="L244" s="138">
        <v>599.55999999999995</v>
      </c>
      <c r="N244" s="83">
        <v>608.17999999999995</v>
      </c>
      <c r="P244" t="str">
        <f>VLOOKUP(B244,PTN!A:B,2,FALSE)</f>
        <v>UNIVERSITAS SUMATERA UTARA</v>
      </c>
      <c r="Q244" t="str">
        <f t="shared" si="3"/>
        <v>UNIVERSITAS SUMATERA UTARATEKNIK SIPIL</v>
      </c>
    </row>
    <row r="245" spans="1:17" ht="15.75" thickBot="1" x14ac:dyDescent="0.3">
      <c r="A245" s="7">
        <v>244</v>
      </c>
      <c r="B245" s="6">
        <v>7</v>
      </c>
      <c r="C245" s="14">
        <v>1211247</v>
      </c>
      <c r="D245" t="s">
        <v>26</v>
      </c>
      <c r="E245" s="14">
        <v>41</v>
      </c>
      <c r="F245" s="10" t="s">
        <v>20</v>
      </c>
      <c r="H245" s="26"/>
      <c r="I245" s="12"/>
      <c r="J245" s="138">
        <v>626.11</v>
      </c>
      <c r="K245" s="138">
        <v>639.41999999999996</v>
      </c>
      <c r="L245" s="138">
        <v>612.80000000000007</v>
      </c>
      <c r="N245" s="83">
        <v>626.11</v>
      </c>
      <c r="P245" t="str">
        <f>VLOOKUP(B245,PTN!A:B,2,FALSE)</f>
        <v>UNIVERSITAS SUMATERA UTARA</v>
      </c>
      <c r="Q245" t="str">
        <f t="shared" si="3"/>
        <v>UNIVERSITAS SUMATERA UTARATEKNOLOGI INFORMASI</v>
      </c>
    </row>
    <row r="246" spans="1:17" ht="16.5" thickTop="1" thickBot="1" x14ac:dyDescent="0.3">
      <c r="A246" s="7">
        <v>245</v>
      </c>
      <c r="B246" s="6">
        <v>7</v>
      </c>
      <c r="C246" s="12">
        <v>1212042</v>
      </c>
      <c r="D246" t="s">
        <v>55</v>
      </c>
      <c r="E246" s="12">
        <v>68</v>
      </c>
      <c r="F246" s="10" t="s">
        <v>13</v>
      </c>
      <c r="H246" s="20"/>
      <c r="I246" s="21"/>
      <c r="J246" s="138">
        <v>604.04</v>
      </c>
      <c r="K246" s="138">
        <v>612.17773</v>
      </c>
      <c r="L246" s="138">
        <v>595.90226999999993</v>
      </c>
      <c r="N246" s="83">
        <v>604.04</v>
      </c>
      <c r="P246" t="str">
        <f>VLOOKUP(B246,PTN!A:B,2,FALSE)</f>
        <v>UNIVERSITAS SUMATERA UTARA</v>
      </c>
      <c r="Q246" t="str">
        <f t="shared" si="3"/>
        <v>UNIVERSITAS SUMATERA UTARAAKUNTANSI</v>
      </c>
    </row>
    <row r="247" spans="1:17" ht="15.75" thickBot="1" x14ac:dyDescent="0.3">
      <c r="A247" s="7">
        <v>246</v>
      </c>
      <c r="B247" s="6">
        <v>7</v>
      </c>
      <c r="C247" s="13">
        <v>1212034</v>
      </c>
      <c r="D247" t="s">
        <v>144</v>
      </c>
      <c r="E247" s="13">
        <v>27</v>
      </c>
      <c r="F247" s="10" t="s">
        <v>13</v>
      </c>
      <c r="H247" s="22"/>
      <c r="I247" s="21"/>
      <c r="J247" s="138" t="s">
        <v>1292</v>
      </c>
      <c r="K247" s="138" t="s">
        <v>1292</v>
      </c>
      <c r="L247" s="138" t="s">
        <v>1292</v>
      </c>
      <c r="N247" s="83" t="s">
        <v>1292</v>
      </c>
      <c r="P247" t="str">
        <f>VLOOKUP(B247,PTN!A:B,2,FALSE)</f>
        <v>UNIVERSITAS SUMATERA UTARA</v>
      </c>
      <c r="Q247" t="str">
        <f t="shared" si="3"/>
        <v>UNIVERSITAS SUMATERA UTARAANTROPOLOGI SOSIAL</v>
      </c>
    </row>
    <row r="248" spans="1:17" ht="16.5" thickTop="1" thickBot="1" x14ac:dyDescent="0.3">
      <c r="A248" s="7">
        <v>247</v>
      </c>
      <c r="B248" s="6">
        <v>7</v>
      </c>
      <c r="C248" s="12">
        <v>1212107</v>
      </c>
      <c r="D248" t="s">
        <v>69</v>
      </c>
      <c r="E248" s="12">
        <v>48</v>
      </c>
      <c r="F248" s="10" t="s">
        <v>13</v>
      </c>
      <c r="H248" s="23"/>
      <c r="I248" s="24"/>
      <c r="J248" s="138">
        <v>586.20000000000005</v>
      </c>
      <c r="K248" s="138">
        <v>594.33773000000008</v>
      </c>
      <c r="L248" s="138">
        <v>578.06227000000001</v>
      </c>
      <c r="N248" s="83">
        <v>586.20000000000005</v>
      </c>
      <c r="P248" t="str">
        <f>VLOOKUP(B248,PTN!A:B,2,FALSE)</f>
        <v>UNIVERSITAS SUMATERA UTARA</v>
      </c>
      <c r="Q248" t="str">
        <f t="shared" si="3"/>
        <v>UNIVERSITAS SUMATERA UTARAEKONOMI PEMBANGUNAN</v>
      </c>
    </row>
    <row r="249" spans="1:17" ht="16.5" thickTop="1" thickBot="1" x14ac:dyDescent="0.3">
      <c r="A249" s="7">
        <v>248</v>
      </c>
      <c r="B249" s="6">
        <v>7</v>
      </c>
      <c r="C249" s="13">
        <v>1212177</v>
      </c>
      <c r="D249" t="s">
        <v>145</v>
      </c>
      <c r="E249" s="13">
        <v>41</v>
      </c>
      <c r="F249" s="10" t="s">
        <v>13</v>
      </c>
      <c r="H249" s="26"/>
      <c r="I249" s="12"/>
      <c r="J249" s="138" t="s">
        <v>1292</v>
      </c>
      <c r="K249" s="138" t="s">
        <v>1292</v>
      </c>
      <c r="L249" s="138" t="s">
        <v>1292</v>
      </c>
      <c r="N249" s="83" t="s">
        <v>1292</v>
      </c>
      <c r="P249" t="str">
        <f>VLOOKUP(B249,PTN!A:B,2,FALSE)</f>
        <v>UNIVERSITAS SUMATERA UTARA</v>
      </c>
      <c r="Q249" t="str">
        <f t="shared" si="3"/>
        <v>UNIVERSITAS SUMATERA UTARAETNO MUSIKOLOGI</v>
      </c>
    </row>
    <row r="250" spans="1:17" ht="15.75" thickBot="1" x14ac:dyDescent="0.3">
      <c r="A250" s="7">
        <v>249</v>
      </c>
      <c r="B250" s="6">
        <v>7</v>
      </c>
      <c r="C250" s="12">
        <v>1212073</v>
      </c>
      <c r="D250" t="s">
        <v>29</v>
      </c>
      <c r="E250" s="12">
        <v>54</v>
      </c>
      <c r="F250" s="10" t="s">
        <v>13</v>
      </c>
      <c r="H250" s="87"/>
      <c r="I250" s="13"/>
      <c r="J250" s="138" t="s">
        <v>1292</v>
      </c>
      <c r="K250" s="138" t="s">
        <v>1292</v>
      </c>
      <c r="L250" s="138" t="s">
        <v>1292</v>
      </c>
      <c r="N250" s="83" t="s">
        <v>1292</v>
      </c>
      <c r="P250" t="str">
        <f>VLOOKUP(B250,PTN!A:B,2,FALSE)</f>
        <v>UNIVERSITAS SUMATERA UTARA</v>
      </c>
      <c r="Q250" t="str">
        <f t="shared" si="3"/>
        <v>UNIVERSITAS SUMATERA UTARAILMU ADMINISTRASI NEGARA</v>
      </c>
    </row>
    <row r="251" spans="1:17" ht="15.75" thickBot="1" x14ac:dyDescent="0.3">
      <c r="A251" s="7">
        <v>250</v>
      </c>
      <c r="B251" s="6">
        <v>7</v>
      </c>
      <c r="C251" s="13">
        <v>1212227</v>
      </c>
      <c r="D251" t="s">
        <v>146</v>
      </c>
      <c r="E251" s="13">
        <v>33</v>
      </c>
      <c r="F251" s="10" t="s">
        <v>13</v>
      </c>
      <c r="H251" s="26"/>
      <c r="I251" s="12"/>
      <c r="J251" s="138">
        <v>576.64</v>
      </c>
      <c r="K251" s="138">
        <v>584.77773000000002</v>
      </c>
      <c r="L251" s="138">
        <v>568.50226999999995</v>
      </c>
      <c r="N251" s="83">
        <v>576.64</v>
      </c>
      <c r="P251" t="str">
        <f>VLOOKUP(B251,PTN!A:B,2,FALSE)</f>
        <v>UNIVERSITAS SUMATERA UTARA</v>
      </c>
      <c r="Q251" t="str">
        <f t="shared" si="3"/>
        <v>UNIVERSITAS SUMATERA UTARAILMU ADMINISTRASI NIAGA/BISNIS</v>
      </c>
    </row>
    <row r="252" spans="1:17" ht="15.75" thickBot="1" x14ac:dyDescent="0.3">
      <c r="A252" s="7">
        <v>251</v>
      </c>
      <c r="B252" s="6">
        <v>7</v>
      </c>
      <c r="C252" s="12">
        <v>1212011</v>
      </c>
      <c r="D252" t="s">
        <v>31</v>
      </c>
      <c r="E252" s="12">
        <v>162</v>
      </c>
      <c r="F252" s="10" t="s">
        <v>13</v>
      </c>
      <c r="H252" s="87"/>
      <c r="I252" s="13"/>
      <c r="J252" s="138">
        <v>582.11</v>
      </c>
      <c r="K252" s="138">
        <v>590.24773000000005</v>
      </c>
      <c r="L252" s="138">
        <v>573.97226999999998</v>
      </c>
      <c r="N252" s="83">
        <v>582.11</v>
      </c>
      <c r="P252" t="str">
        <f>VLOOKUP(B252,PTN!A:B,2,FALSE)</f>
        <v>UNIVERSITAS SUMATERA UTARA</v>
      </c>
      <c r="Q252" t="str">
        <f t="shared" si="3"/>
        <v>UNIVERSITAS SUMATERA UTARAILMU HUKUM</v>
      </c>
    </row>
    <row r="253" spans="1:17" ht="15.75" thickBot="1" x14ac:dyDescent="0.3">
      <c r="A253" s="7">
        <v>252</v>
      </c>
      <c r="B253" s="6">
        <v>7</v>
      </c>
      <c r="C253" s="13">
        <v>1212065</v>
      </c>
      <c r="D253" t="s">
        <v>147</v>
      </c>
      <c r="E253" s="13">
        <v>33</v>
      </c>
      <c r="F253" s="10" t="s">
        <v>13</v>
      </c>
      <c r="H253" s="26"/>
      <c r="I253" s="12"/>
      <c r="J253" s="138">
        <v>590</v>
      </c>
      <c r="K253" s="138" t="s">
        <v>1292</v>
      </c>
      <c r="L253" s="138" t="s">
        <v>1292</v>
      </c>
      <c r="N253" s="83">
        <v>590</v>
      </c>
      <c r="P253" t="str">
        <f>VLOOKUP(B253,PTN!A:B,2,FALSE)</f>
        <v>UNIVERSITAS SUMATERA UTARA</v>
      </c>
      <c r="Q253" t="str">
        <f t="shared" si="3"/>
        <v>UNIVERSITAS SUMATERA UTARAILMU KESEJAHTERAAN SOSIAL</v>
      </c>
    </row>
    <row r="254" spans="1:17" ht="15.75" thickBot="1" x14ac:dyDescent="0.3">
      <c r="A254" s="7">
        <v>253</v>
      </c>
      <c r="B254" s="6">
        <v>7</v>
      </c>
      <c r="C254" s="12">
        <v>1212081</v>
      </c>
      <c r="D254" t="s">
        <v>60</v>
      </c>
      <c r="E254" s="12">
        <v>34</v>
      </c>
      <c r="F254" s="10" t="s">
        <v>13</v>
      </c>
      <c r="H254" s="87"/>
      <c r="I254" s="13"/>
      <c r="J254" s="138">
        <v>580.64</v>
      </c>
      <c r="K254" s="138">
        <v>588.77773000000002</v>
      </c>
      <c r="L254" s="138">
        <v>572.50226999999995</v>
      </c>
      <c r="N254" s="83">
        <v>580.64</v>
      </c>
      <c r="P254" t="str">
        <f>VLOOKUP(B254,PTN!A:B,2,FALSE)</f>
        <v>UNIVERSITAS SUMATERA UTARA</v>
      </c>
      <c r="Q254" t="str">
        <f t="shared" si="3"/>
        <v>UNIVERSITAS SUMATERA UTARAILMU KOMUNIKASI</v>
      </c>
    </row>
    <row r="255" spans="1:17" ht="15.75" thickBot="1" x14ac:dyDescent="0.3">
      <c r="A255" s="7">
        <v>254</v>
      </c>
      <c r="B255" s="6">
        <v>7</v>
      </c>
      <c r="C255" s="13">
        <v>1212193</v>
      </c>
      <c r="D255" t="s">
        <v>32</v>
      </c>
      <c r="E255" s="13">
        <v>27</v>
      </c>
      <c r="F255" s="10" t="s">
        <v>13</v>
      </c>
      <c r="H255" s="26"/>
      <c r="I255" s="12"/>
      <c r="J255" s="138" t="s">
        <v>1292</v>
      </c>
      <c r="K255" s="138" t="s">
        <v>1292</v>
      </c>
      <c r="L255" s="138" t="s">
        <v>1292</v>
      </c>
      <c r="N255" s="83" t="s">
        <v>1292</v>
      </c>
      <c r="P255" t="str">
        <f>VLOOKUP(B255,PTN!A:B,2,FALSE)</f>
        <v>UNIVERSITAS SUMATERA UTARA</v>
      </c>
      <c r="Q255" t="str">
        <f t="shared" si="3"/>
        <v>UNIVERSITAS SUMATERA UTARAILMU PERPUSTAKAAN</v>
      </c>
    </row>
    <row r="256" spans="1:17" ht="15.75" thickBot="1" x14ac:dyDescent="0.3">
      <c r="A256" s="7">
        <v>255</v>
      </c>
      <c r="B256" s="6">
        <v>7</v>
      </c>
      <c r="C256" s="12">
        <v>1212115</v>
      </c>
      <c r="D256" t="s">
        <v>33</v>
      </c>
      <c r="E256" s="12">
        <v>27</v>
      </c>
      <c r="F256" s="10" t="s">
        <v>13</v>
      </c>
      <c r="H256" s="87"/>
      <c r="I256" s="13"/>
      <c r="J256" s="138" t="s">
        <v>1292</v>
      </c>
      <c r="K256" s="138" t="s">
        <v>1292</v>
      </c>
      <c r="L256" s="138" t="s">
        <v>1292</v>
      </c>
      <c r="N256" s="83" t="s">
        <v>1292</v>
      </c>
      <c r="P256" t="str">
        <f>VLOOKUP(B256,PTN!A:B,2,FALSE)</f>
        <v>UNIVERSITAS SUMATERA UTARA</v>
      </c>
      <c r="Q256" t="str">
        <f t="shared" si="3"/>
        <v>UNIVERSITAS SUMATERA UTARAILMU POLITIK</v>
      </c>
    </row>
    <row r="257" spans="1:17" ht="15.75" thickBot="1" x14ac:dyDescent="0.3">
      <c r="A257" s="7">
        <v>256</v>
      </c>
      <c r="B257" s="6">
        <v>7</v>
      </c>
      <c r="C257" s="13">
        <v>1212026</v>
      </c>
      <c r="D257" t="s">
        <v>148</v>
      </c>
      <c r="E257" s="13">
        <v>24</v>
      </c>
      <c r="F257" s="10" t="s">
        <v>13</v>
      </c>
      <c r="H257" s="26"/>
      <c r="I257" s="12"/>
      <c r="J257" s="138" t="s">
        <v>1292</v>
      </c>
      <c r="K257" s="138" t="s">
        <v>1292</v>
      </c>
      <c r="L257" s="138" t="s">
        <v>1292</v>
      </c>
      <c r="N257" s="83" t="s">
        <v>1292</v>
      </c>
      <c r="P257" t="str">
        <f>VLOOKUP(B257,PTN!A:B,2,FALSE)</f>
        <v>UNIVERSITAS SUMATERA UTARA</v>
      </c>
      <c r="Q257" t="str">
        <f t="shared" si="3"/>
        <v>UNIVERSITAS SUMATERA UTARAILMU SEJARAH</v>
      </c>
    </row>
    <row r="258" spans="1:17" ht="15.75" thickBot="1" x14ac:dyDescent="0.3">
      <c r="A258" s="7">
        <v>257</v>
      </c>
      <c r="B258" s="6">
        <v>7</v>
      </c>
      <c r="C258" s="12">
        <v>1212096</v>
      </c>
      <c r="D258" t="s">
        <v>61</v>
      </c>
      <c r="E258" s="12">
        <v>68</v>
      </c>
      <c r="F258" s="10" t="s">
        <v>13</v>
      </c>
      <c r="H258" s="87"/>
      <c r="I258" s="13"/>
      <c r="J258" s="138">
        <v>585.07000000000005</v>
      </c>
      <c r="K258" s="138">
        <v>593.20773000000008</v>
      </c>
      <c r="L258" s="138">
        <v>576.93227000000002</v>
      </c>
      <c r="N258" s="83">
        <v>585.07000000000005</v>
      </c>
      <c r="P258" t="str">
        <f>VLOOKUP(B258,PTN!A:B,2,FALSE)</f>
        <v>UNIVERSITAS SUMATERA UTARA</v>
      </c>
      <c r="Q258" t="str">
        <f t="shared" si="3"/>
        <v>UNIVERSITAS SUMATERA UTARAMANAJEMEN</v>
      </c>
    </row>
    <row r="259" spans="1:17" ht="15.75" thickBot="1" x14ac:dyDescent="0.3">
      <c r="A259" s="7">
        <v>258</v>
      </c>
      <c r="B259" s="6">
        <v>7</v>
      </c>
      <c r="C259" s="13">
        <v>1212235</v>
      </c>
      <c r="D259" t="s">
        <v>36</v>
      </c>
      <c r="E259" s="13">
        <v>68</v>
      </c>
      <c r="F259" s="10" t="s">
        <v>13</v>
      </c>
      <c r="H259" s="26"/>
      <c r="I259" s="12"/>
      <c r="J259" s="138">
        <v>583.26</v>
      </c>
      <c r="K259" s="138">
        <v>591.39773000000002</v>
      </c>
      <c r="L259" s="138">
        <v>575.12226999999996</v>
      </c>
      <c r="N259" s="83">
        <v>583.26</v>
      </c>
      <c r="P259" t="str">
        <f>VLOOKUP(B259,PTN!A:B,2,FALSE)</f>
        <v>UNIVERSITAS SUMATERA UTARA</v>
      </c>
      <c r="Q259" t="str">
        <f t="shared" ref="Q259:Q322" si="4">P259&amp;D259</f>
        <v>UNIVERSITAS SUMATERA UTARAPSIKOLOGI</v>
      </c>
    </row>
    <row r="260" spans="1:17" ht="15.75" thickBot="1" x14ac:dyDescent="0.3">
      <c r="A260" s="7">
        <v>259</v>
      </c>
      <c r="B260" s="6">
        <v>7</v>
      </c>
      <c r="C260" s="12">
        <v>1212162</v>
      </c>
      <c r="D260" t="s">
        <v>149</v>
      </c>
      <c r="E260" s="12">
        <v>55</v>
      </c>
      <c r="F260" s="10" t="s">
        <v>13</v>
      </c>
      <c r="H260" s="87"/>
      <c r="I260" s="13"/>
      <c r="J260" s="138" t="s">
        <v>1292</v>
      </c>
      <c r="K260" s="138" t="s">
        <v>1292</v>
      </c>
      <c r="L260" s="138" t="s">
        <v>1292</v>
      </c>
      <c r="N260" s="83" t="s">
        <v>1292</v>
      </c>
      <c r="P260" t="str">
        <f>VLOOKUP(B260,PTN!A:B,2,FALSE)</f>
        <v>UNIVERSITAS SUMATERA UTARA</v>
      </c>
      <c r="Q260" t="str">
        <f t="shared" si="4"/>
        <v>UNIVERSITAS SUMATERA UTARASASTRA ARAB</v>
      </c>
    </row>
    <row r="261" spans="1:17" ht="15.75" thickBot="1" x14ac:dyDescent="0.3">
      <c r="A261" s="7">
        <v>260</v>
      </c>
      <c r="B261" s="6">
        <v>7</v>
      </c>
      <c r="C261" s="13">
        <v>1212204</v>
      </c>
      <c r="D261" t="s">
        <v>150</v>
      </c>
      <c r="E261" s="13">
        <v>22</v>
      </c>
      <c r="F261" s="10" t="s">
        <v>13</v>
      </c>
      <c r="H261" s="26"/>
      <c r="I261" s="12"/>
      <c r="J261" s="138" t="s">
        <v>1292</v>
      </c>
      <c r="K261" s="138" t="s">
        <v>1292</v>
      </c>
      <c r="L261" s="138" t="s">
        <v>1292</v>
      </c>
      <c r="N261" s="83" t="s">
        <v>1292</v>
      </c>
      <c r="P261" t="str">
        <f>VLOOKUP(B261,PTN!A:B,2,FALSE)</f>
        <v>UNIVERSITAS SUMATERA UTARA</v>
      </c>
      <c r="Q261" t="str">
        <f t="shared" si="4"/>
        <v>UNIVERSITAS SUMATERA UTARASASTRA CINA</v>
      </c>
    </row>
    <row r="262" spans="1:17" ht="15.75" thickBot="1" x14ac:dyDescent="0.3">
      <c r="A262" s="7">
        <v>261</v>
      </c>
      <c r="B262" s="6">
        <v>7</v>
      </c>
      <c r="C262" s="12">
        <v>1212154</v>
      </c>
      <c r="D262" t="s">
        <v>151</v>
      </c>
      <c r="E262" s="12">
        <v>45</v>
      </c>
      <c r="F262" s="10" t="s">
        <v>13</v>
      </c>
      <c r="H262" s="87"/>
      <c r="I262" s="13"/>
      <c r="J262" s="138" t="s">
        <v>1292</v>
      </c>
      <c r="K262" s="138" t="s">
        <v>1292</v>
      </c>
      <c r="L262" s="138" t="s">
        <v>1292</v>
      </c>
      <c r="N262" s="83" t="s">
        <v>1292</v>
      </c>
      <c r="P262" t="str">
        <f>VLOOKUP(B262,PTN!A:B,2,FALSE)</f>
        <v>UNIVERSITAS SUMATERA UTARA</v>
      </c>
      <c r="Q262" t="str">
        <f t="shared" si="4"/>
        <v>UNIVERSITAS SUMATERA UTARASASTRA DAERAH UNTUK SASTRA BATAK</v>
      </c>
    </row>
    <row r="263" spans="1:17" ht="15.75" thickBot="1" x14ac:dyDescent="0.3">
      <c r="A263" s="7">
        <v>262</v>
      </c>
      <c r="B263" s="6">
        <v>7</v>
      </c>
      <c r="C263" s="13">
        <v>1212131</v>
      </c>
      <c r="D263" t="s">
        <v>152</v>
      </c>
      <c r="E263" s="13">
        <v>45</v>
      </c>
      <c r="F263" s="10" t="s">
        <v>13</v>
      </c>
      <c r="H263" s="26"/>
      <c r="I263" s="12"/>
      <c r="J263" s="138" t="s">
        <v>1292</v>
      </c>
      <c r="K263" s="138" t="s">
        <v>1292</v>
      </c>
      <c r="L263" s="138" t="s">
        <v>1292</v>
      </c>
      <c r="N263" s="83" t="s">
        <v>1292</v>
      </c>
      <c r="P263" t="str">
        <f>VLOOKUP(B263,PTN!A:B,2,FALSE)</f>
        <v>UNIVERSITAS SUMATERA UTARA</v>
      </c>
      <c r="Q263" t="str">
        <f t="shared" si="4"/>
        <v>UNIVERSITAS SUMATERA UTARASASTRA DAERAH UNTUK SASTRA MELAYU</v>
      </c>
    </row>
    <row r="264" spans="1:17" ht="15.75" thickBot="1" x14ac:dyDescent="0.3">
      <c r="A264" s="7">
        <v>263</v>
      </c>
      <c r="B264" s="6">
        <v>7</v>
      </c>
      <c r="C264" s="12">
        <v>1212123</v>
      </c>
      <c r="D264" t="s">
        <v>62</v>
      </c>
      <c r="E264" s="12">
        <v>32</v>
      </c>
      <c r="F264" s="10" t="s">
        <v>13</v>
      </c>
      <c r="H264" s="87"/>
      <c r="I264" s="13"/>
      <c r="J264" s="138" t="s">
        <v>1292</v>
      </c>
      <c r="K264" s="138" t="s">
        <v>1292</v>
      </c>
      <c r="L264" s="138" t="s">
        <v>1292</v>
      </c>
      <c r="N264" s="83" t="s">
        <v>1292</v>
      </c>
      <c r="P264" t="str">
        <f>VLOOKUP(B264,PTN!A:B,2,FALSE)</f>
        <v>UNIVERSITAS SUMATERA UTARA</v>
      </c>
      <c r="Q264" t="str">
        <f t="shared" si="4"/>
        <v>UNIVERSITAS SUMATERA UTARASASTRA INDONESIA</v>
      </c>
    </row>
    <row r="265" spans="1:17" ht="15.75" thickBot="1" x14ac:dyDescent="0.3">
      <c r="A265" s="7">
        <v>264</v>
      </c>
      <c r="B265" s="6">
        <v>7</v>
      </c>
      <c r="C265" s="13">
        <v>1212146</v>
      </c>
      <c r="D265" t="s">
        <v>139</v>
      </c>
      <c r="E265" s="13">
        <v>35</v>
      </c>
      <c r="F265" s="10" t="s">
        <v>13</v>
      </c>
      <c r="H265" s="26"/>
      <c r="I265" s="12"/>
      <c r="J265" s="138">
        <v>570.33000000000004</v>
      </c>
      <c r="K265" s="138">
        <v>578.46773000000007</v>
      </c>
      <c r="L265" s="138">
        <v>562.19227000000001</v>
      </c>
      <c r="N265" s="83">
        <v>570.33000000000004</v>
      </c>
      <c r="P265" t="str">
        <f>VLOOKUP(B265,PTN!A:B,2,FALSE)</f>
        <v>UNIVERSITAS SUMATERA UTARA</v>
      </c>
      <c r="Q265" t="str">
        <f t="shared" si="4"/>
        <v>UNIVERSITAS SUMATERA UTARASASTRA INGGRIS</v>
      </c>
    </row>
    <row r="266" spans="1:17" ht="15.75" thickBot="1" x14ac:dyDescent="0.3">
      <c r="A266" s="7">
        <v>265</v>
      </c>
      <c r="B266" s="6">
        <v>7</v>
      </c>
      <c r="C266" s="12">
        <v>1212185</v>
      </c>
      <c r="D266" t="s">
        <v>153</v>
      </c>
      <c r="E266" s="12">
        <v>41</v>
      </c>
      <c r="F266" s="10" t="s">
        <v>13</v>
      </c>
      <c r="H266" s="87"/>
      <c r="I266" s="13"/>
      <c r="J266" s="138" t="s">
        <v>1292</v>
      </c>
      <c r="K266" s="138" t="s">
        <v>1292</v>
      </c>
      <c r="L266" s="138" t="s">
        <v>1292</v>
      </c>
      <c r="N266" s="83" t="s">
        <v>1292</v>
      </c>
      <c r="P266" t="str">
        <f>VLOOKUP(B266,PTN!A:B,2,FALSE)</f>
        <v>UNIVERSITAS SUMATERA UTARA</v>
      </c>
      <c r="Q266" t="str">
        <f t="shared" si="4"/>
        <v>UNIVERSITAS SUMATERA UTARASASTRA JEPANG</v>
      </c>
    </row>
    <row r="267" spans="1:17" ht="15.75" thickBot="1" x14ac:dyDescent="0.3">
      <c r="A267" s="7">
        <v>266</v>
      </c>
      <c r="B267" s="6">
        <v>7</v>
      </c>
      <c r="C267" s="16">
        <v>1212057</v>
      </c>
      <c r="D267" t="s">
        <v>63</v>
      </c>
      <c r="E267" s="16">
        <v>30</v>
      </c>
      <c r="F267" s="10" t="s">
        <v>13</v>
      </c>
      <c r="H267" s="26"/>
      <c r="I267" s="12"/>
      <c r="J267" s="138" t="s">
        <v>1292</v>
      </c>
      <c r="K267" s="138" t="s">
        <v>1292</v>
      </c>
      <c r="L267" s="138" t="s">
        <v>1292</v>
      </c>
      <c r="N267" s="83" t="s">
        <v>1292</v>
      </c>
      <c r="P267" t="str">
        <f>VLOOKUP(B267,PTN!A:B,2,FALSE)</f>
        <v>UNIVERSITAS SUMATERA UTARA</v>
      </c>
      <c r="Q267" t="str">
        <f t="shared" si="4"/>
        <v>UNIVERSITAS SUMATERA UTARASOSIOLOGI</v>
      </c>
    </row>
    <row r="268" spans="1:17" ht="16.5" thickTop="1" thickBot="1" x14ac:dyDescent="0.3">
      <c r="A268" s="7">
        <v>267</v>
      </c>
      <c r="B268" s="6">
        <v>15</v>
      </c>
      <c r="C268" s="12">
        <v>1432106</v>
      </c>
      <c r="D268" t="s">
        <v>154</v>
      </c>
      <c r="E268" s="12">
        <v>18</v>
      </c>
      <c r="F268" s="10" t="s">
        <v>13</v>
      </c>
      <c r="H268" s="22"/>
      <c r="I268" s="21"/>
      <c r="J268" s="138" t="s">
        <v>1292</v>
      </c>
      <c r="K268" s="138" t="s">
        <v>1292</v>
      </c>
      <c r="L268" s="138" t="s">
        <v>1292</v>
      </c>
      <c r="N268" s="83" t="s">
        <v>1292</v>
      </c>
      <c r="P268" t="str">
        <f>VLOOKUP(B268,PTN!A:B,2,FALSE)</f>
        <v>ISI PADANG PANJANG</v>
      </c>
      <c r="Q268" t="str">
        <f t="shared" si="4"/>
        <v>ISI PADANG PANJANGANTROPOLOGI BUDAYA</v>
      </c>
    </row>
    <row r="269" spans="1:17" ht="16.5" thickTop="1" thickBot="1" x14ac:dyDescent="0.3">
      <c r="A269" s="7">
        <v>268</v>
      </c>
      <c r="B269" s="6">
        <v>15</v>
      </c>
      <c r="C269" s="13">
        <v>1432095</v>
      </c>
      <c r="D269" t="s">
        <v>155</v>
      </c>
      <c r="E269" s="13">
        <v>36</v>
      </c>
      <c r="F269" s="10" t="s">
        <v>13</v>
      </c>
      <c r="H269" s="23"/>
      <c r="I269" s="24"/>
      <c r="J269" s="138" t="s">
        <v>1292</v>
      </c>
      <c r="K269" s="138" t="s">
        <v>1292</v>
      </c>
      <c r="L269" s="138" t="s">
        <v>1292</v>
      </c>
      <c r="N269" s="83" t="s">
        <v>1292</v>
      </c>
      <c r="P269" t="str">
        <f>VLOOKUP(B269,PTN!A:B,2,FALSE)</f>
        <v>ISI PADANG PANJANG</v>
      </c>
      <c r="Q269" t="str">
        <f t="shared" si="4"/>
        <v>ISI PADANG PANJANGDESAIN DAN KOMUNIKASI VISUAL</v>
      </c>
    </row>
    <row r="270" spans="1:17" ht="16.5" thickTop="1" thickBot="1" x14ac:dyDescent="0.3">
      <c r="A270" s="7">
        <v>269</v>
      </c>
      <c r="B270" s="6">
        <v>15</v>
      </c>
      <c r="C270" s="12">
        <v>1432087</v>
      </c>
      <c r="D270" t="s">
        <v>156</v>
      </c>
      <c r="E270" s="12">
        <v>36</v>
      </c>
      <c r="F270" s="10" t="s">
        <v>13</v>
      </c>
      <c r="H270" s="26"/>
      <c r="I270" s="12"/>
      <c r="J270" s="138" t="s">
        <v>1292</v>
      </c>
      <c r="K270" s="138" t="s">
        <v>1292</v>
      </c>
      <c r="L270" s="138" t="s">
        <v>1292</v>
      </c>
      <c r="N270" s="83" t="s">
        <v>1292</v>
      </c>
      <c r="P270" t="str">
        <f>VLOOKUP(B270,PTN!A:B,2,FALSE)</f>
        <v>ISI PADANG PANJANG</v>
      </c>
      <c r="Q270" t="str">
        <f t="shared" si="4"/>
        <v>ISI PADANG PANJANGFOTOGRAFI</v>
      </c>
    </row>
    <row r="271" spans="1:17" ht="15.75" thickBot="1" x14ac:dyDescent="0.3">
      <c r="A271" s="7">
        <v>270</v>
      </c>
      <c r="B271" s="6">
        <v>15</v>
      </c>
      <c r="C271" s="13">
        <v>1432114</v>
      </c>
      <c r="D271" t="s">
        <v>157</v>
      </c>
      <c r="E271" s="13">
        <v>12</v>
      </c>
      <c r="F271" s="10" t="s">
        <v>13</v>
      </c>
      <c r="H271" s="87"/>
      <c r="I271" s="13"/>
      <c r="J271" s="138" t="s">
        <v>1292</v>
      </c>
      <c r="K271" s="138" t="s">
        <v>1292</v>
      </c>
      <c r="L271" s="138" t="s">
        <v>1292</v>
      </c>
      <c r="N271" s="83" t="s">
        <v>1292</v>
      </c>
      <c r="P271" t="str">
        <f>VLOOKUP(B271,PTN!A:B,2,FALSE)</f>
        <v>ISI PADANG PANJANG</v>
      </c>
      <c r="Q271" t="str">
        <f t="shared" si="4"/>
        <v>ISI PADANG PANJANGPENDIDIKAN KRIYA</v>
      </c>
    </row>
    <row r="272" spans="1:17" ht="15.75" thickBot="1" x14ac:dyDescent="0.3">
      <c r="A272" s="7">
        <v>271</v>
      </c>
      <c r="B272" s="6">
        <v>15</v>
      </c>
      <c r="C272" s="12">
        <v>1432017</v>
      </c>
      <c r="D272" t="s">
        <v>15</v>
      </c>
      <c r="E272" s="12">
        <v>18</v>
      </c>
      <c r="F272" s="10" t="s">
        <v>13</v>
      </c>
      <c r="H272" s="26"/>
      <c r="I272" s="12"/>
      <c r="J272" s="138" t="s">
        <v>1292</v>
      </c>
      <c r="K272" s="138" t="s">
        <v>1292</v>
      </c>
      <c r="L272" s="138" t="s">
        <v>1292</v>
      </c>
      <c r="N272" s="83" t="s">
        <v>1292</v>
      </c>
      <c r="P272" t="str">
        <f>VLOOKUP(B272,PTN!A:B,2,FALSE)</f>
        <v>ISI PADANG PANJANG</v>
      </c>
      <c r="Q272" t="str">
        <f t="shared" si="4"/>
        <v>ISI PADANG PANJANGSENI KARAWITAN</v>
      </c>
    </row>
    <row r="273" spans="1:17" ht="15.75" thickBot="1" x14ac:dyDescent="0.3">
      <c r="A273" s="7">
        <v>272</v>
      </c>
      <c r="B273" s="6">
        <v>15</v>
      </c>
      <c r="C273" s="13">
        <v>1432056</v>
      </c>
      <c r="D273" t="s">
        <v>158</v>
      </c>
      <c r="E273" s="13">
        <v>18</v>
      </c>
      <c r="F273" s="10" t="s">
        <v>13</v>
      </c>
      <c r="H273" s="87"/>
      <c r="I273" s="13"/>
      <c r="J273" s="138" t="s">
        <v>1292</v>
      </c>
      <c r="K273" s="138" t="s">
        <v>1292</v>
      </c>
      <c r="L273" s="138" t="s">
        <v>1292</v>
      </c>
      <c r="N273" s="83" t="s">
        <v>1292</v>
      </c>
      <c r="P273" t="str">
        <f>VLOOKUP(B273,PTN!A:B,2,FALSE)</f>
        <v>ISI PADANG PANJANG</v>
      </c>
      <c r="Q273" t="str">
        <f t="shared" si="4"/>
        <v>ISI PADANG PANJANGSENI KRIYA</v>
      </c>
    </row>
    <row r="274" spans="1:17" ht="15.75" thickBot="1" x14ac:dyDescent="0.3">
      <c r="A274" s="7">
        <v>273</v>
      </c>
      <c r="B274" s="6">
        <v>15</v>
      </c>
      <c r="C274" s="12">
        <v>1432072</v>
      </c>
      <c r="D274" t="s">
        <v>159</v>
      </c>
      <c r="E274" s="12">
        <v>12</v>
      </c>
      <c r="F274" s="10" t="s">
        <v>13</v>
      </c>
      <c r="H274" s="26"/>
      <c r="I274" s="12"/>
      <c r="J274" s="138" t="s">
        <v>1292</v>
      </c>
      <c r="K274" s="138" t="s">
        <v>1292</v>
      </c>
      <c r="L274" s="138" t="s">
        <v>1292</v>
      </c>
      <c r="N274" s="83" t="s">
        <v>1292</v>
      </c>
      <c r="P274" t="str">
        <f>VLOOKUP(B274,PTN!A:B,2,FALSE)</f>
        <v>ISI PADANG PANJANG</v>
      </c>
      <c r="Q274" t="str">
        <f t="shared" si="4"/>
        <v>ISI PADANG PANJANGSENI MURNI</v>
      </c>
    </row>
    <row r="275" spans="1:17" ht="15.75" thickBot="1" x14ac:dyDescent="0.3">
      <c r="A275" s="7">
        <v>274</v>
      </c>
      <c r="B275" s="6">
        <v>15</v>
      </c>
      <c r="C275" s="13">
        <v>1432033</v>
      </c>
      <c r="D275" t="s">
        <v>160</v>
      </c>
      <c r="E275" s="13">
        <v>27</v>
      </c>
      <c r="F275" s="10" t="s">
        <v>13</v>
      </c>
      <c r="H275" s="87"/>
      <c r="I275" s="13"/>
      <c r="J275" s="138" t="s">
        <v>1292</v>
      </c>
      <c r="K275" s="138" t="s">
        <v>1292</v>
      </c>
      <c r="L275" s="138" t="s">
        <v>1292</v>
      </c>
      <c r="N275" s="83" t="s">
        <v>1292</v>
      </c>
      <c r="P275" t="str">
        <f>VLOOKUP(B275,PTN!A:B,2,FALSE)</f>
        <v>ISI PADANG PANJANG</v>
      </c>
      <c r="Q275" t="str">
        <f t="shared" si="4"/>
        <v>ISI PADANG PANJANGSENI MUSIK</v>
      </c>
    </row>
    <row r="276" spans="1:17" ht="15.75" thickBot="1" x14ac:dyDescent="0.3">
      <c r="A276" s="7">
        <v>275</v>
      </c>
      <c r="B276" s="6">
        <v>15</v>
      </c>
      <c r="C276" s="12">
        <v>1432025</v>
      </c>
      <c r="D276" t="s">
        <v>17</v>
      </c>
      <c r="E276" s="12">
        <v>36</v>
      </c>
      <c r="F276" s="10" t="s">
        <v>13</v>
      </c>
      <c r="H276" s="26"/>
      <c r="I276" s="12"/>
      <c r="J276" s="138" t="s">
        <v>1292</v>
      </c>
      <c r="K276" s="138" t="s">
        <v>1292</v>
      </c>
      <c r="L276" s="138" t="s">
        <v>1292</v>
      </c>
      <c r="N276" s="83" t="s">
        <v>1292</v>
      </c>
      <c r="P276" t="str">
        <f>VLOOKUP(B276,PTN!A:B,2,FALSE)</f>
        <v>ISI PADANG PANJANG</v>
      </c>
      <c r="Q276" t="str">
        <f t="shared" si="4"/>
        <v>ISI PADANG PANJANGSENI TARI</v>
      </c>
    </row>
    <row r="277" spans="1:17" ht="15.75" thickBot="1" x14ac:dyDescent="0.3">
      <c r="A277" s="7">
        <v>276</v>
      </c>
      <c r="B277" s="6">
        <v>15</v>
      </c>
      <c r="C277" s="13">
        <v>1432041</v>
      </c>
      <c r="D277" t="s">
        <v>18</v>
      </c>
      <c r="E277" s="13">
        <v>15</v>
      </c>
      <c r="F277" s="10" t="s">
        <v>13</v>
      </c>
      <c r="H277" s="87"/>
      <c r="I277" s="13"/>
      <c r="J277" s="138" t="s">
        <v>1292</v>
      </c>
      <c r="K277" s="138" t="s">
        <v>1292</v>
      </c>
      <c r="L277" s="138" t="s">
        <v>1292</v>
      </c>
      <c r="N277" s="83" t="s">
        <v>1292</v>
      </c>
      <c r="P277" t="str">
        <f>VLOOKUP(B277,PTN!A:B,2,FALSE)</f>
        <v>ISI PADANG PANJANG</v>
      </c>
      <c r="Q277" t="str">
        <f t="shared" si="4"/>
        <v>ISI PADANG PANJANGSENI TEATER</v>
      </c>
    </row>
    <row r="278" spans="1:17" ht="15.75" thickBot="1" x14ac:dyDescent="0.3">
      <c r="A278" s="7">
        <v>277</v>
      </c>
      <c r="B278" s="6">
        <v>15</v>
      </c>
      <c r="C278" s="14">
        <v>1432064</v>
      </c>
      <c r="D278" t="s">
        <v>161</v>
      </c>
      <c r="E278" s="14">
        <v>36</v>
      </c>
      <c r="F278" s="10" t="s">
        <v>13</v>
      </c>
      <c r="H278" s="26"/>
      <c r="I278" s="12"/>
      <c r="J278" s="138" t="s">
        <v>1292</v>
      </c>
      <c r="K278" s="138" t="s">
        <v>1292</v>
      </c>
      <c r="L278" s="138" t="s">
        <v>1292</v>
      </c>
      <c r="N278" s="83" t="s">
        <v>1292</v>
      </c>
      <c r="P278" t="str">
        <f>VLOOKUP(B278,PTN!A:B,2,FALSE)</f>
        <v>ISI PADANG PANJANG</v>
      </c>
      <c r="Q278" t="str">
        <f t="shared" si="4"/>
        <v>ISI PADANG PANJANGTV DAN FILM</v>
      </c>
    </row>
    <row r="279" spans="1:17" ht="16.5" thickTop="1" thickBot="1" x14ac:dyDescent="0.3">
      <c r="A279" s="7">
        <v>278</v>
      </c>
      <c r="B279" s="6">
        <v>13</v>
      </c>
      <c r="C279" s="12">
        <v>1411017</v>
      </c>
      <c r="D279" t="s">
        <v>37</v>
      </c>
      <c r="E279" s="12">
        <v>42</v>
      </c>
      <c r="F279" s="10" t="s">
        <v>20</v>
      </c>
      <c r="H279" s="20"/>
      <c r="I279" s="21"/>
      <c r="J279" s="138" t="s">
        <v>1292</v>
      </c>
      <c r="K279" s="138" t="s">
        <v>1292</v>
      </c>
      <c r="L279" s="138" t="s">
        <v>1292</v>
      </c>
      <c r="N279" s="83" t="s">
        <v>1292</v>
      </c>
      <c r="P279" t="str">
        <f>VLOOKUP(B279,PTN!A:B,2,FALSE)</f>
        <v>UNIVERSITAS ANDALAS</v>
      </c>
      <c r="Q279" t="str">
        <f t="shared" si="4"/>
        <v>UNIVERSITAS ANDALASAGRIBISNIS</v>
      </c>
    </row>
    <row r="280" spans="1:17" ht="15.75" thickBot="1" x14ac:dyDescent="0.3">
      <c r="A280" s="7">
        <v>279</v>
      </c>
      <c r="B280" s="6">
        <v>13</v>
      </c>
      <c r="C280" s="13">
        <v>1411025</v>
      </c>
      <c r="D280" t="s">
        <v>38</v>
      </c>
      <c r="E280" s="13">
        <v>53</v>
      </c>
      <c r="F280" s="10" t="s">
        <v>20</v>
      </c>
      <c r="I280" s="21"/>
      <c r="J280" s="138" t="s">
        <v>1292</v>
      </c>
      <c r="K280" s="138" t="s">
        <v>1292</v>
      </c>
      <c r="L280" s="138" t="s">
        <v>1292</v>
      </c>
      <c r="N280" s="83" t="s">
        <v>1292</v>
      </c>
      <c r="P280" t="str">
        <f>VLOOKUP(B280,PTN!A:B,2,FALSE)</f>
        <v>UNIVERSITAS ANDALAS</v>
      </c>
      <c r="Q280" t="str">
        <f t="shared" si="4"/>
        <v>UNIVERSITAS ANDALASAGROEKOTEKNOLOGI</v>
      </c>
    </row>
    <row r="281" spans="1:17" ht="16.5" thickTop="1" thickBot="1" x14ac:dyDescent="0.3">
      <c r="A281" s="7">
        <v>280</v>
      </c>
      <c r="B281" s="6">
        <v>13</v>
      </c>
      <c r="C281" s="12">
        <v>1411087</v>
      </c>
      <c r="D281" t="s">
        <v>21</v>
      </c>
      <c r="E281" s="12">
        <v>36</v>
      </c>
      <c r="F281" s="10" t="s">
        <v>20</v>
      </c>
      <c r="H281" s="23"/>
      <c r="I281" s="24"/>
      <c r="J281" s="138" t="s">
        <v>1292</v>
      </c>
      <c r="K281" s="138" t="s">
        <v>1292</v>
      </c>
      <c r="L281" s="138" t="s">
        <v>1292</v>
      </c>
      <c r="N281" s="83" t="s">
        <v>1292</v>
      </c>
      <c r="P281" t="str">
        <f>VLOOKUP(B281,PTN!A:B,2,FALSE)</f>
        <v>UNIVERSITAS ANDALAS</v>
      </c>
      <c r="Q281" t="str">
        <f t="shared" si="4"/>
        <v>UNIVERSITAS ANDALASBIOLOGI</v>
      </c>
    </row>
    <row r="282" spans="1:17" ht="16.5" thickTop="1" thickBot="1" x14ac:dyDescent="0.3">
      <c r="A282" s="7">
        <v>281</v>
      </c>
      <c r="B282" s="6">
        <v>13</v>
      </c>
      <c r="C282" s="13">
        <v>1411184</v>
      </c>
      <c r="D282" t="s">
        <v>77</v>
      </c>
      <c r="E282" s="13">
        <v>45</v>
      </c>
      <c r="F282" s="10" t="s">
        <v>20</v>
      </c>
      <c r="H282" s="26"/>
      <c r="I282" s="12"/>
      <c r="J282" s="138">
        <v>639.65</v>
      </c>
      <c r="K282" s="138">
        <v>647.56999999999994</v>
      </c>
      <c r="L282" s="138">
        <v>631.73</v>
      </c>
      <c r="N282" s="83">
        <v>639.65</v>
      </c>
      <c r="P282" t="str">
        <f>VLOOKUP(B282,PTN!A:B,2,FALSE)</f>
        <v>UNIVERSITAS ANDALAS</v>
      </c>
      <c r="Q282" t="str">
        <f t="shared" si="4"/>
        <v>UNIVERSITAS ANDALASFARMASI</v>
      </c>
    </row>
    <row r="283" spans="1:17" ht="15.75" thickBot="1" x14ac:dyDescent="0.3">
      <c r="A283" s="7">
        <v>282</v>
      </c>
      <c r="B283" s="6">
        <v>13</v>
      </c>
      <c r="C283" s="12">
        <v>1411106</v>
      </c>
      <c r="D283" t="s">
        <v>65</v>
      </c>
      <c r="E283" s="12">
        <v>36</v>
      </c>
      <c r="F283" s="10" t="s">
        <v>20</v>
      </c>
      <c r="H283" s="87"/>
      <c r="I283" s="13"/>
      <c r="J283" s="138" t="s">
        <v>1292</v>
      </c>
      <c r="K283" s="138" t="s">
        <v>1292</v>
      </c>
      <c r="L283" s="138" t="s">
        <v>1292</v>
      </c>
      <c r="N283" s="83" t="s">
        <v>1292</v>
      </c>
      <c r="P283" t="str">
        <f>VLOOKUP(B283,PTN!A:B,2,FALSE)</f>
        <v>UNIVERSITAS ANDALAS</v>
      </c>
      <c r="Q283" t="str">
        <f t="shared" si="4"/>
        <v>UNIVERSITAS ANDALASFISIKA</v>
      </c>
    </row>
    <row r="284" spans="1:17" ht="15.75" thickBot="1" x14ac:dyDescent="0.3">
      <c r="A284" s="7">
        <v>283</v>
      </c>
      <c r="B284" s="6">
        <v>13</v>
      </c>
      <c r="C284" s="13">
        <v>1411273</v>
      </c>
      <c r="D284" t="s">
        <v>113</v>
      </c>
      <c r="E284" s="13">
        <v>15</v>
      </c>
      <c r="F284" s="10" t="s">
        <v>20</v>
      </c>
      <c r="H284" s="26"/>
      <c r="I284" s="12"/>
      <c r="J284" s="138">
        <v>606.65</v>
      </c>
      <c r="K284" s="138">
        <v>614.46500000000003</v>
      </c>
      <c r="L284" s="138">
        <v>598.83499999999992</v>
      </c>
      <c r="N284" s="83">
        <v>606.65</v>
      </c>
      <c r="P284" t="str">
        <f>VLOOKUP(B284,PTN!A:B,2,FALSE)</f>
        <v>UNIVERSITAS ANDALAS</v>
      </c>
      <c r="Q284" t="str">
        <f t="shared" si="4"/>
        <v>UNIVERSITAS ANDALASGIZI</v>
      </c>
    </row>
    <row r="285" spans="1:17" ht="15.75" thickBot="1" x14ac:dyDescent="0.3">
      <c r="A285" s="7">
        <v>284</v>
      </c>
      <c r="B285" s="6">
        <v>13</v>
      </c>
      <c r="C285" s="12">
        <v>1411041</v>
      </c>
      <c r="D285" t="s">
        <v>78</v>
      </c>
      <c r="E285" s="12">
        <v>54</v>
      </c>
      <c r="F285" s="10" t="s">
        <v>20</v>
      </c>
      <c r="H285" s="87"/>
      <c r="I285" s="13"/>
      <c r="J285" s="138" t="s">
        <v>1292</v>
      </c>
      <c r="K285" s="138" t="s">
        <v>1292</v>
      </c>
      <c r="L285" s="138" t="s">
        <v>1292</v>
      </c>
      <c r="N285" s="83" t="s">
        <v>1292</v>
      </c>
      <c r="P285" t="str">
        <f>VLOOKUP(B285,PTN!A:B,2,FALSE)</f>
        <v>UNIVERSITAS ANDALAS</v>
      </c>
      <c r="Q285" t="str">
        <f t="shared" si="4"/>
        <v>UNIVERSITAS ANDALASILMU KEPERAWATAN</v>
      </c>
    </row>
    <row r="286" spans="1:17" ht="15.75" thickBot="1" x14ac:dyDescent="0.3">
      <c r="A286" s="7">
        <v>285</v>
      </c>
      <c r="B286" s="6">
        <v>13</v>
      </c>
      <c r="C286" s="13">
        <v>1411056</v>
      </c>
      <c r="D286" t="s">
        <v>110</v>
      </c>
      <c r="E286" s="13">
        <v>45</v>
      </c>
      <c r="F286" s="10" t="s">
        <v>20</v>
      </c>
      <c r="H286" s="26"/>
      <c r="I286" s="12"/>
      <c r="J286" s="138">
        <v>601.49</v>
      </c>
      <c r="K286" s="138">
        <v>608.54</v>
      </c>
      <c r="L286" s="138">
        <v>594.44000000000005</v>
      </c>
      <c r="N286" s="83">
        <v>601.49</v>
      </c>
      <c r="P286" t="str">
        <f>VLOOKUP(B286,PTN!A:B,2,FALSE)</f>
        <v>UNIVERSITAS ANDALAS</v>
      </c>
      <c r="Q286" t="str">
        <f t="shared" si="4"/>
        <v>UNIVERSITAS ANDALASILMU KESEHATAN MASYARAKAT</v>
      </c>
    </row>
    <row r="287" spans="1:17" ht="15.75" thickBot="1" x14ac:dyDescent="0.3">
      <c r="A287" s="7">
        <v>286</v>
      </c>
      <c r="B287" s="6">
        <v>13</v>
      </c>
      <c r="C287" s="12">
        <v>1411234</v>
      </c>
      <c r="D287" t="s">
        <v>79</v>
      </c>
      <c r="E287" s="12">
        <v>30</v>
      </c>
      <c r="F287" s="10" t="s">
        <v>20</v>
      </c>
      <c r="H287" s="87"/>
      <c r="I287" s="13"/>
      <c r="J287" s="138" t="s">
        <v>1292</v>
      </c>
      <c r="K287" s="138" t="s">
        <v>1292</v>
      </c>
      <c r="L287" s="138" t="s">
        <v>1292</v>
      </c>
      <c r="N287" s="83" t="s">
        <v>1292</v>
      </c>
      <c r="P287" t="str">
        <f>VLOOKUP(B287,PTN!A:B,2,FALSE)</f>
        <v>UNIVERSITAS ANDALAS</v>
      </c>
      <c r="Q287" t="str">
        <f t="shared" si="4"/>
        <v>UNIVERSITAS ANDALASILMU TANAH</v>
      </c>
    </row>
    <row r="288" spans="1:17" ht="15.75" thickBot="1" x14ac:dyDescent="0.3">
      <c r="A288" s="7">
        <v>287</v>
      </c>
      <c r="B288" s="6">
        <v>13</v>
      </c>
      <c r="C288" s="13">
        <v>1411265</v>
      </c>
      <c r="D288" t="s">
        <v>162</v>
      </c>
      <c r="E288" s="13">
        <v>15</v>
      </c>
      <c r="F288" s="10" t="s">
        <v>20</v>
      </c>
      <c r="H288" s="26"/>
      <c r="I288" s="12"/>
      <c r="J288" s="138" t="s">
        <v>1292</v>
      </c>
      <c r="K288" s="138" t="s">
        <v>1292</v>
      </c>
      <c r="L288" s="138" t="s">
        <v>1292</v>
      </c>
      <c r="N288" s="83" t="s">
        <v>1292</v>
      </c>
      <c r="P288" t="str">
        <f>VLOOKUP(B288,PTN!A:B,2,FALSE)</f>
        <v>UNIVERSITAS ANDALAS</v>
      </c>
      <c r="Q288" t="str">
        <f t="shared" si="4"/>
        <v>UNIVERSITAS ANDALASKEBIDANAN</v>
      </c>
    </row>
    <row r="289" spans="1:17" ht="15.75" thickBot="1" x14ac:dyDescent="0.3">
      <c r="A289" s="7">
        <v>288</v>
      </c>
      <c r="B289" s="6">
        <v>13</v>
      </c>
      <c r="C289" s="12">
        <v>1411072</v>
      </c>
      <c r="D289" t="s">
        <v>22</v>
      </c>
      <c r="E289" s="12">
        <v>36</v>
      </c>
      <c r="F289" s="10" t="s">
        <v>20</v>
      </c>
      <c r="H289" s="87"/>
      <c r="I289" s="13"/>
      <c r="J289" s="138">
        <v>599.89</v>
      </c>
      <c r="K289" s="138">
        <v>607.41</v>
      </c>
      <c r="L289" s="138">
        <v>592.37</v>
      </c>
      <c r="N289" s="83">
        <v>599.89</v>
      </c>
      <c r="P289" t="str">
        <f>VLOOKUP(B289,PTN!A:B,2,FALSE)</f>
        <v>UNIVERSITAS ANDALAS</v>
      </c>
      <c r="Q289" t="str">
        <f t="shared" si="4"/>
        <v>UNIVERSITAS ANDALASKIMIA</v>
      </c>
    </row>
    <row r="290" spans="1:17" ht="15.75" thickBot="1" x14ac:dyDescent="0.3">
      <c r="A290" s="7">
        <v>289</v>
      </c>
      <c r="B290" s="6">
        <v>13</v>
      </c>
      <c r="C290" s="13">
        <v>1411095</v>
      </c>
      <c r="D290" t="s">
        <v>66</v>
      </c>
      <c r="E290" s="13">
        <v>30</v>
      </c>
      <c r="F290" s="10" t="s">
        <v>20</v>
      </c>
      <c r="H290" s="26"/>
      <c r="I290" s="12"/>
      <c r="J290" s="138">
        <v>615.04</v>
      </c>
      <c r="K290" s="138">
        <v>624.59499999999991</v>
      </c>
      <c r="L290" s="138">
        <v>605.48500000000001</v>
      </c>
      <c r="N290" s="83">
        <v>615.04</v>
      </c>
      <c r="P290" t="str">
        <f>VLOOKUP(B290,PTN!A:B,2,FALSE)</f>
        <v>UNIVERSITAS ANDALAS</v>
      </c>
      <c r="Q290" t="str">
        <f t="shared" si="4"/>
        <v>UNIVERSITAS ANDALASMATEMATIKA</v>
      </c>
    </row>
    <row r="291" spans="1:17" ht="15.75" thickBot="1" x14ac:dyDescent="0.3">
      <c r="A291" s="7">
        <v>290</v>
      </c>
      <c r="B291" s="6">
        <v>13</v>
      </c>
      <c r="C291" s="12">
        <v>1411033</v>
      </c>
      <c r="D291" t="s">
        <v>41</v>
      </c>
      <c r="E291" s="12">
        <v>75</v>
      </c>
      <c r="F291" s="10" t="s">
        <v>20</v>
      </c>
      <c r="H291" s="87"/>
      <c r="I291" s="13"/>
      <c r="J291" s="138">
        <v>677.67</v>
      </c>
      <c r="K291" s="138">
        <v>686.38499999999999</v>
      </c>
      <c r="L291" s="138">
        <v>668.95499999999993</v>
      </c>
      <c r="N291" s="83">
        <v>677.67</v>
      </c>
      <c r="P291" t="str">
        <f>VLOOKUP(B291,PTN!A:B,2,FALSE)</f>
        <v>UNIVERSITAS ANDALAS</v>
      </c>
      <c r="Q291" t="str">
        <f t="shared" si="4"/>
        <v>UNIVERSITAS ANDALASPENDIDIKAN DOKTER</v>
      </c>
    </row>
    <row r="292" spans="1:17" ht="15.75" thickBot="1" x14ac:dyDescent="0.3">
      <c r="A292" s="7">
        <v>291</v>
      </c>
      <c r="B292" s="6">
        <v>13</v>
      </c>
      <c r="C292" s="13">
        <v>1411064</v>
      </c>
      <c r="D292" t="s">
        <v>85</v>
      </c>
      <c r="E292" s="13">
        <v>24</v>
      </c>
      <c r="F292" s="10" t="s">
        <v>20</v>
      </c>
      <c r="H292" s="26"/>
      <c r="I292" s="12"/>
      <c r="J292" s="138">
        <v>644.4</v>
      </c>
      <c r="K292" s="138">
        <v>650.07999999999993</v>
      </c>
      <c r="L292" s="138">
        <v>638.72</v>
      </c>
      <c r="N292" s="83">
        <v>644.4</v>
      </c>
      <c r="P292" t="str">
        <f>VLOOKUP(B292,PTN!A:B,2,FALSE)</f>
        <v>UNIVERSITAS ANDALAS</v>
      </c>
      <c r="Q292" t="str">
        <f t="shared" si="4"/>
        <v>UNIVERSITAS ANDALASPENDIDIKAN DOKTER GIGI</v>
      </c>
    </row>
    <row r="293" spans="1:17" ht="15.75" thickBot="1" x14ac:dyDescent="0.3">
      <c r="A293" s="7">
        <v>292</v>
      </c>
      <c r="B293" s="6">
        <v>13</v>
      </c>
      <c r="C293" s="12">
        <v>1411296</v>
      </c>
      <c r="D293" t="s">
        <v>163</v>
      </c>
      <c r="E293" s="12">
        <v>12</v>
      </c>
      <c r="F293" s="10" t="s">
        <v>20</v>
      </c>
      <c r="H293" s="87"/>
      <c r="I293" s="13"/>
      <c r="J293" s="138" t="s">
        <v>1292</v>
      </c>
      <c r="K293" s="138" t="s">
        <v>1292</v>
      </c>
      <c r="L293" s="138" t="s">
        <v>1292</v>
      </c>
      <c r="N293" s="83" t="s">
        <v>1292</v>
      </c>
      <c r="P293" t="str">
        <f>VLOOKUP(B293,PTN!A:B,2,FALSE)</f>
        <v>UNIVERSITAS ANDALAS</v>
      </c>
      <c r="Q293" t="str">
        <f t="shared" si="4"/>
        <v>UNIVERSITAS ANDALASPENYULUHAN PERTANIAN</v>
      </c>
    </row>
    <row r="294" spans="1:17" ht="15.75" thickBot="1" x14ac:dyDescent="0.3">
      <c r="A294" s="7">
        <v>293</v>
      </c>
      <c r="B294" s="6">
        <v>13</v>
      </c>
      <c r="C294" s="13">
        <v>1411122</v>
      </c>
      <c r="D294" t="s">
        <v>88</v>
      </c>
      <c r="E294" s="13">
        <v>105</v>
      </c>
      <c r="F294" s="10" t="s">
        <v>20</v>
      </c>
      <c r="H294" s="26"/>
      <c r="I294" s="12"/>
      <c r="J294" s="138" t="s">
        <v>1292</v>
      </c>
      <c r="K294" s="138" t="s">
        <v>1292</v>
      </c>
      <c r="L294" s="138" t="s">
        <v>1292</v>
      </c>
      <c r="N294" s="83" t="s">
        <v>1292</v>
      </c>
      <c r="P294" t="str">
        <f>VLOOKUP(B294,PTN!A:B,2,FALSE)</f>
        <v>UNIVERSITAS ANDALAS</v>
      </c>
      <c r="Q294" t="str">
        <f t="shared" si="4"/>
        <v>UNIVERSITAS ANDALASPETERNAKAN</v>
      </c>
    </row>
    <row r="295" spans="1:17" ht="15.75" thickBot="1" x14ac:dyDescent="0.3">
      <c r="A295" s="7">
        <v>294</v>
      </c>
      <c r="B295" s="6">
        <v>13</v>
      </c>
      <c r="C295" s="12">
        <v>1411257</v>
      </c>
      <c r="D295" t="s">
        <v>164</v>
      </c>
      <c r="E295" s="12">
        <v>30</v>
      </c>
      <c r="F295" s="10" t="s">
        <v>20</v>
      </c>
      <c r="H295" s="87"/>
      <c r="I295" s="13"/>
      <c r="J295" s="138" t="s">
        <v>1292</v>
      </c>
      <c r="K295" s="138" t="s">
        <v>1292</v>
      </c>
      <c r="L295" s="138" t="s">
        <v>1292</v>
      </c>
      <c r="N295" s="83" t="s">
        <v>1292</v>
      </c>
      <c r="P295" t="str">
        <f>VLOOKUP(B295,PTN!A:B,2,FALSE)</f>
        <v>UNIVERSITAS ANDALAS</v>
      </c>
      <c r="Q295" t="str">
        <f t="shared" si="4"/>
        <v>UNIVERSITAS ANDALASPETERNAKAN ( KAMPUS II PAYAKUMBUH)</v>
      </c>
    </row>
    <row r="296" spans="1:17" ht="15.75" thickBot="1" x14ac:dyDescent="0.3">
      <c r="A296" s="7">
        <v>295</v>
      </c>
      <c r="B296" s="6">
        <v>13</v>
      </c>
      <c r="C296" s="13">
        <v>1411281</v>
      </c>
      <c r="D296" t="s">
        <v>89</v>
      </c>
      <c r="E296" s="13">
        <v>30</v>
      </c>
      <c r="F296" s="10" t="s">
        <v>20</v>
      </c>
      <c r="H296" s="26"/>
      <c r="I296" s="12"/>
      <c r="J296" s="138" t="s">
        <v>1292</v>
      </c>
      <c r="K296" s="138" t="s">
        <v>1292</v>
      </c>
      <c r="L296" s="138" t="s">
        <v>1292</v>
      </c>
      <c r="N296" s="83" t="s">
        <v>1292</v>
      </c>
      <c r="P296" t="str">
        <f>VLOOKUP(B296,PTN!A:B,2,FALSE)</f>
        <v>UNIVERSITAS ANDALAS</v>
      </c>
      <c r="Q296" t="str">
        <f t="shared" si="4"/>
        <v>UNIVERSITAS ANDALASPROTEKSI TANAMAN</v>
      </c>
    </row>
    <row r="297" spans="1:17" ht="15.75" thickBot="1" x14ac:dyDescent="0.3">
      <c r="A297" s="7">
        <v>296</v>
      </c>
      <c r="B297" s="6">
        <v>13</v>
      </c>
      <c r="C297" s="12">
        <v>1411226</v>
      </c>
      <c r="D297" t="s">
        <v>36</v>
      </c>
      <c r="E297" s="12">
        <v>36</v>
      </c>
      <c r="F297" s="10" t="s">
        <v>20</v>
      </c>
      <c r="H297" s="87"/>
      <c r="I297" s="13"/>
      <c r="J297" s="138">
        <v>616.27</v>
      </c>
      <c r="K297" s="138">
        <v>623.65499999999997</v>
      </c>
      <c r="L297" s="138">
        <v>608.88499999999999</v>
      </c>
      <c r="N297" s="83">
        <v>616.27</v>
      </c>
      <c r="P297" t="str">
        <f>VLOOKUP(B297,PTN!A:B,2,FALSE)</f>
        <v>UNIVERSITAS ANDALAS</v>
      </c>
      <c r="Q297" t="str">
        <f t="shared" si="4"/>
        <v>UNIVERSITAS ANDALASPSIKOLOGI</v>
      </c>
    </row>
    <row r="298" spans="1:17" ht="15.75" thickBot="1" x14ac:dyDescent="0.3">
      <c r="A298" s="7">
        <v>297</v>
      </c>
      <c r="B298" s="6">
        <v>13</v>
      </c>
      <c r="C298" s="13">
        <v>1411211</v>
      </c>
      <c r="D298" t="s">
        <v>46</v>
      </c>
      <c r="E298" s="13">
        <v>24</v>
      </c>
      <c r="F298" s="10" t="s">
        <v>20</v>
      </c>
      <c r="H298" s="26"/>
      <c r="I298" s="12"/>
      <c r="J298" s="138">
        <v>631.52</v>
      </c>
      <c r="K298" s="138">
        <v>639.94999999999993</v>
      </c>
      <c r="L298" s="138">
        <v>623.09</v>
      </c>
      <c r="N298" s="83">
        <v>631.52</v>
      </c>
      <c r="P298" t="str">
        <f>VLOOKUP(B298,PTN!A:B,2,FALSE)</f>
        <v>UNIVERSITAS ANDALAS</v>
      </c>
      <c r="Q298" t="str">
        <f t="shared" si="4"/>
        <v>UNIVERSITAS ANDALASSISTEM INFORMASI</v>
      </c>
    </row>
    <row r="299" spans="1:17" ht="15.75" thickBot="1" x14ac:dyDescent="0.3">
      <c r="A299" s="7">
        <v>298</v>
      </c>
      <c r="B299" s="6">
        <v>13</v>
      </c>
      <c r="C299" s="12">
        <v>1411114</v>
      </c>
      <c r="D299" t="s">
        <v>165</v>
      </c>
      <c r="E299" s="12">
        <v>26</v>
      </c>
      <c r="F299" s="10" t="s">
        <v>20</v>
      </c>
      <c r="H299" s="87"/>
      <c r="I299" s="13"/>
      <c r="J299" s="138">
        <v>598.45000000000005</v>
      </c>
      <c r="K299" s="138">
        <v>606.46</v>
      </c>
      <c r="L299" s="138">
        <v>590.44000000000005</v>
      </c>
      <c r="N299" s="83">
        <v>598.45000000000005</v>
      </c>
      <c r="P299" t="str">
        <f>VLOOKUP(B299,PTN!A:B,2,FALSE)</f>
        <v>UNIVERSITAS ANDALAS</v>
      </c>
      <c r="Q299" t="str">
        <f t="shared" si="4"/>
        <v>UNIVERSITAS ANDALASSISTEM KOMPUTER</v>
      </c>
    </row>
    <row r="300" spans="1:17" ht="15.75" thickBot="1" x14ac:dyDescent="0.3">
      <c r="A300" s="7">
        <v>299</v>
      </c>
      <c r="B300" s="6">
        <v>13</v>
      </c>
      <c r="C300" s="13">
        <v>1411176</v>
      </c>
      <c r="D300" t="s">
        <v>48</v>
      </c>
      <c r="E300" s="13">
        <v>39</v>
      </c>
      <c r="F300" s="10" t="s">
        <v>20</v>
      </c>
      <c r="H300" s="26"/>
      <c r="I300" s="12"/>
      <c r="J300" s="138">
        <v>615.84</v>
      </c>
      <c r="K300" s="138">
        <v>625.39</v>
      </c>
      <c r="L300" s="138">
        <v>606.29000000000008</v>
      </c>
      <c r="N300" s="83">
        <v>615.84</v>
      </c>
      <c r="P300" t="str">
        <f>VLOOKUP(B300,PTN!A:B,2,FALSE)</f>
        <v>UNIVERSITAS ANDALAS</v>
      </c>
      <c r="Q300" t="str">
        <f t="shared" si="4"/>
        <v>UNIVERSITAS ANDALASTEKNIK ELEKTRO</v>
      </c>
    </row>
    <row r="301" spans="1:17" ht="15.75" thickBot="1" x14ac:dyDescent="0.3">
      <c r="A301" s="7">
        <v>300</v>
      </c>
      <c r="B301" s="6">
        <v>13</v>
      </c>
      <c r="C301" s="12">
        <v>1411153</v>
      </c>
      <c r="D301" t="s">
        <v>49</v>
      </c>
      <c r="E301" s="12">
        <v>39</v>
      </c>
      <c r="F301" s="10" t="s">
        <v>20</v>
      </c>
      <c r="H301" s="87"/>
      <c r="I301" s="13"/>
      <c r="J301" s="138">
        <v>632.62</v>
      </c>
      <c r="K301" s="138">
        <v>641</v>
      </c>
      <c r="L301" s="138">
        <v>624.24</v>
      </c>
      <c r="N301" s="83">
        <v>632.62</v>
      </c>
      <c r="P301" t="str">
        <f>VLOOKUP(B301,PTN!A:B,2,FALSE)</f>
        <v>UNIVERSITAS ANDALAS</v>
      </c>
      <c r="Q301" t="str">
        <f t="shared" si="4"/>
        <v>UNIVERSITAS ANDALASTEKNIK INDUSTRI</v>
      </c>
    </row>
    <row r="302" spans="1:17" ht="15.75" thickBot="1" x14ac:dyDescent="0.3">
      <c r="A302" s="7">
        <v>301</v>
      </c>
      <c r="B302" s="6">
        <v>13</v>
      </c>
      <c r="C302" s="13">
        <v>1411161</v>
      </c>
      <c r="D302" t="s">
        <v>25</v>
      </c>
      <c r="E302" s="13">
        <v>30</v>
      </c>
      <c r="F302" s="10" t="s">
        <v>20</v>
      </c>
      <c r="H302" s="26"/>
      <c r="I302" s="12"/>
      <c r="J302" s="138">
        <v>615.16</v>
      </c>
      <c r="K302" s="138">
        <v>620.06999999999994</v>
      </c>
      <c r="L302" s="138">
        <v>610.25</v>
      </c>
      <c r="N302" s="83">
        <v>615.16</v>
      </c>
      <c r="P302" t="str">
        <f>VLOOKUP(B302,PTN!A:B,2,FALSE)</f>
        <v>UNIVERSITAS ANDALAS</v>
      </c>
      <c r="Q302" t="str">
        <f t="shared" si="4"/>
        <v>UNIVERSITAS ANDALASTEKNIK LINGKUNGAN</v>
      </c>
    </row>
    <row r="303" spans="1:17" ht="15.75" thickBot="1" x14ac:dyDescent="0.3">
      <c r="A303" s="7">
        <v>302</v>
      </c>
      <c r="B303" s="6">
        <v>13</v>
      </c>
      <c r="C303" s="12">
        <v>1411137</v>
      </c>
      <c r="D303" t="s">
        <v>53</v>
      </c>
      <c r="E303" s="12">
        <v>45</v>
      </c>
      <c r="F303" s="10" t="s">
        <v>20</v>
      </c>
      <c r="H303" s="87"/>
      <c r="I303" s="13"/>
      <c r="J303" s="138">
        <v>612.45000000000005</v>
      </c>
      <c r="K303" s="138">
        <v>620.995</v>
      </c>
      <c r="L303" s="138">
        <v>603.90500000000009</v>
      </c>
      <c r="N303" s="83">
        <v>612.45000000000005</v>
      </c>
      <c r="P303" t="str">
        <f>VLOOKUP(B303,PTN!A:B,2,FALSE)</f>
        <v>UNIVERSITAS ANDALAS</v>
      </c>
      <c r="Q303" t="str">
        <f t="shared" si="4"/>
        <v>UNIVERSITAS ANDALASTEKNIK MESIN</v>
      </c>
    </row>
    <row r="304" spans="1:17" ht="15.75" thickBot="1" x14ac:dyDescent="0.3">
      <c r="A304" s="7">
        <v>303</v>
      </c>
      <c r="B304" s="6">
        <v>13</v>
      </c>
      <c r="C304" s="13">
        <v>1411192</v>
      </c>
      <c r="D304" t="s">
        <v>95</v>
      </c>
      <c r="E304" s="13">
        <v>36</v>
      </c>
      <c r="F304" s="10" t="s">
        <v>20</v>
      </c>
      <c r="H304" s="26"/>
      <c r="I304" s="12"/>
      <c r="J304" s="138" t="s">
        <v>1292</v>
      </c>
      <c r="K304" s="138" t="s">
        <v>1292</v>
      </c>
      <c r="L304" s="138" t="s">
        <v>1292</v>
      </c>
      <c r="N304" s="83" t="s">
        <v>1292</v>
      </c>
      <c r="P304" t="str">
        <f>VLOOKUP(B304,PTN!A:B,2,FALSE)</f>
        <v>UNIVERSITAS ANDALAS</v>
      </c>
      <c r="Q304" t="str">
        <f t="shared" si="4"/>
        <v>UNIVERSITAS ANDALASTEKNIK PERTANIAN</v>
      </c>
    </row>
    <row r="305" spans="1:17" ht="15.75" thickBot="1" x14ac:dyDescent="0.3">
      <c r="A305" s="7">
        <v>304</v>
      </c>
      <c r="B305" s="6">
        <v>13</v>
      </c>
      <c r="C305" s="12">
        <v>1411145</v>
      </c>
      <c r="D305" t="s">
        <v>54</v>
      </c>
      <c r="E305" s="12">
        <v>60</v>
      </c>
      <c r="F305" s="10" t="s">
        <v>20</v>
      </c>
      <c r="H305" s="87"/>
      <c r="I305" s="13"/>
      <c r="J305" s="138">
        <v>626.59</v>
      </c>
      <c r="K305" s="138">
        <v>636.17500000000007</v>
      </c>
      <c r="L305" s="138">
        <v>617.005</v>
      </c>
      <c r="N305" s="83">
        <v>626.59</v>
      </c>
      <c r="P305" t="str">
        <f>VLOOKUP(B305,PTN!A:B,2,FALSE)</f>
        <v>UNIVERSITAS ANDALAS</v>
      </c>
      <c r="Q305" t="str">
        <f t="shared" si="4"/>
        <v>UNIVERSITAS ANDALASTEKNIK SIPIL</v>
      </c>
    </row>
    <row r="306" spans="1:17" ht="15.75" thickBot="1" x14ac:dyDescent="0.3">
      <c r="A306" s="7">
        <v>305</v>
      </c>
      <c r="B306" s="6">
        <v>13</v>
      </c>
      <c r="C306" s="13">
        <v>1411203</v>
      </c>
      <c r="D306" t="s">
        <v>96</v>
      </c>
      <c r="E306" s="13">
        <v>36</v>
      </c>
      <c r="F306" s="10" t="s">
        <v>20</v>
      </c>
      <c r="H306" s="26"/>
      <c r="I306" s="12"/>
      <c r="J306" s="138" t="s">
        <v>1292</v>
      </c>
      <c r="K306" s="138" t="s">
        <v>1292</v>
      </c>
      <c r="L306" s="138" t="s">
        <v>1292</v>
      </c>
      <c r="N306" s="83" t="s">
        <v>1292</v>
      </c>
      <c r="P306" t="str">
        <f>VLOOKUP(B306,PTN!A:B,2,FALSE)</f>
        <v>UNIVERSITAS ANDALAS</v>
      </c>
      <c r="Q306" t="str">
        <f t="shared" si="4"/>
        <v>UNIVERSITAS ANDALASTEKNOLOGI HASIL PERTANIAN</v>
      </c>
    </row>
    <row r="307" spans="1:17" ht="15.75" thickBot="1" x14ac:dyDescent="0.3">
      <c r="A307" s="7">
        <v>306</v>
      </c>
      <c r="B307" s="6">
        <v>13</v>
      </c>
      <c r="C307" s="14">
        <v>1411307</v>
      </c>
      <c r="D307" t="s">
        <v>166</v>
      </c>
      <c r="E307" s="14">
        <v>18</v>
      </c>
      <c r="F307" s="10" t="s">
        <v>20</v>
      </c>
      <c r="H307" s="87"/>
      <c r="I307" s="13"/>
      <c r="J307" s="138" t="s">
        <v>1292</v>
      </c>
      <c r="K307" s="138" t="s">
        <v>1292</v>
      </c>
      <c r="L307" s="138" t="s">
        <v>1292</v>
      </c>
      <c r="N307" s="83" t="s">
        <v>1292</v>
      </c>
      <c r="P307" t="str">
        <f>VLOOKUP(B307,PTN!A:B,2,FALSE)</f>
        <v>UNIVERSITAS ANDALAS</v>
      </c>
      <c r="Q307" t="str">
        <f t="shared" si="4"/>
        <v>UNIVERSITAS ANDALASTEKNOLOGI INDUSTRI PERTANIAN</v>
      </c>
    </row>
    <row r="308" spans="1:17" ht="16.5" thickTop="1" thickBot="1" x14ac:dyDescent="0.3">
      <c r="A308" s="7">
        <v>307</v>
      </c>
      <c r="B308" s="6">
        <v>13</v>
      </c>
      <c r="C308" s="17">
        <v>1412075</v>
      </c>
      <c r="D308" t="s">
        <v>55</v>
      </c>
      <c r="E308" s="17">
        <v>48</v>
      </c>
      <c r="F308" s="10" t="s">
        <v>13</v>
      </c>
      <c r="H308" s="20"/>
      <c r="I308" s="21"/>
      <c r="J308" s="138">
        <v>619.6</v>
      </c>
      <c r="K308" s="138">
        <v>627.73773000000006</v>
      </c>
      <c r="L308" s="138">
        <v>611.46226999999999</v>
      </c>
      <c r="N308" s="83">
        <v>619.6</v>
      </c>
      <c r="P308" t="str">
        <f>VLOOKUP(B308,PTN!A:B,2,FALSE)</f>
        <v>UNIVERSITAS ANDALAS</v>
      </c>
      <c r="Q308" t="str">
        <f t="shared" si="4"/>
        <v>UNIVERSITAS ANDALASAKUNTANSI</v>
      </c>
    </row>
    <row r="309" spans="1:17" ht="15.75" thickBot="1" x14ac:dyDescent="0.3">
      <c r="A309" s="7">
        <v>308</v>
      </c>
      <c r="B309" s="6">
        <v>13</v>
      </c>
      <c r="C309" s="18">
        <v>1412052</v>
      </c>
      <c r="D309" t="s">
        <v>144</v>
      </c>
      <c r="E309" s="18">
        <v>30</v>
      </c>
      <c r="F309" s="10" t="s">
        <v>13</v>
      </c>
      <c r="H309" s="22"/>
      <c r="I309" s="21"/>
      <c r="J309" s="138" t="s">
        <v>1292</v>
      </c>
      <c r="K309" s="138" t="s">
        <v>1292</v>
      </c>
      <c r="L309" s="138" t="s">
        <v>1292</v>
      </c>
      <c r="N309" s="83" t="s">
        <v>1292</v>
      </c>
      <c r="P309" t="str">
        <f>VLOOKUP(B309,PTN!A:B,2,FALSE)</f>
        <v>UNIVERSITAS ANDALAS</v>
      </c>
      <c r="Q309" t="str">
        <f t="shared" si="4"/>
        <v>UNIVERSITAS ANDALASANTROPOLOGI SOSIAL</v>
      </c>
    </row>
    <row r="310" spans="1:17" ht="16.5" thickTop="1" thickBot="1" x14ac:dyDescent="0.3">
      <c r="A310" s="7">
        <v>309</v>
      </c>
      <c r="B310" s="6">
        <v>13</v>
      </c>
      <c r="C310" s="17">
        <v>1412013</v>
      </c>
      <c r="D310" t="s">
        <v>69</v>
      </c>
      <c r="E310" s="17">
        <v>36</v>
      </c>
      <c r="F310" s="10" t="s">
        <v>13</v>
      </c>
      <c r="H310" s="36"/>
      <c r="I310" s="37"/>
      <c r="J310" s="138">
        <v>584.66</v>
      </c>
      <c r="K310" s="138">
        <v>592.79773</v>
      </c>
      <c r="L310" s="138">
        <v>576.52226999999993</v>
      </c>
      <c r="N310" s="83">
        <v>584.66</v>
      </c>
      <c r="P310" t="str">
        <f>VLOOKUP(B310,PTN!A:B,2,FALSE)</f>
        <v>UNIVERSITAS ANDALAS</v>
      </c>
      <c r="Q310" t="str">
        <f t="shared" si="4"/>
        <v>UNIVERSITAS ANDALASEKONOMI PEMBANGUNAN</v>
      </c>
    </row>
    <row r="311" spans="1:17" ht="16.5" thickTop="1" thickBot="1" x14ac:dyDescent="0.3">
      <c r="A311" s="7">
        <v>310</v>
      </c>
      <c r="B311" s="6">
        <v>13</v>
      </c>
      <c r="C311" s="18">
        <v>1412172</v>
      </c>
      <c r="D311" t="s">
        <v>167</v>
      </c>
      <c r="E311" s="18">
        <v>18</v>
      </c>
      <c r="F311" s="10" t="s">
        <v>13</v>
      </c>
      <c r="H311" s="38"/>
      <c r="I311" s="17"/>
      <c r="J311" s="138" t="s">
        <v>1292</v>
      </c>
      <c r="K311" s="138" t="s">
        <v>1292</v>
      </c>
      <c r="L311" s="138" t="s">
        <v>1292</v>
      </c>
      <c r="N311" s="83" t="s">
        <v>1292</v>
      </c>
      <c r="P311" t="str">
        <f>VLOOKUP(B311,PTN!A:B,2,FALSE)</f>
        <v>UNIVERSITAS ANDALAS</v>
      </c>
      <c r="Q311" t="str">
        <f t="shared" si="4"/>
        <v>UNIVERSITAS ANDALASEKONOMI PEMBANGUNAN (KAMPUS 2 PAYAKUMBUH)</v>
      </c>
    </row>
    <row r="312" spans="1:17" ht="15.75" thickBot="1" x14ac:dyDescent="0.3">
      <c r="A312" s="7">
        <v>311</v>
      </c>
      <c r="B312" s="6">
        <v>13</v>
      </c>
      <c r="C312" s="17">
        <v>1412091</v>
      </c>
      <c r="D312" t="s">
        <v>29</v>
      </c>
      <c r="E312" s="17">
        <v>30</v>
      </c>
      <c r="F312" s="10" t="s">
        <v>13</v>
      </c>
      <c r="H312" s="39"/>
      <c r="I312" s="18"/>
      <c r="J312" s="138">
        <v>579.64</v>
      </c>
      <c r="K312" s="138">
        <v>587.77773000000002</v>
      </c>
      <c r="L312" s="138">
        <v>571.50226999999995</v>
      </c>
      <c r="N312" s="83">
        <v>579.64</v>
      </c>
      <c r="P312" t="str">
        <f>VLOOKUP(B312,PTN!A:B,2,FALSE)</f>
        <v>UNIVERSITAS ANDALAS</v>
      </c>
      <c r="Q312" t="str">
        <f t="shared" si="4"/>
        <v>UNIVERSITAS ANDALASILMU ADMINISTRASI NEGARA</v>
      </c>
    </row>
    <row r="313" spans="1:17" ht="15.75" thickBot="1" x14ac:dyDescent="0.3">
      <c r="A313" s="7">
        <v>312</v>
      </c>
      <c r="B313" s="6">
        <v>13</v>
      </c>
      <c r="C313" s="18">
        <v>1412141</v>
      </c>
      <c r="D313" t="s">
        <v>168</v>
      </c>
      <c r="E313" s="18">
        <v>36</v>
      </c>
      <c r="F313" s="10" t="s">
        <v>13</v>
      </c>
      <c r="H313" s="38"/>
      <c r="I313" s="17"/>
      <c r="J313" s="138">
        <v>603.6</v>
      </c>
      <c r="K313" s="138">
        <v>611.73773000000006</v>
      </c>
      <c r="L313" s="138">
        <v>595.46226999999999</v>
      </c>
      <c r="N313" s="83">
        <v>603.6</v>
      </c>
      <c r="P313" t="str">
        <f>VLOOKUP(B313,PTN!A:B,2,FALSE)</f>
        <v>UNIVERSITAS ANDALAS</v>
      </c>
      <c r="Q313" t="str">
        <f t="shared" si="4"/>
        <v>UNIVERSITAS ANDALASILMU HUBUNGAN INTERNASIONAL</v>
      </c>
    </row>
    <row r="314" spans="1:17" ht="15.75" thickBot="1" x14ac:dyDescent="0.3">
      <c r="A314" s="7">
        <v>313</v>
      </c>
      <c r="B314" s="6">
        <v>13</v>
      </c>
      <c r="C314" s="17">
        <v>1412021</v>
      </c>
      <c r="D314" t="s">
        <v>31</v>
      </c>
      <c r="E314" s="17">
        <v>150</v>
      </c>
      <c r="F314" s="10" t="s">
        <v>13</v>
      </c>
      <c r="H314" s="39"/>
      <c r="I314" s="18"/>
      <c r="J314" s="138">
        <v>584.79999999999995</v>
      </c>
      <c r="K314" s="138">
        <v>592.93772999999999</v>
      </c>
      <c r="L314" s="138">
        <v>576.66226999999992</v>
      </c>
      <c r="N314" s="83">
        <v>584.79999999999995</v>
      </c>
      <c r="P314" t="str">
        <f>VLOOKUP(B314,PTN!A:B,2,FALSE)</f>
        <v>UNIVERSITAS ANDALAS</v>
      </c>
      <c r="Q314" t="str">
        <f t="shared" si="4"/>
        <v>UNIVERSITAS ANDALASILMU HUKUM</v>
      </c>
    </row>
    <row r="315" spans="1:17" ht="15.75" thickBot="1" x14ac:dyDescent="0.3">
      <c r="A315" s="7">
        <v>314</v>
      </c>
      <c r="B315" s="6">
        <v>13</v>
      </c>
      <c r="C315" s="18">
        <v>1412156</v>
      </c>
      <c r="D315" t="s">
        <v>60</v>
      </c>
      <c r="E315" s="18">
        <v>30</v>
      </c>
      <c r="F315" s="10" t="s">
        <v>13</v>
      </c>
      <c r="H315" s="38"/>
      <c r="I315" s="17"/>
      <c r="J315" s="138">
        <v>593.44000000000005</v>
      </c>
      <c r="K315" s="138">
        <v>601.57773000000009</v>
      </c>
      <c r="L315" s="138">
        <v>585.30227000000002</v>
      </c>
      <c r="N315" s="83">
        <v>593.44000000000005</v>
      </c>
      <c r="P315" t="str">
        <f>VLOOKUP(B315,PTN!A:B,2,FALSE)</f>
        <v>UNIVERSITAS ANDALAS</v>
      </c>
      <c r="Q315" t="str">
        <f t="shared" si="4"/>
        <v>UNIVERSITAS ANDALASILMU KOMUNIKASI</v>
      </c>
    </row>
    <row r="316" spans="1:17" ht="15.75" thickBot="1" x14ac:dyDescent="0.3">
      <c r="A316" s="7">
        <v>315</v>
      </c>
      <c r="B316" s="6">
        <v>13</v>
      </c>
      <c r="C316" s="17">
        <v>1412083</v>
      </c>
      <c r="D316" t="s">
        <v>33</v>
      </c>
      <c r="E316" s="17">
        <v>30</v>
      </c>
      <c r="F316" s="10" t="s">
        <v>13</v>
      </c>
      <c r="H316" s="39"/>
      <c r="I316" s="18"/>
      <c r="J316" s="138" t="s">
        <v>1292</v>
      </c>
      <c r="K316" s="138" t="s">
        <v>1292</v>
      </c>
      <c r="L316" s="138" t="s">
        <v>1292</v>
      </c>
      <c r="N316" s="83" t="s">
        <v>1292</v>
      </c>
      <c r="P316" t="str">
        <f>VLOOKUP(B316,PTN!A:B,2,FALSE)</f>
        <v>UNIVERSITAS ANDALAS</v>
      </c>
      <c r="Q316" t="str">
        <f t="shared" si="4"/>
        <v>UNIVERSITAS ANDALASILMU POLITIK</v>
      </c>
    </row>
    <row r="317" spans="1:17" ht="15.75" thickBot="1" x14ac:dyDescent="0.3">
      <c r="A317" s="7">
        <v>316</v>
      </c>
      <c r="B317" s="6">
        <v>13</v>
      </c>
      <c r="C317" s="18">
        <v>1412036</v>
      </c>
      <c r="D317" t="s">
        <v>148</v>
      </c>
      <c r="E317" s="18">
        <v>24</v>
      </c>
      <c r="F317" s="10" t="s">
        <v>13</v>
      </c>
      <c r="H317" s="38"/>
      <c r="I317" s="17"/>
      <c r="J317" s="138">
        <v>450</v>
      </c>
      <c r="K317" s="138" t="s">
        <v>1292</v>
      </c>
      <c r="L317" s="138" t="s">
        <v>1292</v>
      </c>
      <c r="N317" s="83">
        <v>450</v>
      </c>
      <c r="P317" t="str">
        <f>VLOOKUP(B317,PTN!A:B,2,FALSE)</f>
        <v>UNIVERSITAS ANDALAS</v>
      </c>
      <c r="Q317" t="str">
        <f t="shared" si="4"/>
        <v>UNIVERSITAS ANDALASILMU SEJARAH</v>
      </c>
    </row>
    <row r="318" spans="1:17" ht="15.75" thickBot="1" x14ac:dyDescent="0.3">
      <c r="A318" s="7">
        <v>317</v>
      </c>
      <c r="B318" s="6">
        <v>13</v>
      </c>
      <c r="C318" s="17">
        <v>1412067</v>
      </c>
      <c r="D318" t="s">
        <v>61</v>
      </c>
      <c r="E318" s="17">
        <v>48</v>
      </c>
      <c r="F318" s="10" t="s">
        <v>13</v>
      </c>
      <c r="H318" s="39"/>
      <c r="I318" s="18"/>
      <c r="J318" s="138">
        <v>599.28</v>
      </c>
      <c r="K318" s="138">
        <v>607.41773000000001</v>
      </c>
      <c r="L318" s="138">
        <v>591.14226999999994</v>
      </c>
      <c r="N318" s="83">
        <v>599.28</v>
      </c>
      <c r="P318" t="str">
        <f>VLOOKUP(B318,PTN!A:B,2,FALSE)</f>
        <v>UNIVERSITAS ANDALAS</v>
      </c>
      <c r="Q318" t="str">
        <f t="shared" si="4"/>
        <v>UNIVERSITAS ANDALASMANAJEMEN</v>
      </c>
    </row>
    <row r="319" spans="1:17" ht="15.75" thickBot="1" x14ac:dyDescent="0.3">
      <c r="A319" s="7">
        <v>318</v>
      </c>
      <c r="B319" s="6">
        <v>13</v>
      </c>
      <c r="C319" s="18">
        <v>1412164</v>
      </c>
      <c r="D319" t="s">
        <v>169</v>
      </c>
      <c r="E319" s="18">
        <v>18</v>
      </c>
      <c r="F319" s="10" t="s">
        <v>13</v>
      </c>
      <c r="H319" s="38"/>
      <c r="I319" s="17"/>
      <c r="J319" s="138" t="s">
        <v>1292</v>
      </c>
      <c r="K319" s="138" t="s">
        <v>1292</v>
      </c>
      <c r="L319" s="138" t="s">
        <v>1292</v>
      </c>
      <c r="N319" s="83" t="s">
        <v>1292</v>
      </c>
      <c r="P319" t="str">
        <f>VLOOKUP(B319,PTN!A:B,2,FALSE)</f>
        <v>UNIVERSITAS ANDALAS</v>
      </c>
      <c r="Q319" t="str">
        <f t="shared" si="4"/>
        <v>UNIVERSITAS ANDALASMANAJEMEN (KAMPUS 2 PAYAKUMBUH)</v>
      </c>
    </row>
    <row r="320" spans="1:17" ht="15.75" thickBot="1" x14ac:dyDescent="0.3">
      <c r="A320" s="7">
        <v>319</v>
      </c>
      <c r="B320" s="6">
        <v>13</v>
      </c>
      <c r="C320" s="17">
        <v>1412125</v>
      </c>
      <c r="D320" t="s">
        <v>170</v>
      </c>
      <c r="E320" s="17">
        <v>24</v>
      </c>
      <c r="F320" s="10" t="s">
        <v>13</v>
      </c>
      <c r="H320" s="39"/>
      <c r="I320" s="18"/>
      <c r="J320" s="138" t="s">
        <v>1292</v>
      </c>
      <c r="K320" s="138" t="s">
        <v>1292</v>
      </c>
      <c r="L320" s="138" t="s">
        <v>1292</v>
      </c>
      <c r="N320" s="83" t="s">
        <v>1292</v>
      </c>
      <c r="P320" t="str">
        <f>VLOOKUP(B320,PTN!A:B,2,FALSE)</f>
        <v>UNIVERSITAS ANDALAS</v>
      </c>
      <c r="Q320" t="str">
        <f t="shared" si="4"/>
        <v>UNIVERSITAS ANDALASSASTRA DAERAH MINANGKABAU</v>
      </c>
    </row>
    <row r="321" spans="1:17" ht="15.75" thickBot="1" x14ac:dyDescent="0.3">
      <c r="A321" s="7">
        <v>320</v>
      </c>
      <c r="B321" s="6">
        <v>13</v>
      </c>
      <c r="C321" s="18">
        <v>1412102</v>
      </c>
      <c r="D321" t="s">
        <v>62</v>
      </c>
      <c r="E321" s="18">
        <v>27</v>
      </c>
      <c r="F321" s="10" t="s">
        <v>13</v>
      </c>
      <c r="H321" s="38"/>
      <c r="I321" s="17"/>
      <c r="J321" s="138" t="s">
        <v>1292</v>
      </c>
      <c r="K321" s="138" t="s">
        <v>1292</v>
      </c>
      <c r="L321" s="138" t="s">
        <v>1292</v>
      </c>
      <c r="N321" s="83" t="s">
        <v>1292</v>
      </c>
      <c r="P321" t="str">
        <f>VLOOKUP(B321,PTN!A:B,2,FALSE)</f>
        <v>UNIVERSITAS ANDALAS</v>
      </c>
      <c r="Q321" t="str">
        <f t="shared" si="4"/>
        <v>UNIVERSITAS ANDALASSASTRA INDONESIA</v>
      </c>
    </row>
    <row r="322" spans="1:17" ht="15.75" thickBot="1" x14ac:dyDescent="0.3">
      <c r="A322" s="7">
        <v>321</v>
      </c>
      <c r="B322" s="6">
        <v>13</v>
      </c>
      <c r="C322" s="17">
        <v>1412117</v>
      </c>
      <c r="D322" t="s">
        <v>139</v>
      </c>
      <c r="E322" s="17">
        <v>27</v>
      </c>
      <c r="F322" s="10" t="s">
        <v>13</v>
      </c>
      <c r="H322" s="39"/>
      <c r="I322" s="18"/>
      <c r="J322" s="138">
        <v>586.83000000000004</v>
      </c>
      <c r="K322" s="138">
        <v>594.96773000000007</v>
      </c>
      <c r="L322" s="138">
        <v>578.69227000000001</v>
      </c>
      <c r="N322" s="83">
        <v>586.83000000000004</v>
      </c>
      <c r="P322" t="str">
        <f>VLOOKUP(B322,PTN!A:B,2,FALSE)</f>
        <v>UNIVERSITAS ANDALAS</v>
      </c>
      <c r="Q322" t="str">
        <f t="shared" si="4"/>
        <v>UNIVERSITAS ANDALASSASTRA INGGRIS</v>
      </c>
    </row>
    <row r="323" spans="1:17" ht="15.75" thickBot="1" x14ac:dyDescent="0.3">
      <c r="A323" s="7">
        <v>322</v>
      </c>
      <c r="B323" s="6">
        <v>13</v>
      </c>
      <c r="C323" s="18">
        <v>1412133</v>
      </c>
      <c r="D323" t="s">
        <v>153</v>
      </c>
      <c r="E323" s="18">
        <v>21</v>
      </c>
      <c r="F323" s="10" t="s">
        <v>13</v>
      </c>
      <c r="H323" s="38"/>
      <c r="I323" s="17"/>
      <c r="J323" s="138" t="s">
        <v>1292</v>
      </c>
      <c r="K323" s="138" t="s">
        <v>1292</v>
      </c>
      <c r="L323" s="138" t="s">
        <v>1292</v>
      </c>
      <c r="N323" s="83" t="s">
        <v>1292</v>
      </c>
      <c r="P323" t="str">
        <f>VLOOKUP(B323,PTN!A:B,2,FALSE)</f>
        <v>UNIVERSITAS ANDALAS</v>
      </c>
      <c r="Q323" t="str">
        <f t="shared" ref="Q323:Q386" si="5">P323&amp;D323</f>
        <v>UNIVERSITAS ANDALASSASTRA JEPANG</v>
      </c>
    </row>
    <row r="324" spans="1:17" ht="15.75" thickBot="1" x14ac:dyDescent="0.3">
      <c r="A324" s="7">
        <v>323</v>
      </c>
      <c r="B324" s="6">
        <v>13</v>
      </c>
      <c r="C324" s="19">
        <v>1412044</v>
      </c>
      <c r="D324" t="s">
        <v>63</v>
      </c>
      <c r="E324" s="19">
        <v>36</v>
      </c>
      <c r="F324" s="10" t="s">
        <v>13</v>
      </c>
      <c r="H324" s="39"/>
      <c r="I324" s="18"/>
      <c r="J324" s="138" t="s">
        <v>1292</v>
      </c>
      <c r="K324" s="138" t="s">
        <v>1292</v>
      </c>
      <c r="L324" s="138" t="s">
        <v>1292</v>
      </c>
      <c r="N324" s="83" t="s">
        <v>1292</v>
      </c>
      <c r="P324" t="str">
        <f>VLOOKUP(B324,PTN!A:B,2,FALSE)</f>
        <v>UNIVERSITAS ANDALAS</v>
      </c>
      <c r="Q324" t="str">
        <f t="shared" si="5"/>
        <v>UNIVERSITAS ANDALASSOSIOLOGI</v>
      </c>
    </row>
    <row r="325" spans="1:17" ht="16.5" thickTop="1" thickBot="1" x14ac:dyDescent="0.3">
      <c r="A325" s="7">
        <v>324</v>
      </c>
      <c r="B325" s="6">
        <v>14</v>
      </c>
      <c r="C325" s="12">
        <v>1421043</v>
      </c>
      <c r="D325" t="s">
        <v>171</v>
      </c>
      <c r="E325" s="12">
        <v>42</v>
      </c>
      <c r="F325" s="10" t="s">
        <v>20</v>
      </c>
      <c r="H325" s="38"/>
      <c r="I325" s="20"/>
      <c r="J325" s="138" t="s">
        <v>1292</v>
      </c>
      <c r="K325" s="138" t="s">
        <v>1292</v>
      </c>
      <c r="L325" s="138" t="s">
        <v>1292</v>
      </c>
      <c r="M325" s="21"/>
      <c r="N325" s="83" t="s">
        <v>1292</v>
      </c>
      <c r="P325" t="str">
        <f>VLOOKUP(B325,PTN!A:B,2,FALSE)</f>
        <v>UNIVERSITAS NEGERI PADANG</v>
      </c>
      <c r="Q325" t="str">
        <f t="shared" si="5"/>
        <v>UNIVERSITAS NEGERI PADANGBIOLOGI (NK)</v>
      </c>
    </row>
    <row r="326" spans="1:17" ht="15.75" thickBot="1" x14ac:dyDescent="0.3">
      <c r="A326" s="7">
        <v>325</v>
      </c>
      <c r="B326" s="6">
        <v>14</v>
      </c>
      <c r="C326" s="13">
        <v>1421066</v>
      </c>
      <c r="D326" t="s">
        <v>172</v>
      </c>
      <c r="E326" s="13">
        <v>41</v>
      </c>
      <c r="F326" s="10" t="s">
        <v>20</v>
      </c>
      <c r="H326" s="39"/>
      <c r="I326" s="22"/>
      <c r="J326" s="138" t="s">
        <v>1292</v>
      </c>
      <c r="K326" s="138" t="s">
        <v>1292</v>
      </c>
      <c r="L326" s="138" t="s">
        <v>1292</v>
      </c>
      <c r="M326" s="21"/>
      <c r="N326" s="83" t="s">
        <v>1292</v>
      </c>
      <c r="P326" t="str">
        <f>VLOOKUP(B326,PTN!A:B,2,FALSE)</f>
        <v>UNIVERSITAS NEGERI PADANG</v>
      </c>
      <c r="Q326" t="str">
        <f t="shared" si="5"/>
        <v>UNIVERSITAS NEGERI PADANGFISIKA (NK)</v>
      </c>
    </row>
    <row r="327" spans="1:17" ht="16.5" thickTop="1" thickBot="1" x14ac:dyDescent="0.3">
      <c r="A327" s="7">
        <v>326</v>
      </c>
      <c r="B327" s="6">
        <v>14</v>
      </c>
      <c r="C327" s="12">
        <v>1421155</v>
      </c>
      <c r="D327" t="s">
        <v>173</v>
      </c>
      <c r="E327" s="12">
        <v>75</v>
      </c>
      <c r="F327" s="10" t="s">
        <v>20</v>
      </c>
      <c r="H327" s="29"/>
      <c r="I327" s="23"/>
      <c r="J327" s="138" t="s">
        <v>1292</v>
      </c>
      <c r="K327" s="138" t="s">
        <v>1292</v>
      </c>
      <c r="L327" s="138" t="s">
        <v>1292</v>
      </c>
      <c r="M327" s="25"/>
      <c r="N327" s="83" t="s">
        <v>1292</v>
      </c>
      <c r="P327" t="str">
        <f>VLOOKUP(B327,PTN!A:B,2,FALSE)</f>
        <v>UNIVERSITAS NEGERI PADANG</v>
      </c>
      <c r="Q327" t="str">
        <f t="shared" si="5"/>
        <v>UNIVERSITAS NEGERI PADANGILMU KEOLAHRAGAAN (NK)</v>
      </c>
    </row>
    <row r="328" spans="1:17" ht="16.5" thickTop="1" thickBot="1" x14ac:dyDescent="0.3">
      <c r="A328" s="7">
        <v>327</v>
      </c>
      <c r="B328" s="6">
        <v>14</v>
      </c>
      <c r="C328" s="13">
        <v>1421082</v>
      </c>
      <c r="D328" t="s">
        <v>174</v>
      </c>
      <c r="E328" s="13">
        <v>42</v>
      </c>
      <c r="F328" s="10" t="s">
        <v>20</v>
      </c>
      <c r="I328" s="26"/>
      <c r="J328" s="138" t="s">
        <v>1292</v>
      </c>
      <c r="K328" s="138" t="s">
        <v>1292</v>
      </c>
      <c r="L328" s="138" t="s">
        <v>1292</v>
      </c>
      <c r="M328" s="27"/>
      <c r="N328" s="83" t="s">
        <v>1292</v>
      </c>
      <c r="P328" t="str">
        <f>VLOOKUP(B328,PTN!A:B,2,FALSE)</f>
        <v>UNIVERSITAS NEGERI PADANG</v>
      </c>
      <c r="Q328" t="str">
        <f t="shared" si="5"/>
        <v>UNIVERSITAS NEGERI PADANGKIMIA (NK)</v>
      </c>
    </row>
    <row r="329" spans="1:17" ht="15.75" thickBot="1" x14ac:dyDescent="0.3">
      <c r="A329" s="7">
        <v>328</v>
      </c>
      <c r="B329" s="6">
        <v>14</v>
      </c>
      <c r="C329" s="12">
        <v>1421027</v>
      </c>
      <c r="D329" t="s">
        <v>175</v>
      </c>
      <c r="E329" s="12">
        <v>32</v>
      </c>
      <c r="F329" s="10" t="s">
        <v>20</v>
      </c>
      <c r="I329" s="87"/>
      <c r="J329" s="138" t="s">
        <v>1292</v>
      </c>
      <c r="K329" s="138" t="s">
        <v>1292</v>
      </c>
      <c r="L329" s="138" t="s">
        <v>1292</v>
      </c>
      <c r="M329" s="28"/>
      <c r="N329" s="83" t="s">
        <v>1292</v>
      </c>
      <c r="P329" t="str">
        <f>VLOOKUP(B329,PTN!A:B,2,FALSE)</f>
        <v>UNIVERSITAS NEGERI PADANG</v>
      </c>
      <c r="Q329" t="str">
        <f t="shared" si="5"/>
        <v>UNIVERSITAS NEGERI PADANGMATEMATIKA (NK)</v>
      </c>
    </row>
    <row r="330" spans="1:17" ht="15.75" thickBot="1" x14ac:dyDescent="0.3">
      <c r="A330" s="7">
        <v>329</v>
      </c>
      <c r="B330" s="6">
        <v>14</v>
      </c>
      <c r="C330" s="13">
        <v>1421035</v>
      </c>
      <c r="D330" t="s">
        <v>67</v>
      </c>
      <c r="E330" s="13">
        <v>48</v>
      </c>
      <c r="F330" s="10" t="s">
        <v>20</v>
      </c>
      <c r="I330" s="26"/>
      <c r="J330" s="138" t="s">
        <v>1292</v>
      </c>
      <c r="K330" s="138" t="s">
        <v>1292</v>
      </c>
      <c r="L330" s="138" t="s">
        <v>1292</v>
      </c>
      <c r="M330" s="27"/>
      <c r="N330" s="83" t="s">
        <v>1292</v>
      </c>
      <c r="P330" t="str">
        <f>VLOOKUP(B330,PTN!A:B,2,FALSE)</f>
        <v>UNIVERSITAS NEGERI PADANG</v>
      </c>
      <c r="Q330" t="str">
        <f t="shared" si="5"/>
        <v>UNIVERSITAS NEGERI PADANGPENDIDIKAN BIOLOGI</v>
      </c>
    </row>
    <row r="331" spans="1:17" ht="15.75" thickBot="1" x14ac:dyDescent="0.3">
      <c r="A331" s="7">
        <v>330</v>
      </c>
      <c r="B331" s="6">
        <v>14</v>
      </c>
      <c r="C331" s="12">
        <v>1421051</v>
      </c>
      <c r="D331" t="s">
        <v>42</v>
      </c>
      <c r="E331" s="12">
        <v>54</v>
      </c>
      <c r="F331" s="10" t="s">
        <v>20</v>
      </c>
      <c r="I331" s="87"/>
      <c r="J331" s="138" t="s">
        <v>1292</v>
      </c>
      <c r="K331" s="138" t="s">
        <v>1292</v>
      </c>
      <c r="L331" s="138" t="s">
        <v>1292</v>
      </c>
      <c r="M331" s="28"/>
      <c r="N331" s="83" t="s">
        <v>1292</v>
      </c>
      <c r="P331" t="str">
        <f>VLOOKUP(B331,PTN!A:B,2,FALSE)</f>
        <v>UNIVERSITAS NEGERI PADANG</v>
      </c>
      <c r="Q331" t="str">
        <f t="shared" si="5"/>
        <v>UNIVERSITAS NEGERI PADANGPENDIDIKAN FISIKA</v>
      </c>
    </row>
    <row r="332" spans="1:17" ht="15.75" thickBot="1" x14ac:dyDescent="0.3">
      <c r="A332" s="7">
        <v>331</v>
      </c>
      <c r="B332" s="6">
        <v>14</v>
      </c>
      <c r="C332" s="13">
        <v>1421186</v>
      </c>
      <c r="D332" t="s">
        <v>176</v>
      </c>
      <c r="E332" s="13">
        <v>41</v>
      </c>
      <c r="F332" s="10" t="s">
        <v>20</v>
      </c>
      <c r="I332" s="26"/>
      <c r="J332" s="138" t="s">
        <v>1292</v>
      </c>
      <c r="K332" s="138" t="s">
        <v>1292</v>
      </c>
      <c r="L332" s="138" t="s">
        <v>1292</v>
      </c>
      <c r="M332" s="27"/>
      <c r="N332" s="83" t="s">
        <v>1292</v>
      </c>
      <c r="P332" t="str">
        <f>VLOOKUP(B332,PTN!A:B,2,FALSE)</f>
        <v>UNIVERSITAS NEGERI PADANG</v>
      </c>
      <c r="Q332" t="str">
        <f t="shared" si="5"/>
        <v>UNIVERSITAS NEGERI PADANGPENDIDIKAN ILMU PENGETAHUAN ALAM</v>
      </c>
    </row>
    <row r="333" spans="1:17" ht="15.75" thickBot="1" x14ac:dyDescent="0.3">
      <c r="A333" s="7">
        <v>332</v>
      </c>
      <c r="B333" s="6">
        <v>14</v>
      </c>
      <c r="C333" s="12">
        <v>1421074</v>
      </c>
      <c r="D333" t="s">
        <v>43</v>
      </c>
      <c r="E333" s="12">
        <v>48</v>
      </c>
      <c r="F333" s="10" t="s">
        <v>20</v>
      </c>
      <c r="I333" s="87"/>
      <c r="J333" s="138" t="s">
        <v>1292</v>
      </c>
      <c r="K333" s="138" t="s">
        <v>1292</v>
      </c>
      <c r="L333" s="138" t="s">
        <v>1292</v>
      </c>
      <c r="M333" s="28"/>
      <c r="N333" s="83" t="s">
        <v>1292</v>
      </c>
      <c r="P333" t="str">
        <f>VLOOKUP(B333,PTN!A:B,2,FALSE)</f>
        <v>UNIVERSITAS NEGERI PADANG</v>
      </c>
      <c r="Q333" t="str">
        <f t="shared" si="5"/>
        <v>UNIVERSITAS NEGERI PADANGPENDIDIKAN KIMIA</v>
      </c>
    </row>
    <row r="334" spans="1:17" ht="15.75" thickBot="1" x14ac:dyDescent="0.3">
      <c r="A334" s="7">
        <v>333</v>
      </c>
      <c r="B334" s="6">
        <v>14</v>
      </c>
      <c r="C334" s="13">
        <v>1421012</v>
      </c>
      <c r="D334" t="s">
        <v>44</v>
      </c>
      <c r="E334" s="13">
        <v>48</v>
      </c>
      <c r="F334" s="10" t="s">
        <v>20</v>
      </c>
      <c r="I334" s="26"/>
      <c r="J334" s="138" t="s">
        <v>1292</v>
      </c>
      <c r="K334" s="138" t="s">
        <v>1292</v>
      </c>
      <c r="L334" s="138" t="s">
        <v>1292</v>
      </c>
      <c r="M334" s="27"/>
      <c r="N334" s="83" t="s">
        <v>1292</v>
      </c>
      <c r="P334" t="str">
        <f>VLOOKUP(B334,PTN!A:B,2,FALSE)</f>
        <v>UNIVERSITAS NEGERI PADANG</v>
      </c>
      <c r="Q334" t="str">
        <f t="shared" si="5"/>
        <v>UNIVERSITAS NEGERI PADANGPENDIDIKAN MATEMATIKA</v>
      </c>
    </row>
    <row r="335" spans="1:17" ht="15.75" thickBot="1" x14ac:dyDescent="0.3">
      <c r="A335" s="7">
        <v>334</v>
      </c>
      <c r="B335" s="6">
        <v>14</v>
      </c>
      <c r="C335" s="12">
        <v>1421097</v>
      </c>
      <c r="D335" t="s">
        <v>116</v>
      </c>
      <c r="E335" s="12">
        <v>20</v>
      </c>
      <c r="F335" s="10" t="s">
        <v>20</v>
      </c>
      <c r="I335" s="87"/>
      <c r="J335" s="138" t="s">
        <v>1292</v>
      </c>
      <c r="K335" s="138" t="s">
        <v>1292</v>
      </c>
      <c r="L335" s="138" t="s">
        <v>1292</v>
      </c>
      <c r="M335" s="28"/>
      <c r="N335" s="83" t="s">
        <v>1292</v>
      </c>
      <c r="P335" t="str">
        <f>VLOOKUP(B335,PTN!A:B,2,FALSE)</f>
        <v>UNIVERSITAS NEGERI PADANG</v>
      </c>
      <c r="Q335" t="str">
        <f t="shared" si="5"/>
        <v>UNIVERSITAS NEGERI PADANGPENDIDIKAN TEKNIK BANGUNAN</v>
      </c>
    </row>
    <row r="336" spans="1:17" ht="15.75" thickBot="1" x14ac:dyDescent="0.3">
      <c r="A336" s="7">
        <v>335</v>
      </c>
      <c r="B336" s="6">
        <v>14</v>
      </c>
      <c r="C336" s="13">
        <v>1421101</v>
      </c>
      <c r="D336" t="s">
        <v>23</v>
      </c>
      <c r="E336" s="13">
        <v>29</v>
      </c>
      <c r="F336" s="10" t="s">
        <v>20</v>
      </c>
      <c r="I336" s="26"/>
      <c r="J336" s="138" t="s">
        <v>1292</v>
      </c>
      <c r="K336" s="138" t="s">
        <v>1292</v>
      </c>
      <c r="L336" s="138" t="s">
        <v>1292</v>
      </c>
      <c r="M336" s="27"/>
      <c r="N336" s="83" t="s">
        <v>1292</v>
      </c>
      <c r="P336" t="str">
        <f>VLOOKUP(B336,PTN!A:B,2,FALSE)</f>
        <v>UNIVERSITAS NEGERI PADANG</v>
      </c>
      <c r="Q336" t="str">
        <f t="shared" si="5"/>
        <v>UNIVERSITAS NEGERI PADANGPENDIDIKAN TEKNIK ELEKTRO</v>
      </c>
    </row>
    <row r="337" spans="1:17" ht="15.75" thickBot="1" x14ac:dyDescent="0.3">
      <c r="A337" s="7">
        <v>336</v>
      </c>
      <c r="B337" s="6">
        <v>14</v>
      </c>
      <c r="C337" s="12">
        <v>1421116</v>
      </c>
      <c r="D337" t="s">
        <v>177</v>
      </c>
      <c r="E337" s="12">
        <v>20</v>
      </c>
      <c r="F337" s="10" t="s">
        <v>20</v>
      </c>
      <c r="I337" s="87"/>
      <c r="J337" s="138" t="s">
        <v>1292</v>
      </c>
      <c r="K337" s="138" t="s">
        <v>1292</v>
      </c>
      <c r="L337" s="138" t="s">
        <v>1292</v>
      </c>
      <c r="M337" s="28"/>
      <c r="N337" s="83" t="s">
        <v>1292</v>
      </c>
      <c r="P337" t="str">
        <f>VLOOKUP(B337,PTN!A:B,2,FALSE)</f>
        <v>UNIVERSITAS NEGERI PADANG</v>
      </c>
      <c r="Q337" t="str">
        <f t="shared" si="5"/>
        <v>UNIVERSITAS NEGERI PADANGPENDIDIKAN TEKNIK ELEKTRONIKA</v>
      </c>
    </row>
    <row r="338" spans="1:17" ht="15.75" thickBot="1" x14ac:dyDescent="0.3">
      <c r="A338" s="7">
        <v>337</v>
      </c>
      <c r="B338" s="6">
        <v>14</v>
      </c>
      <c r="C338" s="13">
        <v>1421124</v>
      </c>
      <c r="D338" t="s">
        <v>45</v>
      </c>
      <c r="E338" s="13">
        <v>29</v>
      </c>
      <c r="F338" s="10" t="s">
        <v>20</v>
      </c>
      <c r="I338" s="26"/>
      <c r="J338" s="138" t="s">
        <v>1292</v>
      </c>
      <c r="K338" s="138" t="s">
        <v>1292</v>
      </c>
      <c r="L338" s="138" t="s">
        <v>1292</v>
      </c>
      <c r="M338" s="27"/>
      <c r="N338" s="83" t="s">
        <v>1292</v>
      </c>
      <c r="P338" t="str">
        <f>VLOOKUP(B338,PTN!A:B,2,FALSE)</f>
        <v>UNIVERSITAS NEGERI PADANG</v>
      </c>
      <c r="Q338" t="str">
        <f t="shared" si="5"/>
        <v>UNIVERSITAS NEGERI PADANGPENDIDIKAN TEKNIK MESIN</v>
      </c>
    </row>
    <row r="339" spans="1:17" ht="15.75" thickBot="1" x14ac:dyDescent="0.3">
      <c r="A339" s="7">
        <v>338</v>
      </c>
      <c r="B339" s="6">
        <v>14</v>
      </c>
      <c r="C339" s="12">
        <v>1421132</v>
      </c>
      <c r="D339" t="s">
        <v>117</v>
      </c>
      <c r="E339" s="12">
        <v>29</v>
      </c>
      <c r="F339" s="10" t="s">
        <v>20</v>
      </c>
      <c r="I339" s="87"/>
      <c r="J339" s="138" t="s">
        <v>1292</v>
      </c>
      <c r="K339" s="138" t="s">
        <v>1292</v>
      </c>
      <c r="L339" s="138" t="s">
        <v>1292</v>
      </c>
      <c r="M339" s="28"/>
      <c r="N339" s="83" t="s">
        <v>1292</v>
      </c>
      <c r="P339" t="str">
        <f>VLOOKUP(B339,PTN!A:B,2,FALSE)</f>
        <v>UNIVERSITAS NEGERI PADANG</v>
      </c>
      <c r="Q339" t="str">
        <f t="shared" si="5"/>
        <v>UNIVERSITAS NEGERI PADANGPENDIDIKAN TEKNIK OTOMOTIF</v>
      </c>
    </row>
    <row r="340" spans="1:17" ht="15.75" thickBot="1" x14ac:dyDescent="0.3">
      <c r="A340" s="7">
        <v>339</v>
      </c>
      <c r="B340" s="6">
        <v>14</v>
      </c>
      <c r="C340" s="13">
        <v>1421147</v>
      </c>
      <c r="D340" t="s">
        <v>178</v>
      </c>
      <c r="E340" s="13">
        <v>29</v>
      </c>
      <c r="F340" s="10" t="s">
        <v>20</v>
      </c>
      <c r="I340" s="26"/>
      <c r="J340" s="138" t="s">
        <v>1292</v>
      </c>
      <c r="K340" s="138" t="s">
        <v>1292</v>
      </c>
      <c r="L340" s="138" t="s">
        <v>1292</v>
      </c>
      <c r="M340" s="27"/>
      <c r="N340" s="83" t="s">
        <v>1292</v>
      </c>
      <c r="P340" t="str">
        <f>VLOOKUP(B340,PTN!A:B,2,FALSE)</f>
        <v>UNIVERSITAS NEGERI PADANG</v>
      </c>
      <c r="Q340" t="str">
        <f t="shared" si="5"/>
        <v>UNIVERSITAS NEGERI PADANGPEND. TEKNIK INFORMATIKA DAN KOMPUTER</v>
      </c>
    </row>
    <row r="341" spans="1:17" ht="15.75" thickBot="1" x14ac:dyDescent="0.3">
      <c r="A341" s="7">
        <v>340</v>
      </c>
      <c r="B341" s="6">
        <v>14</v>
      </c>
      <c r="C341" s="12">
        <v>1421205</v>
      </c>
      <c r="D341" t="s">
        <v>179</v>
      </c>
      <c r="E341" s="12">
        <v>14</v>
      </c>
      <c r="F341" s="10" t="s">
        <v>20</v>
      </c>
      <c r="I341" s="87"/>
      <c r="J341" s="138" t="s">
        <v>1292</v>
      </c>
      <c r="K341" s="138" t="s">
        <v>1292</v>
      </c>
      <c r="L341" s="138" t="s">
        <v>1292</v>
      </c>
      <c r="M341" s="28"/>
      <c r="N341" s="83" t="s">
        <v>1292</v>
      </c>
      <c r="P341" t="str">
        <f>VLOOKUP(B341,PTN!A:B,2,FALSE)</f>
        <v>UNIVERSITAS NEGERI PADANG</v>
      </c>
      <c r="Q341" t="str">
        <f t="shared" si="5"/>
        <v>UNIVERSITAS NEGERI PADANGSTATISTIKA (NK)</v>
      </c>
    </row>
    <row r="342" spans="1:17" ht="15.75" thickBot="1" x14ac:dyDescent="0.3">
      <c r="A342" s="7">
        <v>341</v>
      </c>
      <c r="B342" s="6">
        <v>14</v>
      </c>
      <c r="C342" s="13">
        <v>1421171</v>
      </c>
      <c r="D342" t="s">
        <v>180</v>
      </c>
      <c r="E342" s="13">
        <v>29</v>
      </c>
      <c r="F342" s="10" t="s">
        <v>20</v>
      </c>
      <c r="I342" s="26"/>
      <c r="J342" s="138" t="s">
        <v>1292</v>
      </c>
      <c r="K342" s="138" t="s">
        <v>1292</v>
      </c>
      <c r="L342" s="138" t="s">
        <v>1292</v>
      </c>
      <c r="M342" s="27"/>
      <c r="N342" s="83" t="s">
        <v>1292</v>
      </c>
      <c r="P342" t="str">
        <f>VLOOKUP(B342,PTN!A:B,2,FALSE)</f>
        <v>UNIVERSITAS NEGERI PADANG</v>
      </c>
      <c r="Q342" t="str">
        <f t="shared" si="5"/>
        <v>UNIVERSITAS NEGERI PADANGTEKNIK ELEKTRO INDUSTRI (NK)</v>
      </c>
    </row>
    <row r="343" spans="1:17" ht="15.75" thickBot="1" x14ac:dyDescent="0.3">
      <c r="A343" s="7">
        <v>342</v>
      </c>
      <c r="B343" s="6">
        <v>14</v>
      </c>
      <c r="C343" s="12">
        <v>1421213</v>
      </c>
      <c r="D343" t="s">
        <v>181</v>
      </c>
      <c r="E343" s="12">
        <v>20</v>
      </c>
      <c r="F343" s="10" t="s">
        <v>20</v>
      </c>
      <c r="I343" s="87"/>
      <c r="J343" s="138" t="s">
        <v>1292</v>
      </c>
      <c r="K343" s="138" t="s">
        <v>1292</v>
      </c>
      <c r="L343" s="138" t="s">
        <v>1292</v>
      </c>
      <c r="M343" s="28"/>
      <c r="N343" s="83" t="s">
        <v>1292</v>
      </c>
      <c r="P343" t="str">
        <f>VLOOKUP(B343,PTN!A:B,2,FALSE)</f>
        <v>UNIVERSITAS NEGERI PADANG</v>
      </c>
      <c r="Q343" t="str">
        <f t="shared" si="5"/>
        <v>UNIVERSITAS NEGERI PADANGTEKNIK MESIN (NK)</v>
      </c>
    </row>
    <row r="344" spans="1:17" ht="15.75" thickBot="1" x14ac:dyDescent="0.3">
      <c r="A344" s="7">
        <v>343</v>
      </c>
      <c r="B344" s="6">
        <v>14</v>
      </c>
      <c r="C344" s="13">
        <v>1421163</v>
      </c>
      <c r="D344" t="s">
        <v>182</v>
      </c>
      <c r="E344" s="13">
        <v>12</v>
      </c>
      <c r="F344" s="10" t="s">
        <v>20</v>
      </c>
      <c r="I344" s="26"/>
      <c r="J344" s="138" t="s">
        <v>1292</v>
      </c>
      <c r="K344" s="138" t="s">
        <v>1292</v>
      </c>
      <c r="L344" s="138" t="s">
        <v>1292</v>
      </c>
      <c r="M344" s="27"/>
      <c r="N344" s="83" t="s">
        <v>1292</v>
      </c>
      <c r="P344" t="str">
        <f>VLOOKUP(B344,PTN!A:B,2,FALSE)</f>
        <v>UNIVERSITAS NEGERI PADANG</v>
      </c>
      <c r="Q344" t="str">
        <f t="shared" si="5"/>
        <v>UNIVERSITAS NEGERI PADANGTEKNIK PERTAMBANGAN (NK)</v>
      </c>
    </row>
    <row r="345" spans="1:17" ht="15.75" thickBot="1" x14ac:dyDescent="0.3">
      <c r="A345" s="7">
        <v>344</v>
      </c>
      <c r="B345" s="6">
        <v>14</v>
      </c>
      <c r="C345" s="14">
        <v>1421194</v>
      </c>
      <c r="D345" t="s">
        <v>54</v>
      </c>
      <c r="E345" s="14">
        <v>20</v>
      </c>
      <c r="F345" s="10" t="s">
        <v>20</v>
      </c>
      <c r="I345" s="87"/>
      <c r="J345" s="138" t="s">
        <v>1292</v>
      </c>
      <c r="K345" s="138" t="s">
        <v>1292</v>
      </c>
      <c r="L345" s="138" t="s">
        <v>1292</v>
      </c>
      <c r="M345" s="28"/>
      <c r="N345" s="83" t="s">
        <v>1292</v>
      </c>
      <c r="P345" t="str">
        <f>VLOOKUP(B345,PTN!A:B,2,FALSE)</f>
        <v>UNIVERSITAS NEGERI PADANG</v>
      </c>
      <c r="Q345" t="str">
        <f t="shared" si="5"/>
        <v>UNIVERSITAS NEGERI PADANGTEKNIK SIPIL</v>
      </c>
    </row>
    <row r="346" spans="1:17" ht="16.5" thickTop="1" thickBot="1" x14ac:dyDescent="0.3">
      <c r="A346" s="7">
        <v>345</v>
      </c>
      <c r="B346" s="6">
        <v>14</v>
      </c>
      <c r="C346" s="12">
        <v>1422015</v>
      </c>
      <c r="D346" t="s">
        <v>183</v>
      </c>
      <c r="E346" s="12">
        <v>42</v>
      </c>
      <c r="F346" s="10" t="s">
        <v>13</v>
      </c>
      <c r="I346" s="20"/>
      <c r="J346" s="138" t="s">
        <v>1292</v>
      </c>
      <c r="K346" s="138" t="s">
        <v>1292</v>
      </c>
      <c r="L346" s="138" t="s">
        <v>1292</v>
      </c>
      <c r="M346" s="21"/>
      <c r="N346" s="83" t="s">
        <v>1292</v>
      </c>
      <c r="P346" t="str">
        <f>VLOOKUP(B346,PTN!A:B,2,FALSE)</f>
        <v>UNIVERSITAS NEGERI PADANG</v>
      </c>
      <c r="Q346" t="str">
        <f t="shared" si="5"/>
        <v>UNIVERSITAS NEGERI PADANGADMINISTRASI PENDIDIKAN</v>
      </c>
    </row>
    <row r="347" spans="1:17" ht="15.75" thickBot="1" x14ac:dyDescent="0.3">
      <c r="A347" s="7">
        <v>346</v>
      </c>
      <c r="B347" s="6">
        <v>14</v>
      </c>
      <c r="C347" s="13">
        <v>1422224</v>
      </c>
      <c r="D347" t="s">
        <v>184</v>
      </c>
      <c r="E347" s="13">
        <v>27</v>
      </c>
      <c r="F347" s="10" t="s">
        <v>13</v>
      </c>
      <c r="I347" s="22"/>
      <c r="J347" s="138">
        <v>575.28</v>
      </c>
      <c r="K347" s="138">
        <v>583.41773000000001</v>
      </c>
      <c r="L347" s="138">
        <v>567.14226999999994</v>
      </c>
      <c r="M347" s="21"/>
      <c r="N347" s="83">
        <v>575.28</v>
      </c>
      <c r="P347" t="str">
        <f>VLOOKUP(B347,PTN!A:B,2,FALSE)</f>
        <v>UNIVERSITAS NEGERI PADANG</v>
      </c>
      <c r="Q347" t="str">
        <f t="shared" si="5"/>
        <v>UNIVERSITAS NEGERI PADANGAKUNTANSI (NK)</v>
      </c>
    </row>
    <row r="348" spans="1:17" ht="16.5" thickTop="1" thickBot="1" x14ac:dyDescent="0.3">
      <c r="A348" s="7">
        <v>347</v>
      </c>
      <c r="B348" s="6">
        <v>14</v>
      </c>
      <c r="C348" s="12">
        <v>1422104</v>
      </c>
      <c r="D348" t="s">
        <v>185</v>
      </c>
      <c r="E348" s="12">
        <v>36</v>
      </c>
      <c r="F348" s="10" t="s">
        <v>13</v>
      </c>
      <c r="I348" s="23"/>
      <c r="J348" s="138" t="s">
        <v>1292</v>
      </c>
      <c r="K348" s="138" t="s">
        <v>1292</v>
      </c>
      <c r="L348" s="138" t="s">
        <v>1292</v>
      </c>
      <c r="M348" s="25"/>
      <c r="N348" s="83" t="s">
        <v>1292</v>
      </c>
      <c r="P348" t="str">
        <f>VLOOKUP(B348,PTN!A:B,2,FALSE)</f>
        <v>UNIVERSITAS NEGERI PADANG</v>
      </c>
      <c r="Q348" t="str">
        <f t="shared" si="5"/>
        <v>UNIVERSITAS NEGERI PADANGBAHASA &amp; SASTRA INDONESIA (NK)</v>
      </c>
    </row>
    <row r="349" spans="1:17" ht="16.5" thickTop="1" thickBot="1" x14ac:dyDescent="0.3">
      <c r="A349" s="7">
        <v>348</v>
      </c>
      <c r="B349" s="6">
        <v>14</v>
      </c>
      <c r="C349" s="13">
        <v>1422127</v>
      </c>
      <c r="D349" t="s">
        <v>186</v>
      </c>
      <c r="E349" s="13">
        <v>27</v>
      </c>
      <c r="F349" s="10" t="s">
        <v>13</v>
      </c>
      <c r="I349" s="26"/>
      <c r="J349" s="138">
        <v>565.89</v>
      </c>
      <c r="K349" s="138">
        <v>574.02773000000002</v>
      </c>
      <c r="L349" s="138">
        <v>557.75226999999995</v>
      </c>
      <c r="M349" s="27"/>
      <c r="N349" s="83">
        <v>565.89</v>
      </c>
      <c r="P349" t="str">
        <f>VLOOKUP(B349,PTN!A:B,2,FALSE)</f>
        <v>UNIVERSITAS NEGERI PADANG</v>
      </c>
      <c r="Q349" t="str">
        <f t="shared" si="5"/>
        <v>UNIVERSITAS NEGERI PADANGBAHASA &amp; SASTRA INGGRIS (NK)</v>
      </c>
    </row>
    <row r="350" spans="1:17" ht="15.75" thickBot="1" x14ac:dyDescent="0.3">
      <c r="A350" s="7">
        <v>349</v>
      </c>
      <c r="B350" s="6">
        <v>14</v>
      </c>
      <c r="C350" s="12">
        <v>1422054</v>
      </c>
      <c r="D350" t="s">
        <v>187</v>
      </c>
      <c r="E350" s="12">
        <v>60</v>
      </c>
      <c r="F350" s="10" t="s">
        <v>13</v>
      </c>
      <c r="I350" s="87"/>
      <c r="J350" s="138" t="s">
        <v>1292</v>
      </c>
      <c r="K350" s="138" t="s">
        <v>1292</v>
      </c>
      <c r="L350" s="138" t="s">
        <v>1292</v>
      </c>
      <c r="M350" s="28"/>
      <c r="N350" s="83" t="s">
        <v>1292</v>
      </c>
      <c r="P350" t="str">
        <f>VLOOKUP(B350,PTN!A:B,2,FALSE)</f>
        <v>UNIVERSITAS NEGERI PADANG</v>
      </c>
      <c r="Q350" t="str">
        <f t="shared" si="5"/>
        <v>UNIVERSITAS NEGERI PADANGBIMBINGAN DAN KONSELING</v>
      </c>
    </row>
    <row r="351" spans="1:17" ht="15.75" thickBot="1" x14ac:dyDescent="0.3">
      <c r="A351" s="7">
        <v>350</v>
      </c>
      <c r="B351" s="6">
        <v>14</v>
      </c>
      <c r="C351" s="13">
        <v>1422305</v>
      </c>
      <c r="D351" t="s">
        <v>188</v>
      </c>
      <c r="E351" s="13">
        <v>38</v>
      </c>
      <c r="F351" s="10" t="s">
        <v>13</v>
      </c>
      <c r="I351" s="26"/>
      <c r="J351" s="138" t="s">
        <v>1292</v>
      </c>
      <c r="K351" s="138" t="s">
        <v>1292</v>
      </c>
      <c r="L351" s="138" t="s">
        <v>1292</v>
      </c>
      <c r="M351" s="27"/>
      <c r="N351" s="83" t="s">
        <v>1292</v>
      </c>
      <c r="P351" t="str">
        <f>VLOOKUP(B351,PTN!A:B,2,FALSE)</f>
        <v>UNIVERSITAS NEGERI PADANG</v>
      </c>
      <c r="Q351" t="str">
        <f t="shared" si="5"/>
        <v>UNIVERSITAS NEGERI PADANGDISAIN KOM. VISUAL (NK)</v>
      </c>
    </row>
    <row r="352" spans="1:17" ht="15.75" thickBot="1" x14ac:dyDescent="0.3">
      <c r="A352" s="7">
        <v>351</v>
      </c>
      <c r="B352" s="6">
        <v>14</v>
      </c>
      <c r="C352" s="12">
        <v>1422232</v>
      </c>
      <c r="D352" t="s">
        <v>189</v>
      </c>
      <c r="E352" s="12">
        <v>27</v>
      </c>
      <c r="F352" s="10" t="s">
        <v>13</v>
      </c>
      <c r="I352" s="87"/>
      <c r="J352" s="138" t="s">
        <v>1292</v>
      </c>
      <c r="K352" s="138" t="s">
        <v>1292</v>
      </c>
      <c r="L352" s="138" t="s">
        <v>1292</v>
      </c>
      <c r="M352" s="28"/>
      <c r="N352" s="83" t="s">
        <v>1292</v>
      </c>
      <c r="P352" t="str">
        <f>VLOOKUP(B352,PTN!A:B,2,FALSE)</f>
        <v>UNIVERSITAS NEGERI PADANG</v>
      </c>
      <c r="Q352" t="str">
        <f t="shared" si="5"/>
        <v>UNIVERSITAS NEGERI PADANGEKONOMI PEMBANGUNAN (NK)</v>
      </c>
    </row>
    <row r="353" spans="1:17" ht="15.75" thickBot="1" x14ac:dyDescent="0.3">
      <c r="A353" s="7">
        <v>352</v>
      </c>
      <c r="B353" s="6">
        <v>14</v>
      </c>
      <c r="C353" s="13">
        <v>1422286</v>
      </c>
      <c r="D353" t="s">
        <v>190</v>
      </c>
      <c r="E353" s="13">
        <v>45</v>
      </c>
      <c r="F353" s="10" t="s">
        <v>13</v>
      </c>
      <c r="I353" s="26"/>
      <c r="J353" s="138" t="s">
        <v>1292</v>
      </c>
      <c r="K353" s="138" t="s">
        <v>1292</v>
      </c>
      <c r="L353" s="138" t="s">
        <v>1292</v>
      </c>
      <c r="M353" s="27"/>
      <c r="N353" s="83" t="s">
        <v>1292</v>
      </c>
      <c r="P353" t="str">
        <f>VLOOKUP(B353,PTN!A:B,2,FALSE)</f>
        <v>UNIVERSITAS NEGERI PADANG</v>
      </c>
      <c r="Q353" t="str">
        <f t="shared" si="5"/>
        <v>UNIVERSITAS NEGERI PADANGGEOGRAFI (NK)</v>
      </c>
    </row>
    <row r="354" spans="1:17" ht="15.75" thickBot="1" x14ac:dyDescent="0.3">
      <c r="A354" s="7">
        <v>353</v>
      </c>
      <c r="B354" s="6">
        <v>14</v>
      </c>
      <c r="C354" s="12">
        <v>1422197</v>
      </c>
      <c r="D354" t="s">
        <v>191</v>
      </c>
      <c r="E354" s="12">
        <v>36</v>
      </c>
      <c r="F354" s="10" t="s">
        <v>13</v>
      </c>
      <c r="I354" s="87"/>
      <c r="J354" s="138" t="s">
        <v>1292</v>
      </c>
      <c r="K354" s="138" t="s">
        <v>1292</v>
      </c>
      <c r="L354" s="138" t="s">
        <v>1292</v>
      </c>
      <c r="M354" s="28"/>
      <c r="N354" s="83" t="s">
        <v>1292</v>
      </c>
      <c r="P354" t="str">
        <f>VLOOKUP(B354,PTN!A:B,2,FALSE)</f>
        <v>UNIVERSITAS NEGERI PADANG</v>
      </c>
      <c r="Q354" t="str">
        <f t="shared" si="5"/>
        <v>UNIVERSITAS NEGERI PADANGILMU ADMINISTRASI NEGARA (NK)</v>
      </c>
    </row>
    <row r="355" spans="1:17" ht="15.75" thickBot="1" x14ac:dyDescent="0.3">
      <c r="A355" s="7">
        <v>354</v>
      </c>
      <c r="B355" s="6">
        <v>14</v>
      </c>
      <c r="C355" s="13">
        <v>1422216</v>
      </c>
      <c r="D355" t="s">
        <v>192</v>
      </c>
      <c r="E355" s="13">
        <v>48</v>
      </c>
      <c r="F355" s="10" t="s">
        <v>13</v>
      </c>
      <c r="I355" s="26"/>
      <c r="J355" s="138">
        <v>565.03</v>
      </c>
      <c r="K355" s="138">
        <v>573.16773000000001</v>
      </c>
      <c r="L355" s="138">
        <v>556.89226999999994</v>
      </c>
      <c r="M355" s="27"/>
      <c r="N355" s="83">
        <v>565.03</v>
      </c>
      <c r="P355" t="str">
        <f>VLOOKUP(B355,PTN!A:B,2,FALSE)</f>
        <v>UNIVERSITAS NEGERI PADANG</v>
      </c>
      <c r="Q355" t="str">
        <f t="shared" si="5"/>
        <v>UNIVERSITAS NEGERI PADANGMANAJEMEN (NK)</v>
      </c>
    </row>
    <row r="356" spans="1:17" ht="15.75" thickBot="1" x14ac:dyDescent="0.3">
      <c r="A356" s="7">
        <v>355</v>
      </c>
      <c r="B356" s="6">
        <v>14</v>
      </c>
      <c r="C356" s="12">
        <v>1422294</v>
      </c>
      <c r="D356" t="s">
        <v>193</v>
      </c>
      <c r="E356" s="12">
        <v>59</v>
      </c>
      <c r="F356" s="10" t="s">
        <v>13</v>
      </c>
      <c r="I356" s="87"/>
      <c r="J356" s="138" t="s">
        <v>1292</v>
      </c>
      <c r="K356" s="138" t="s">
        <v>1292</v>
      </c>
      <c r="L356" s="138" t="s">
        <v>1292</v>
      </c>
      <c r="M356" s="28"/>
      <c r="N356" s="83" t="s">
        <v>1292</v>
      </c>
      <c r="P356" t="str">
        <f>VLOOKUP(B356,PTN!A:B,2,FALSE)</f>
        <v>UNIVERSITAS NEGERI PADANG</v>
      </c>
      <c r="Q356" t="str">
        <f t="shared" si="5"/>
        <v>UNIVERSITAS NEGERI PADANGMANAJEMEN PERHOTELAN (NK)</v>
      </c>
    </row>
    <row r="357" spans="1:17" ht="15.75" thickBot="1" x14ac:dyDescent="0.3">
      <c r="A357" s="7">
        <v>356</v>
      </c>
      <c r="B357" s="6">
        <v>14</v>
      </c>
      <c r="C357" s="13">
        <v>1422112</v>
      </c>
      <c r="D357" t="s">
        <v>194</v>
      </c>
      <c r="E357" s="13">
        <v>45</v>
      </c>
      <c r="F357" s="10" t="s">
        <v>13</v>
      </c>
      <c r="I357" s="26"/>
      <c r="J357" s="138" t="s">
        <v>1292</v>
      </c>
      <c r="K357" s="138" t="s">
        <v>1292</v>
      </c>
      <c r="L357" s="138" t="s">
        <v>1292</v>
      </c>
      <c r="M357" s="27"/>
      <c r="N357" s="83" t="s">
        <v>1292</v>
      </c>
      <c r="P357" t="str">
        <f>VLOOKUP(B357,PTN!A:B,2,FALSE)</f>
        <v>UNIVERSITAS NEGERI PADANG</v>
      </c>
      <c r="Q357" t="str">
        <f t="shared" si="5"/>
        <v>UNIVERSITAS NEGERI PADANGPENDD. BHS INGGRIS</v>
      </c>
    </row>
    <row r="358" spans="1:17" ht="15.75" thickBot="1" x14ac:dyDescent="0.3">
      <c r="A358" s="7">
        <v>357</v>
      </c>
      <c r="B358" s="6">
        <v>14</v>
      </c>
      <c r="C358" s="12">
        <v>1422093</v>
      </c>
      <c r="D358" t="s">
        <v>195</v>
      </c>
      <c r="E358" s="12">
        <v>54</v>
      </c>
      <c r="F358" s="10" t="s">
        <v>13</v>
      </c>
      <c r="I358" s="87"/>
      <c r="J358" s="138" t="s">
        <v>1292</v>
      </c>
      <c r="K358" s="138" t="s">
        <v>1292</v>
      </c>
      <c r="L358" s="138" t="s">
        <v>1292</v>
      </c>
      <c r="M358" s="28"/>
      <c r="N358" s="83" t="s">
        <v>1292</v>
      </c>
      <c r="P358" t="str">
        <f>VLOOKUP(B358,PTN!A:B,2,FALSE)</f>
        <v>UNIVERSITAS NEGERI PADANG</v>
      </c>
      <c r="Q358" t="str">
        <f t="shared" si="5"/>
        <v>UNIVERSITAS NEGERI PADANGPENDD. BHS &amp; SAST. INDO. &amp; DAERAH</v>
      </c>
    </row>
    <row r="359" spans="1:17" ht="15.75" thickBot="1" x14ac:dyDescent="0.3">
      <c r="A359" s="7">
        <v>358</v>
      </c>
      <c r="B359" s="6">
        <v>14</v>
      </c>
      <c r="C359" s="13">
        <v>1422271</v>
      </c>
      <c r="D359" t="s">
        <v>196</v>
      </c>
      <c r="E359" s="13">
        <v>90</v>
      </c>
      <c r="F359" s="10" t="s">
        <v>13</v>
      </c>
      <c r="I359" s="26"/>
      <c r="J359" s="138" t="s">
        <v>1292</v>
      </c>
      <c r="K359" s="138" t="s">
        <v>1292</v>
      </c>
      <c r="L359" s="138" t="s">
        <v>1292</v>
      </c>
      <c r="M359" s="27"/>
      <c r="N359" s="83" t="s">
        <v>1292</v>
      </c>
      <c r="P359" t="str">
        <f>VLOOKUP(B359,PTN!A:B,2,FALSE)</f>
        <v>UNIVERSITAS NEGERI PADANG</v>
      </c>
      <c r="Q359" t="str">
        <f t="shared" si="5"/>
        <v>UNIVERSITAS NEGERI PADANGPENDD. KEPELATIHAN OLAHRAGA</v>
      </c>
    </row>
    <row r="360" spans="1:17" ht="15.75" thickBot="1" x14ac:dyDescent="0.3">
      <c r="A360" s="7">
        <v>359</v>
      </c>
      <c r="B360" s="6">
        <v>14</v>
      </c>
      <c r="C360" s="12">
        <v>1422247</v>
      </c>
      <c r="D360" t="s">
        <v>197</v>
      </c>
      <c r="E360" s="12">
        <v>48</v>
      </c>
      <c r="F360" s="10" t="s">
        <v>13</v>
      </c>
      <c r="I360" s="87"/>
      <c r="J360" s="138" t="s">
        <v>1292</v>
      </c>
      <c r="K360" s="138" t="s">
        <v>1292</v>
      </c>
      <c r="L360" s="138" t="s">
        <v>1292</v>
      </c>
      <c r="M360" s="28"/>
      <c r="N360" s="83" t="s">
        <v>1292</v>
      </c>
      <c r="P360" t="str">
        <f>VLOOKUP(B360,PTN!A:B,2,FALSE)</f>
        <v>UNIVERSITAS NEGERI PADANG</v>
      </c>
      <c r="Q360" t="str">
        <f t="shared" si="5"/>
        <v>UNIVERSITAS NEGERI PADANGPENDD. KESEJAHTERAAN KELUARGA</v>
      </c>
    </row>
    <row r="361" spans="1:17" ht="15.75" thickBot="1" x14ac:dyDescent="0.3">
      <c r="A361" s="7">
        <v>360</v>
      </c>
      <c r="B361" s="6">
        <v>14</v>
      </c>
      <c r="C361" s="13">
        <v>1422085</v>
      </c>
      <c r="D361" t="s">
        <v>120</v>
      </c>
      <c r="E361" s="13">
        <v>60</v>
      </c>
      <c r="F361" s="10" t="s">
        <v>13</v>
      </c>
      <c r="I361" s="26"/>
      <c r="J361" s="138" t="s">
        <v>1292</v>
      </c>
      <c r="K361" s="138" t="s">
        <v>1292</v>
      </c>
      <c r="L361" s="138" t="s">
        <v>1292</v>
      </c>
      <c r="M361" s="27"/>
      <c r="N361" s="83" t="s">
        <v>1292</v>
      </c>
      <c r="P361" t="str">
        <f>VLOOKUP(B361,PTN!A:B,2,FALSE)</f>
        <v>UNIVERSITAS NEGERI PADANG</v>
      </c>
      <c r="Q361" t="str">
        <f t="shared" si="5"/>
        <v>UNIVERSITAS NEGERI PADANGPEND. GURU PENDIDIKAN ANAK USIA DINI</v>
      </c>
    </row>
    <row r="362" spans="1:17" ht="15.75" thickBot="1" x14ac:dyDescent="0.3">
      <c r="A362" s="7">
        <v>361</v>
      </c>
      <c r="B362" s="6">
        <v>14</v>
      </c>
      <c r="C362" s="12">
        <v>1422313</v>
      </c>
      <c r="D362" t="s">
        <v>198</v>
      </c>
      <c r="E362" s="12">
        <v>21</v>
      </c>
      <c r="F362" s="10" t="s">
        <v>13</v>
      </c>
      <c r="I362" s="87"/>
      <c r="J362" s="138" t="s">
        <v>1292</v>
      </c>
      <c r="K362" s="138" t="s">
        <v>1292</v>
      </c>
      <c r="L362" s="138" t="s">
        <v>1292</v>
      </c>
      <c r="M362" s="28"/>
      <c r="N362" s="83" t="s">
        <v>1292</v>
      </c>
      <c r="P362" t="str">
        <f>VLOOKUP(B362,PTN!A:B,2,FALSE)</f>
        <v>UNIVERSITAS NEGERI PADANG</v>
      </c>
      <c r="Q362" t="str">
        <f t="shared" si="5"/>
        <v>UNIVERSITAS NEGERI PADANGPENDIDIKAN BAHASA JEPANG</v>
      </c>
    </row>
    <row r="363" spans="1:17" ht="15.75" thickBot="1" x14ac:dyDescent="0.3">
      <c r="A363" s="7">
        <v>362</v>
      </c>
      <c r="B363" s="6">
        <v>14</v>
      </c>
      <c r="C363" s="13">
        <v>1422201</v>
      </c>
      <c r="D363" t="s">
        <v>100</v>
      </c>
      <c r="E363" s="13">
        <v>27</v>
      </c>
      <c r="F363" s="10" t="s">
        <v>13</v>
      </c>
      <c r="I363" s="26"/>
      <c r="J363" s="138" t="s">
        <v>1292</v>
      </c>
      <c r="K363" s="138" t="s">
        <v>1292</v>
      </c>
      <c r="L363" s="138" t="s">
        <v>1292</v>
      </c>
      <c r="M363" s="27"/>
      <c r="N363" s="83" t="s">
        <v>1292</v>
      </c>
      <c r="P363" t="str">
        <f>VLOOKUP(B363,PTN!A:B,2,FALSE)</f>
        <v>UNIVERSITAS NEGERI PADANG</v>
      </c>
      <c r="Q363" t="str">
        <f t="shared" si="5"/>
        <v>UNIVERSITAS NEGERI PADANGPENDIDIKAN EKONOMI</v>
      </c>
    </row>
    <row r="364" spans="1:17" ht="15.75" thickBot="1" x14ac:dyDescent="0.3">
      <c r="A364" s="7">
        <v>363</v>
      </c>
      <c r="B364" s="6">
        <v>14</v>
      </c>
      <c r="C364" s="12">
        <v>1422151</v>
      </c>
      <c r="D364" t="s">
        <v>72</v>
      </c>
      <c r="E364" s="12">
        <v>45</v>
      </c>
      <c r="F364" s="10" t="s">
        <v>13</v>
      </c>
      <c r="I364" s="87"/>
      <c r="J364" s="138" t="s">
        <v>1292</v>
      </c>
      <c r="K364" s="138" t="s">
        <v>1292</v>
      </c>
      <c r="L364" s="138" t="s">
        <v>1292</v>
      </c>
      <c r="M364" s="28"/>
      <c r="N364" s="83" t="s">
        <v>1292</v>
      </c>
      <c r="P364" t="str">
        <f>VLOOKUP(B364,PTN!A:B,2,FALSE)</f>
        <v>UNIVERSITAS NEGERI PADANG</v>
      </c>
      <c r="Q364" t="str">
        <f t="shared" si="5"/>
        <v>UNIVERSITAS NEGERI PADANGPENDIDIKAN GEOGRAFI</v>
      </c>
    </row>
    <row r="365" spans="1:17" ht="15.75" thickBot="1" x14ac:dyDescent="0.3">
      <c r="A365" s="7">
        <v>364</v>
      </c>
      <c r="B365" s="6">
        <v>14</v>
      </c>
      <c r="C365" s="13">
        <v>1422336</v>
      </c>
      <c r="D365" t="s">
        <v>199</v>
      </c>
      <c r="E365" s="13">
        <v>60</v>
      </c>
      <c r="F365" s="10" t="s">
        <v>13</v>
      </c>
      <c r="I365" s="26"/>
      <c r="J365" s="138" t="s">
        <v>1292</v>
      </c>
      <c r="K365" s="138" t="s">
        <v>1292</v>
      </c>
      <c r="L365" s="138" t="s">
        <v>1292</v>
      </c>
      <c r="M365" s="27"/>
      <c r="N365" s="83" t="s">
        <v>1292</v>
      </c>
      <c r="P365" t="str">
        <f>VLOOKUP(B365,PTN!A:B,2,FALSE)</f>
        <v>UNIVERSITAS NEGERI PADANG</v>
      </c>
      <c r="Q365" t="str">
        <f t="shared" si="5"/>
        <v>UNIVERSITAS NEGERI PADANGPENDIDIKAN KEAGAMAAN ISLAM</v>
      </c>
    </row>
    <row r="366" spans="1:17" ht="15.75" thickBot="1" x14ac:dyDescent="0.3">
      <c r="A366" s="7">
        <v>365</v>
      </c>
      <c r="B366" s="6">
        <v>14</v>
      </c>
      <c r="C366" s="12">
        <v>1422023</v>
      </c>
      <c r="D366" t="s">
        <v>200</v>
      </c>
      <c r="E366" s="12">
        <v>48</v>
      </c>
      <c r="F366" s="10" t="s">
        <v>13</v>
      </c>
      <c r="I366" s="87"/>
      <c r="J366" s="138" t="s">
        <v>1292</v>
      </c>
      <c r="K366" s="138" t="s">
        <v>1292</v>
      </c>
      <c r="L366" s="138" t="s">
        <v>1292</v>
      </c>
      <c r="M366" s="28"/>
      <c r="N366" s="83" t="s">
        <v>1292</v>
      </c>
      <c r="P366" t="str">
        <f>VLOOKUP(B366,PTN!A:B,2,FALSE)</f>
        <v>UNIVERSITAS NEGERI PADANG</v>
      </c>
      <c r="Q366" t="str">
        <f t="shared" si="5"/>
        <v>UNIVERSITAS NEGERI PADANGPENDIDIKAN LUAR BIASA</v>
      </c>
    </row>
    <row r="367" spans="1:17" ht="15.75" thickBot="1" x14ac:dyDescent="0.3">
      <c r="A367" s="7">
        <v>366</v>
      </c>
      <c r="B367" s="6">
        <v>14</v>
      </c>
      <c r="C367" s="13">
        <v>1422046</v>
      </c>
      <c r="D367" t="s">
        <v>201</v>
      </c>
      <c r="E367" s="13">
        <v>45</v>
      </c>
      <c r="F367" s="10" t="s">
        <v>13</v>
      </c>
      <c r="I367" s="26"/>
      <c r="J367" s="138" t="s">
        <v>1292</v>
      </c>
      <c r="K367" s="138" t="s">
        <v>1292</v>
      </c>
      <c r="L367" s="138" t="s">
        <v>1292</v>
      </c>
      <c r="M367" s="27"/>
      <c r="N367" s="83" t="s">
        <v>1292</v>
      </c>
      <c r="P367" t="str">
        <f>VLOOKUP(B367,PTN!A:B,2,FALSE)</f>
        <v>UNIVERSITAS NEGERI PADANG</v>
      </c>
      <c r="Q367" t="str">
        <f t="shared" si="5"/>
        <v>UNIVERSITAS NEGERI PADANGPENDIDIKAN LUAR SEKOLAH</v>
      </c>
    </row>
    <row r="368" spans="1:17" ht="15.75" thickBot="1" x14ac:dyDescent="0.3">
      <c r="A368" s="7">
        <v>367</v>
      </c>
      <c r="B368" s="6">
        <v>14</v>
      </c>
      <c r="C368" s="12">
        <v>1422321</v>
      </c>
      <c r="D368" t="s">
        <v>202</v>
      </c>
      <c r="E368" s="12">
        <v>18</v>
      </c>
      <c r="F368" s="10" t="s">
        <v>13</v>
      </c>
      <c r="I368" s="87"/>
      <c r="J368" s="138" t="s">
        <v>1292</v>
      </c>
      <c r="K368" s="138" t="s">
        <v>1292</v>
      </c>
      <c r="L368" s="138" t="s">
        <v>1292</v>
      </c>
      <c r="M368" s="28"/>
      <c r="N368" s="83" t="s">
        <v>1292</v>
      </c>
      <c r="P368" t="str">
        <f>VLOOKUP(B368,PTN!A:B,2,FALSE)</f>
        <v>UNIVERSITAS NEGERI PADANG</v>
      </c>
      <c r="Q368" t="str">
        <f t="shared" si="5"/>
        <v>UNIVERSITAS NEGERI PADANGPENDIDIKAN MUSIK</v>
      </c>
    </row>
    <row r="369" spans="1:17" ht="15.75" thickBot="1" x14ac:dyDescent="0.3">
      <c r="A369" s="7">
        <v>368</v>
      </c>
      <c r="B369" s="6">
        <v>14</v>
      </c>
      <c r="C369" s="13">
        <v>1422166</v>
      </c>
      <c r="D369" t="s">
        <v>75</v>
      </c>
      <c r="E369" s="13">
        <v>60</v>
      </c>
      <c r="F369" s="10" t="s">
        <v>13</v>
      </c>
      <c r="I369" s="26"/>
      <c r="J369" s="138" t="s">
        <v>1292</v>
      </c>
      <c r="K369" s="138" t="s">
        <v>1292</v>
      </c>
      <c r="L369" s="138" t="s">
        <v>1292</v>
      </c>
      <c r="M369" s="27"/>
      <c r="N369" s="83" t="s">
        <v>1292</v>
      </c>
      <c r="P369" t="str">
        <f>VLOOKUP(B369,PTN!A:B,2,FALSE)</f>
        <v>UNIVERSITAS NEGERI PADANG</v>
      </c>
      <c r="Q369" t="str">
        <f t="shared" si="5"/>
        <v>UNIVERSITAS NEGERI PADANGPENDIDIKAN SEJARAH</v>
      </c>
    </row>
    <row r="370" spans="1:17" ht="15.75" thickBot="1" x14ac:dyDescent="0.3">
      <c r="A370" s="7">
        <v>369</v>
      </c>
      <c r="B370" s="6">
        <v>14</v>
      </c>
      <c r="C370" s="12">
        <v>1422143</v>
      </c>
      <c r="D370" t="s">
        <v>203</v>
      </c>
      <c r="E370" s="12">
        <v>48</v>
      </c>
      <c r="F370" s="10" t="s">
        <v>13</v>
      </c>
      <c r="I370" s="87"/>
      <c r="J370" s="138" t="s">
        <v>1292</v>
      </c>
      <c r="K370" s="138" t="s">
        <v>1292</v>
      </c>
      <c r="L370" s="138" t="s">
        <v>1292</v>
      </c>
      <c r="M370" s="28"/>
      <c r="N370" s="83" t="s">
        <v>1292</v>
      </c>
      <c r="P370" t="str">
        <f>VLOOKUP(B370,PTN!A:B,2,FALSE)</f>
        <v>UNIVERSITAS NEGERI PADANG</v>
      </c>
      <c r="Q370" t="str">
        <f t="shared" si="5"/>
        <v>UNIVERSITAS NEGERI PADANGPENDIDIKAN SENDRATASIK</v>
      </c>
    </row>
    <row r="371" spans="1:17" ht="15.75" thickBot="1" x14ac:dyDescent="0.3">
      <c r="A371" s="7">
        <v>370</v>
      </c>
      <c r="B371" s="6">
        <v>14</v>
      </c>
      <c r="C371" s="13">
        <v>1422135</v>
      </c>
      <c r="D371" t="s">
        <v>131</v>
      </c>
      <c r="E371" s="13">
        <v>30</v>
      </c>
      <c r="F371" s="10" t="s">
        <v>13</v>
      </c>
      <c r="I371" s="26"/>
      <c r="J371" s="138">
        <v>450</v>
      </c>
      <c r="K371" s="138" t="s">
        <v>1292</v>
      </c>
      <c r="L371" s="138" t="s">
        <v>1292</v>
      </c>
      <c r="M371" s="27"/>
      <c r="N371" s="83">
        <v>450</v>
      </c>
      <c r="P371" t="str">
        <f>VLOOKUP(B371,PTN!A:B,2,FALSE)</f>
        <v>UNIVERSITAS NEGERI PADANG</v>
      </c>
      <c r="Q371" t="str">
        <f t="shared" si="5"/>
        <v>UNIVERSITAS NEGERI PADANGPENDIDIKAN SENI RUPA</v>
      </c>
    </row>
    <row r="372" spans="1:17" ht="15.75" thickBot="1" x14ac:dyDescent="0.3">
      <c r="A372" s="7">
        <v>371</v>
      </c>
      <c r="B372" s="6">
        <v>14</v>
      </c>
      <c r="C372" s="12">
        <v>1422174</v>
      </c>
      <c r="D372" t="s">
        <v>204</v>
      </c>
      <c r="E372" s="12">
        <v>36</v>
      </c>
      <c r="F372" s="10" t="s">
        <v>13</v>
      </c>
      <c r="I372" s="87"/>
      <c r="J372" s="138" t="s">
        <v>1292</v>
      </c>
      <c r="K372" s="138" t="s">
        <v>1292</v>
      </c>
      <c r="L372" s="138" t="s">
        <v>1292</v>
      </c>
      <c r="M372" s="28"/>
      <c r="N372" s="83" t="s">
        <v>1292</v>
      </c>
      <c r="P372" t="str">
        <f>VLOOKUP(B372,PTN!A:B,2,FALSE)</f>
        <v>UNIVERSITAS NEGERI PADANG</v>
      </c>
      <c r="Q372" t="str">
        <f t="shared" si="5"/>
        <v>UNIVERSITAS NEGERI PADANGPENDIDIKAN SOSIOLOGI ANTROPOLOGI</v>
      </c>
    </row>
    <row r="373" spans="1:17" ht="15.75" thickBot="1" x14ac:dyDescent="0.3">
      <c r="A373" s="7">
        <v>372</v>
      </c>
      <c r="B373" s="6">
        <v>14</v>
      </c>
      <c r="C373" s="13">
        <v>1422354</v>
      </c>
      <c r="D373" t="s">
        <v>205</v>
      </c>
      <c r="E373" s="13">
        <v>24</v>
      </c>
      <c r="F373" s="10" t="s">
        <v>13</v>
      </c>
      <c r="I373" s="26"/>
      <c r="J373" s="138" t="s">
        <v>1292</v>
      </c>
      <c r="K373" s="138" t="s">
        <v>1292</v>
      </c>
      <c r="L373" s="138" t="s">
        <v>1292</v>
      </c>
      <c r="M373" s="27"/>
      <c r="N373" s="83" t="s">
        <v>1292</v>
      </c>
      <c r="P373" t="str">
        <f>VLOOKUP(B373,PTN!A:B,2,FALSE)</f>
        <v>UNIVERSITAS NEGERI PADANG</v>
      </c>
      <c r="Q373" t="str">
        <f t="shared" si="5"/>
        <v>UNIVERSITAS NEGERI PADANGPENDIDIKAN TARI</v>
      </c>
    </row>
    <row r="374" spans="1:17" ht="15.75" thickBot="1" x14ac:dyDescent="0.3">
      <c r="A374" s="7">
        <v>373</v>
      </c>
      <c r="B374" s="6">
        <v>14</v>
      </c>
      <c r="C374" s="12">
        <v>1422182</v>
      </c>
      <c r="D374" t="s">
        <v>138</v>
      </c>
      <c r="E374" s="12">
        <v>36</v>
      </c>
      <c r="F374" s="10" t="s">
        <v>13</v>
      </c>
      <c r="I374" s="87"/>
      <c r="J374" s="138" t="s">
        <v>1292</v>
      </c>
      <c r="K374" s="138" t="s">
        <v>1292</v>
      </c>
      <c r="L374" s="138" t="s">
        <v>1292</v>
      </c>
      <c r="M374" s="28"/>
      <c r="N374" s="83" t="s">
        <v>1292</v>
      </c>
      <c r="P374" t="str">
        <f>VLOOKUP(B374,PTN!A:B,2,FALSE)</f>
        <v>UNIVERSITAS NEGERI PADANG</v>
      </c>
      <c r="Q374" t="str">
        <f t="shared" si="5"/>
        <v>UNIVERSITAS NEGERI PADANGPEND. PANCASILA &amp; KEWARGANEGARAAN (PPKN)</v>
      </c>
    </row>
    <row r="375" spans="1:17" ht="15.75" thickBot="1" x14ac:dyDescent="0.3">
      <c r="A375" s="7">
        <v>374</v>
      </c>
      <c r="B375" s="6">
        <v>14</v>
      </c>
      <c r="C375" s="13">
        <v>1422263</v>
      </c>
      <c r="D375" t="s">
        <v>206</v>
      </c>
      <c r="E375" s="13">
        <v>135</v>
      </c>
      <c r="F375" s="10" t="s">
        <v>13</v>
      </c>
      <c r="I375" s="26"/>
      <c r="J375" s="138" t="s">
        <v>1292</v>
      </c>
      <c r="K375" s="138" t="s">
        <v>1292</v>
      </c>
      <c r="L375" s="138" t="s">
        <v>1292</v>
      </c>
      <c r="M375" s="27"/>
      <c r="N375" s="83" t="s">
        <v>1292</v>
      </c>
      <c r="P375" t="str">
        <f>VLOOKUP(B375,PTN!A:B,2,FALSE)</f>
        <v>UNIVERSITAS NEGERI PADANG</v>
      </c>
      <c r="Q375" t="str">
        <f t="shared" si="5"/>
        <v>UNIVERSITAS NEGERI PADANGPENJASKESREK</v>
      </c>
    </row>
    <row r="376" spans="1:17" ht="15.75" thickBot="1" x14ac:dyDescent="0.3">
      <c r="A376" s="7">
        <v>375</v>
      </c>
      <c r="B376" s="6">
        <v>14</v>
      </c>
      <c r="C376" s="12">
        <v>1422344</v>
      </c>
      <c r="D376" t="s">
        <v>207</v>
      </c>
      <c r="E376" s="12">
        <v>24</v>
      </c>
      <c r="F376" s="10" t="s">
        <v>13</v>
      </c>
      <c r="I376" s="87"/>
      <c r="J376" s="138" t="s">
        <v>1292</v>
      </c>
      <c r="K376" s="138" t="s">
        <v>1292</v>
      </c>
      <c r="L376" s="138" t="s">
        <v>1292</v>
      </c>
      <c r="M376" s="28"/>
      <c r="N376" s="83" t="s">
        <v>1292</v>
      </c>
      <c r="P376" t="str">
        <f>VLOOKUP(B376,PTN!A:B,2,FALSE)</f>
        <v>UNIVERSITAS NEGERI PADANG</v>
      </c>
      <c r="Q376" t="str">
        <f t="shared" si="5"/>
        <v>UNIVERSITAS NEGERI PADANGPERPUSTAKAAN DAN ILMU INFORMASI</v>
      </c>
    </row>
    <row r="377" spans="1:17" ht="15.75" thickBot="1" x14ac:dyDescent="0.3">
      <c r="A377" s="7">
        <v>376</v>
      </c>
      <c r="B377" s="6">
        <v>14</v>
      </c>
      <c r="C377" s="13">
        <v>1422077</v>
      </c>
      <c r="D377" t="s">
        <v>208</v>
      </c>
      <c r="E377" s="13">
        <v>75</v>
      </c>
      <c r="F377" s="10" t="s">
        <v>13</v>
      </c>
      <c r="I377" s="26"/>
      <c r="J377" s="138" t="s">
        <v>1292</v>
      </c>
      <c r="K377" s="138" t="s">
        <v>1292</v>
      </c>
      <c r="L377" s="138" t="s">
        <v>1292</v>
      </c>
      <c r="M377" s="27"/>
      <c r="N377" s="83" t="s">
        <v>1292</v>
      </c>
      <c r="P377" t="str">
        <f>VLOOKUP(B377,PTN!A:B,2,FALSE)</f>
        <v>UNIVERSITAS NEGERI PADANG</v>
      </c>
      <c r="Q377" t="str">
        <f t="shared" si="5"/>
        <v>UNIVERSITAS NEGERI PADANGPGSD (PENDIDIKAN GURU SEKOLAH DASAR)</v>
      </c>
    </row>
    <row r="378" spans="1:17" ht="15.75" thickBot="1" x14ac:dyDescent="0.3">
      <c r="A378" s="7">
        <v>377</v>
      </c>
      <c r="B378" s="6">
        <v>14</v>
      </c>
      <c r="C378" s="12">
        <v>1422062</v>
      </c>
      <c r="D378" t="s">
        <v>36</v>
      </c>
      <c r="E378" s="12">
        <v>90</v>
      </c>
      <c r="F378" s="10" t="s">
        <v>13</v>
      </c>
      <c r="I378" s="87"/>
      <c r="J378" s="138" t="s">
        <v>1292</v>
      </c>
      <c r="K378" s="138" t="s">
        <v>1292</v>
      </c>
      <c r="L378" s="138" t="s">
        <v>1292</v>
      </c>
      <c r="M378" s="28"/>
      <c r="N378" s="83" t="s">
        <v>1292</v>
      </c>
      <c r="P378" t="str">
        <f>VLOOKUP(B378,PTN!A:B,2,FALSE)</f>
        <v>UNIVERSITAS NEGERI PADANG</v>
      </c>
      <c r="Q378" t="str">
        <f t="shared" si="5"/>
        <v>UNIVERSITAS NEGERI PADANGPSIKOLOGI</v>
      </c>
    </row>
    <row r="379" spans="1:17" ht="15.75" thickBot="1" x14ac:dyDescent="0.3">
      <c r="A379" s="7">
        <v>378</v>
      </c>
      <c r="B379" s="6">
        <v>14</v>
      </c>
      <c r="C379" s="13">
        <v>1422255</v>
      </c>
      <c r="D379" t="s">
        <v>209</v>
      </c>
      <c r="E379" s="13">
        <v>36</v>
      </c>
      <c r="F379" s="10" t="s">
        <v>13</v>
      </c>
      <c r="I379" s="26"/>
      <c r="J379" s="138" t="s">
        <v>1292</v>
      </c>
      <c r="K379" s="138" t="s">
        <v>1292</v>
      </c>
      <c r="L379" s="138" t="s">
        <v>1292</v>
      </c>
      <c r="M379" s="27"/>
      <c r="N379" s="83" t="s">
        <v>1292</v>
      </c>
      <c r="P379" t="str">
        <f>VLOOKUP(B379,PTN!A:B,2,FALSE)</f>
        <v>UNIVERSITAS NEGERI PADANG</v>
      </c>
      <c r="Q379" t="str">
        <f t="shared" si="5"/>
        <v>UNIVERSITAS NEGERI PADANGTATA RIAS DAN KECANTIKAN (NK)</v>
      </c>
    </row>
    <row r="380" spans="1:17" ht="15.75" thickBot="1" x14ac:dyDescent="0.3">
      <c r="A380" s="7">
        <v>379</v>
      </c>
      <c r="B380" s="6">
        <v>14</v>
      </c>
      <c r="C380" s="14">
        <v>1422031</v>
      </c>
      <c r="D380" t="s">
        <v>210</v>
      </c>
      <c r="E380" s="14">
        <v>36</v>
      </c>
      <c r="F380" s="10" t="s">
        <v>13</v>
      </c>
      <c r="I380" s="87"/>
      <c r="J380" s="138" t="s">
        <v>1292</v>
      </c>
      <c r="K380" s="138" t="s">
        <v>1292</v>
      </c>
      <c r="L380" s="138" t="s">
        <v>1292</v>
      </c>
      <c r="M380" s="28"/>
      <c r="N380" s="83" t="s">
        <v>1292</v>
      </c>
      <c r="P380" t="str">
        <f>VLOOKUP(B380,PTN!A:B,2,FALSE)</f>
        <v>UNIVERSITAS NEGERI PADANG</v>
      </c>
      <c r="Q380" t="str">
        <f t="shared" si="5"/>
        <v>UNIVERSITAS NEGERI PADANGTEKNOLOGI PENDIDIKAN</v>
      </c>
    </row>
    <row r="381" spans="1:17" ht="16.5" thickTop="1" thickBot="1" x14ac:dyDescent="0.3">
      <c r="A381" s="7">
        <v>380</v>
      </c>
      <c r="B381" s="6">
        <v>11</v>
      </c>
      <c r="C381" s="12">
        <v>1321115</v>
      </c>
      <c r="D381" t="s">
        <v>113</v>
      </c>
      <c r="E381" s="12">
        <v>8</v>
      </c>
      <c r="F381" s="10" t="s">
        <v>20</v>
      </c>
      <c r="I381" s="26"/>
      <c r="J381" s="138" t="s">
        <v>1292</v>
      </c>
      <c r="K381" s="138" t="s">
        <v>1292</v>
      </c>
      <c r="L381" s="138" t="s">
        <v>1292</v>
      </c>
      <c r="M381" s="27"/>
      <c r="N381" s="83" t="s">
        <v>1292</v>
      </c>
      <c r="P381" t="str">
        <f>VLOOKUP(B381,PTN!A:B,2,FALSE)</f>
        <v>UIN SULTAN SYARIF KASIM RIAU</v>
      </c>
      <c r="Q381" t="str">
        <f t="shared" si="5"/>
        <v>UIN SULTAN SYARIF KASIM RIAUGIZI</v>
      </c>
    </row>
    <row r="382" spans="1:17" ht="15.75" thickBot="1" x14ac:dyDescent="0.3">
      <c r="A382" s="7">
        <v>381</v>
      </c>
      <c r="B382" s="6">
        <v>11</v>
      </c>
      <c r="C382" s="13">
        <v>1321107</v>
      </c>
      <c r="D382" t="s">
        <v>211</v>
      </c>
      <c r="E382" s="13">
        <v>14</v>
      </c>
      <c r="F382" s="10" t="s">
        <v>20</v>
      </c>
      <c r="I382" s="20"/>
      <c r="J382" s="138" t="s">
        <v>1292</v>
      </c>
      <c r="K382" s="138" t="s">
        <v>1292</v>
      </c>
      <c r="L382" s="138" t="s">
        <v>1292</v>
      </c>
      <c r="M382" s="21"/>
      <c r="N382" s="83" t="s">
        <v>1292</v>
      </c>
      <c r="P382" t="str">
        <f>VLOOKUP(B382,PTN!A:B,2,FALSE)</f>
        <v>UIN SULTAN SYARIF KASIM RIAU</v>
      </c>
      <c r="Q382" t="str">
        <f t="shared" si="5"/>
        <v>UIN SULTAN SYARIF KASIM RIAUILMU PERTANIAN (AGROTEKNOLOGI)</v>
      </c>
    </row>
    <row r="383" spans="1:17" ht="15.75" thickBot="1" x14ac:dyDescent="0.3">
      <c r="A383" s="7">
        <v>382</v>
      </c>
      <c r="B383" s="6">
        <v>11</v>
      </c>
      <c r="C383" s="12">
        <v>1321011</v>
      </c>
      <c r="D383" t="s">
        <v>212</v>
      </c>
      <c r="E383" s="12">
        <v>14</v>
      </c>
      <c r="F383" s="10" t="s">
        <v>20</v>
      </c>
      <c r="I383" s="22"/>
      <c r="J383" s="138" t="s">
        <v>1292</v>
      </c>
      <c r="K383" s="138" t="s">
        <v>1292</v>
      </c>
      <c r="L383" s="138" t="s">
        <v>1292</v>
      </c>
      <c r="M383" s="21"/>
      <c r="N383" s="83" t="s">
        <v>1292</v>
      </c>
      <c r="P383" t="str">
        <f>VLOOKUP(B383,PTN!A:B,2,FALSE)</f>
        <v>UIN SULTAN SYARIF KASIM RIAU</v>
      </c>
      <c r="Q383" t="str">
        <f t="shared" si="5"/>
        <v>UIN SULTAN SYARIF KASIM RIAUILMU PETERNAKAN</v>
      </c>
    </row>
    <row r="384" spans="1:17" ht="16.5" thickTop="1" thickBot="1" x14ac:dyDescent="0.3">
      <c r="A384" s="7">
        <v>383</v>
      </c>
      <c r="B384" s="6">
        <v>11</v>
      </c>
      <c r="C384" s="13">
        <v>1321026</v>
      </c>
      <c r="D384" t="s">
        <v>66</v>
      </c>
      <c r="E384" s="13">
        <v>8</v>
      </c>
      <c r="F384" s="10" t="s">
        <v>20</v>
      </c>
      <c r="I384" s="23"/>
      <c r="J384" s="138" t="s">
        <v>1292</v>
      </c>
      <c r="K384" s="138" t="s">
        <v>1292</v>
      </c>
      <c r="L384" s="138" t="s">
        <v>1292</v>
      </c>
      <c r="M384" s="25"/>
      <c r="N384" s="83" t="s">
        <v>1292</v>
      </c>
      <c r="P384" t="str">
        <f>VLOOKUP(B384,PTN!A:B,2,FALSE)</f>
        <v>UIN SULTAN SYARIF KASIM RIAU</v>
      </c>
      <c r="Q384" t="str">
        <f t="shared" si="5"/>
        <v>UIN SULTAN SYARIF KASIM RIAUMATEMATIKA</v>
      </c>
    </row>
    <row r="385" spans="1:17" ht="16.5" thickTop="1" thickBot="1" x14ac:dyDescent="0.3">
      <c r="A385" s="7">
        <v>384</v>
      </c>
      <c r="B385" s="6">
        <v>11</v>
      </c>
      <c r="C385" s="12">
        <v>1321096</v>
      </c>
      <c r="D385" t="s">
        <v>43</v>
      </c>
      <c r="E385" s="12">
        <v>12</v>
      </c>
      <c r="F385" s="10" t="s">
        <v>20</v>
      </c>
      <c r="I385" s="26"/>
      <c r="J385" s="138" t="s">
        <v>1292</v>
      </c>
      <c r="K385" s="138" t="s">
        <v>1292</v>
      </c>
      <c r="L385" s="138" t="s">
        <v>1292</v>
      </c>
      <c r="M385" s="27"/>
      <c r="N385" s="83" t="s">
        <v>1292</v>
      </c>
      <c r="P385" t="str">
        <f>VLOOKUP(B385,PTN!A:B,2,FALSE)</f>
        <v>UIN SULTAN SYARIF KASIM RIAU</v>
      </c>
      <c r="Q385" t="str">
        <f t="shared" si="5"/>
        <v>UIN SULTAN SYARIF KASIM RIAUPENDIDIKAN KIMIA</v>
      </c>
    </row>
    <row r="386" spans="1:17" ht="15.75" thickBot="1" x14ac:dyDescent="0.3">
      <c r="A386" s="7">
        <v>385</v>
      </c>
      <c r="B386" s="6">
        <v>11</v>
      </c>
      <c r="C386" s="13">
        <v>1321081</v>
      </c>
      <c r="D386" t="s">
        <v>44</v>
      </c>
      <c r="E386" s="13">
        <v>18</v>
      </c>
      <c r="F386" s="10" t="s">
        <v>20</v>
      </c>
      <c r="I386" s="87"/>
      <c r="J386" s="138" t="s">
        <v>1292</v>
      </c>
      <c r="K386" s="138" t="s">
        <v>1292</v>
      </c>
      <c r="L386" s="138" t="s">
        <v>1292</v>
      </c>
      <c r="M386" s="28"/>
      <c r="N386" s="83" t="s">
        <v>1292</v>
      </c>
      <c r="P386" t="str">
        <f>VLOOKUP(B386,PTN!A:B,2,FALSE)</f>
        <v>UIN SULTAN SYARIF KASIM RIAU</v>
      </c>
      <c r="Q386" t="str">
        <f t="shared" si="5"/>
        <v>UIN SULTAN SYARIF KASIM RIAUPENDIDIKAN MATEMATIKA</v>
      </c>
    </row>
    <row r="387" spans="1:17" ht="15.75" thickBot="1" x14ac:dyDescent="0.3">
      <c r="A387" s="7">
        <v>386</v>
      </c>
      <c r="B387" s="6">
        <v>11</v>
      </c>
      <c r="C387" s="12">
        <v>1321034</v>
      </c>
      <c r="D387" t="s">
        <v>46</v>
      </c>
      <c r="E387" s="12">
        <v>8</v>
      </c>
      <c r="F387" s="10" t="s">
        <v>20</v>
      </c>
      <c r="I387" s="26"/>
      <c r="J387" s="138" t="s">
        <v>1292</v>
      </c>
      <c r="K387" s="138" t="s">
        <v>1292</v>
      </c>
      <c r="L387" s="138" t="s">
        <v>1292</v>
      </c>
      <c r="M387" s="27"/>
      <c r="N387" s="83" t="s">
        <v>1292</v>
      </c>
      <c r="P387" t="str">
        <f>VLOOKUP(B387,PTN!A:B,2,FALSE)</f>
        <v>UIN SULTAN SYARIF KASIM RIAU</v>
      </c>
      <c r="Q387" t="str">
        <f t="shared" ref="Q387:Q450" si="6">P387&amp;D387</f>
        <v>UIN SULTAN SYARIF KASIM RIAUSISTEM INFORMASI</v>
      </c>
    </row>
    <row r="388" spans="1:17" ht="15.75" thickBot="1" x14ac:dyDescent="0.3">
      <c r="A388" s="7">
        <v>387</v>
      </c>
      <c r="B388" s="6">
        <v>11</v>
      </c>
      <c r="C388" s="13">
        <v>1321042</v>
      </c>
      <c r="D388" t="s">
        <v>48</v>
      </c>
      <c r="E388" s="13">
        <v>8</v>
      </c>
      <c r="F388" s="10" t="s">
        <v>20</v>
      </c>
      <c r="I388" s="87"/>
      <c r="J388" s="138" t="s">
        <v>1292</v>
      </c>
      <c r="K388" s="138" t="s">
        <v>1292</v>
      </c>
      <c r="L388" s="138" t="s">
        <v>1292</v>
      </c>
      <c r="M388" s="28"/>
      <c r="N388" s="83" t="s">
        <v>1292</v>
      </c>
      <c r="P388" t="str">
        <f>VLOOKUP(B388,PTN!A:B,2,FALSE)</f>
        <v>UIN SULTAN SYARIF KASIM RIAU</v>
      </c>
      <c r="Q388" t="str">
        <f t="shared" si="6"/>
        <v>UIN SULTAN SYARIF KASIM RIAUTEKNIK ELEKTRO</v>
      </c>
    </row>
    <row r="389" spans="1:17" ht="15.75" thickBot="1" x14ac:dyDescent="0.3">
      <c r="A389" s="7">
        <v>388</v>
      </c>
      <c r="B389" s="6">
        <v>11</v>
      </c>
      <c r="C389" s="12">
        <v>1321057</v>
      </c>
      <c r="D389" t="s">
        <v>49</v>
      </c>
      <c r="E389" s="12">
        <v>8</v>
      </c>
      <c r="F389" s="10" t="s">
        <v>20</v>
      </c>
      <c r="I389" s="26"/>
      <c r="J389" s="138" t="s">
        <v>1292</v>
      </c>
      <c r="K389" s="138" t="s">
        <v>1292</v>
      </c>
      <c r="L389" s="138" t="s">
        <v>1292</v>
      </c>
      <c r="M389" s="27"/>
      <c r="N389" s="83" t="s">
        <v>1292</v>
      </c>
      <c r="P389" t="str">
        <f>VLOOKUP(B389,PTN!A:B,2,FALSE)</f>
        <v>UIN SULTAN SYARIF KASIM RIAU</v>
      </c>
      <c r="Q389" t="str">
        <f t="shared" si="6"/>
        <v>UIN SULTAN SYARIF KASIM RIAUTEKNIK INDUSTRI</v>
      </c>
    </row>
    <row r="390" spans="1:17" ht="15.75" thickBot="1" x14ac:dyDescent="0.3">
      <c r="A390" s="7">
        <v>389</v>
      </c>
      <c r="B390" s="6">
        <v>11</v>
      </c>
      <c r="C390" s="16">
        <v>1321065</v>
      </c>
      <c r="D390" t="s">
        <v>50</v>
      </c>
      <c r="E390" s="16">
        <v>8</v>
      </c>
      <c r="F390" s="10" t="s">
        <v>20</v>
      </c>
      <c r="I390" s="20"/>
      <c r="J390" s="138" t="s">
        <v>1292</v>
      </c>
      <c r="K390" s="138" t="s">
        <v>1292</v>
      </c>
      <c r="L390" s="138" t="s">
        <v>1292</v>
      </c>
      <c r="M390" s="21"/>
      <c r="N390" s="83" t="s">
        <v>1292</v>
      </c>
      <c r="P390" t="str">
        <f>VLOOKUP(B390,PTN!A:B,2,FALSE)</f>
        <v>UIN SULTAN SYARIF KASIM RIAU</v>
      </c>
      <c r="Q390" t="str">
        <f t="shared" si="6"/>
        <v>UIN SULTAN SYARIF KASIM RIAUTEKNIK INFORMATIKA</v>
      </c>
    </row>
    <row r="391" spans="1:17" ht="16.5" thickTop="1" thickBot="1" x14ac:dyDescent="0.3">
      <c r="A391" s="7">
        <v>390</v>
      </c>
      <c r="B391" s="6">
        <v>11</v>
      </c>
      <c r="C391" s="12">
        <v>1322014</v>
      </c>
      <c r="D391" t="s">
        <v>55</v>
      </c>
      <c r="E391" s="12">
        <v>18</v>
      </c>
      <c r="F391" s="10" t="s">
        <v>13</v>
      </c>
      <c r="I391" s="22"/>
      <c r="J391" s="138" t="s">
        <v>1292</v>
      </c>
      <c r="K391" s="138" t="s">
        <v>1292</v>
      </c>
      <c r="L391" s="138" t="s">
        <v>1292</v>
      </c>
      <c r="M391" s="21"/>
      <c r="N391" s="83" t="s">
        <v>1292</v>
      </c>
      <c r="P391" t="str">
        <f>VLOOKUP(B391,PTN!A:B,2,FALSE)</f>
        <v>UIN SULTAN SYARIF KASIM RIAU</v>
      </c>
      <c r="Q391" t="str">
        <f t="shared" si="6"/>
        <v>UIN SULTAN SYARIF KASIM RIAUAKUNTANSI</v>
      </c>
    </row>
    <row r="392" spans="1:17" ht="16.5" thickTop="1" thickBot="1" x14ac:dyDescent="0.3">
      <c r="A392" s="7">
        <v>391</v>
      </c>
      <c r="B392" s="6">
        <v>11</v>
      </c>
      <c r="C392" s="13">
        <v>1322022</v>
      </c>
      <c r="D392" t="s">
        <v>29</v>
      </c>
      <c r="E392" s="13">
        <v>18</v>
      </c>
      <c r="F392" s="10" t="s">
        <v>13</v>
      </c>
      <c r="I392" s="23"/>
      <c r="J392" s="138" t="s">
        <v>1292</v>
      </c>
      <c r="K392" s="138" t="s">
        <v>1292</v>
      </c>
      <c r="L392" s="138" t="s">
        <v>1292</v>
      </c>
      <c r="M392" s="25"/>
      <c r="N392" s="83" t="s">
        <v>1292</v>
      </c>
      <c r="P392" t="str">
        <f>VLOOKUP(B392,PTN!A:B,2,FALSE)</f>
        <v>UIN SULTAN SYARIF KASIM RIAU</v>
      </c>
      <c r="Q392" t="str">
        <f t="shared" si="6"/>
        <v>UIN SULTAN SYARIF KASIM RIAUILMU ADMINISTRASI NEGARA</v>
      </c>
    </row>
    <row r="393" spans="1:17" ht="16.5" thickTop="1" thickBot="1" x14ac:dyDescent="0.3">
      <c r="A393" s="7">
        <v>392</v>
      </c>
      <c r="B393" s="6">
        <v>11</v>
      </c>
      <c r="C393" s="12">
        <v>1322053</v>
      </c>
      <c r="D393" t="s">
        <v>31</v>
      </c>
      <c r="E393" s="12">
        <v>30</v>
      </c>
      <c r="F393" s="10" t="s">
        <v>13</v>
      </c>
      <c r="I393" s="26"/>
      <c r="J393" s="138" t="s">
        <v>1292</v>
      </c>
      <c r="K393" s="138" t="s">
        <v>1292</v>
      </c>
      <c r="L393" s="138" t="s">
        <v>1292</v>
      </c>
      <c r="M393" s="27"/>
      <c r="N393" s="83" t="s">
        <v>1292</v>
      </c>
      <c r="P393" t="str">
        <f>VLOOKUP(B393,PTN!A:B,2,FALSE)</f>
        <v>UIN SULTAN SYARIF KASIM RIAU</v>
      </c>
      <c r="Q393" t="str">
        <f t="shared" si="6"/>
        <v>UIN SULTAN SYARIF KASIM RIAUILMU HUKUM</v>
      </c>
    </row>
    <row r="394" spans="1:17" ht="15.75" thickBot="1" x14ac:dyDescent="0.3">
      <c r="A394" s="7">
        <v>393</v>
      </c>
      <c r="B394" s="6">
        <v>11</v>
      </c>
      <c r="C394" s="13">
        <v>1322223</v>
      </c>
      <c r="D394" t="s">
        <v>60</v>
      </c>
      <c r="E394" s="13">
        <v>18</v>
      </c>
      <c r="F394" s="10" t="s">
        <v>13</v>
      </c>
      <c r="I394" s="87"/>
      <c r="J394" s="138" t="s">
        <v>1292</v>
      </c>
      <c r="K394" s="138" t="s">
        <v>1292</v>
      </c>
      <c r="L394" s="138" t="s">
        <v>1292</v>
      </c>
      <c r="M394" s="28"/>
      <c r="N394" s="83" t="s">
        <v>1292</v>
      </c>
      <c r="P394" t="str">
        <f>VLOOKUP(B394,PTN!A:B,2,FALSE)</f>
        <v>UIN SULTAN SYARIF KASIM RIAU</v>
      </c>
      <c r="Q394" t="str">
        <f t="shared" si="6"/>
        <v>UIN SULTAN SYARIF KASIM RIAUILMU KOMUNIKASI</v>
      </c>
    </row>
    <row r="395" spans="1:17" ht="15.75" thickBot="1" x14ac:dyDescent="0.3">
      <c r="A395" s="7">
        <v>394</v>
      </c>
      <c r="B395" s="6">
        <v>11</v>
      </c>
      <c r="C395" s="12">
        <v>1322037</v>
      </c>
      <c r="D395" t="s">
        <v>61</v>
      </c>
      <c r="E395" s="12">
        <v>18</v>
      </c>
      <c r="F395" s="10" t="s">
        <v>13</v>
      </c>
      <c r="I395" s="26"/>
      <c r="J395" s="138" t="s">
        <v>1292</v>
      </c>
      <c r="K395" s="138" t="s">
        <v>1292</v>
      </c>
      <c r="L395" s="138" t="s">
        <v>1292</v>
      </c>
      <c r="M395" s="27"/>
      <c r="N395" s="83" t="s">
        <v>1292</v>
      </c>
      <c r="P395" t="str">
        <f>VLOOKUP(B395,PTN!A:B,2,FALSE)</f>
        <v>UIN SULTAN SYARIF KASIM RIAU</v>
      </c>
      <c r="Q395" t="str">
        <f t="shared" si="6"/>
        <v>UIN SULTAN SYARIF KASIM RIAUMANAJEMEN</v>
      </c>
    </row>
    <row r="396" spans="1:17" ht="15.75" thickBot="1" x14ac:dyDescent="0.3">
      <c r="A396" s="7">
        <v>395</v>
      </c>
      <c r="B396" s="6">
        <v>11</v>
      </c>
      <c r="C396" s="13">
        <v>1322262</v>
      </c>
      <c r="D396" t="s">
        <v>70</v>
      </c>
      <c r="E396" s="13">
        <v>12</v>
      </c>
      <c r="F396" s="10" t="s">
        <v>13</v>
      </c>
      <c r="I396" s="87"/>
      <c r="J396" s="138" t="s">
        <v>1292</v>
      </c>
      <c r="K396" s="138" t="s">
        <v>1292</v>
      </c>
      <c r="L396" s="138" t="s">
        <v>1292</v>
      </c>
      <c r="M396" s="28"/>
      <c r="N396" s="83" t="s">
        <v>1292</v>
      </c>
      <c r="P396" t="str">
        <f>VLOOKUP(B396,PTN!A:B,2,FALSE)</f>
        <v>UIN SULTAN SYARIF KASIM RIAU</v>
      </c>
      <c r="Q396" t="str">
        <f t="shared" si="6"/>
        <v>UIN SULTAN SYARIF KASIM RIAUPENDIDIKAN BAHASA INDONESIA</v>
      </c>
    </row>
    <row r="397" spans="1:17" ht="15.75" thickBot="1" x14ac:dyDescent="0.3">
      <c r="A397" s="7">
        <v>396</v>
      </c>
      <c r="B397" s="6">
        <v>11</v>
      </c>
      <c r="C397" s="12">
        <v>1322111</v>
      </c>
      <c r="D397" t="s">
        <v>100</v>
      </c>
      <c r="E397" s="12">
        <v>18</v>
      </c>
      <c r="F397" s="10" t="s">
        <v>13</v>
      </c>
      <c r="I397" s="26"/>
      <c r="J397" s="138" t="s">
        <v>1292</v>
      </c>
      <c r="K397" s="138" t="s">
        <v>1292</v>
      </c>
      <c r="L397" s="138" t="s">
        <v>1292</v>
      </c>
      <c r="M397" s="27"/>
      <c r="N397" s="83" t="s">
        <v>1292</v>
      </c>
      <c r="P397" t="str">
        <f>VLOOKUP(B397,PTN!A:B,2,FALSE)</f>
        <v>UIN SULTAN SYARIF KASIM RIAU</v>
      </c>
      <c r="Q397" t="str">
        <f t="shared" si="6"/>
        <v>UIN SULTAN SYARIF KASIM RIAUPENDIDIKAN EKONOMI</v>
      </c>
    </row>
    <row r="398" spans="1:17" ht="15.75" thickBot="1" x14ac:dyDescent="0.3">
      <c r="A398" s="7">
        <v>397</v>
      </c>
      <c r="B398" s="6">
        <v>11</v>
      </c>
      <c r="C398" s="13">
        <v>1322277</v>
      </c>
      <c r="D398" t="s">
        <v>72</v>
      </c>
      <c r="E398" s="13">
        <v>12</v>
      </c>
      <c r="F398" s="10" t="s">
        <v>13</v>
      </c>
      <c r="I398" s="87"/>
      <c r="J398" s="138" t="s">
        <v>1292</v>
      </c>
      <c r="K398" s="138" t="s">
        <v>1292</v>
      </c>
      <c r="L398" s="138" t="s">
        <v>1292</v>
      </c>
      <c r="M398" s="28"/>
      <c r="N398" s="83" t="s">
        <v>1292</v>
      </c>
      <c r="P398" t="str">
        <f>VLOOKUP(B398,PTN!A:B,2,FALSE)</f>
        <v>UIN SULTAN SYARIF KASIM RIAU</v>
      </c>
      <c r="Q398" t="str">
        <f t="shared" si="6"/>
        <v>UIN SULTAN SYARIF KASIM RIAUPENDIDIKAN GEOGRAFI</v>
      </c>
    </row>
    <row r="399" spans="1:17" ht="15.75" thickBot="1" x14ac:dyDescent="0.3">
      <c r="A399" s="7">
        <v>398</v>
      </c>
      <c r="B399" s="6">
        <v>11</v>
      </c>
      <c r="C399" s="14">
        <v>1322045</v>
      </c>
      <c r="D399" t="s">
        <v>36</v>
      </c>
      <c r="E399" s="14">
        <v>18</v>
      </c>
      <c r="F399" s="10" t="s">
        <v>13</v>
      </c>
      <c r="I399" s="26"/>
      <c r="J399" s="138" t="s">
        <v>1292</v>
      </c>
      <c r="K399" s="138" t="s">
        <v>1292</v>
      </c>
      <c r="L399" s="138" t="s">
        <v>1292</v>
      </c>
      <c r="M399" s="27"/>
      <c r="N399" s="83" t="s">
        <v>1292</v>
      </c>
      <c r="P399" t="str">
        <f>VLOOKUP(B399,PTN!A:B,2,FALSE)</f>
        <v>UIN SULTAN SYARIF KASIM RIAU</v>
      </c>
      <c r="Q399" t="str">
        <f t="shared" si="6"/>
        <v>UIN SULTAN SYARIF KASIM RIAUPSIKOLOGI</v>
      </c>
    </row>
    <row r="400" spans="1:17" ht="16.5" thickTop="1" thickBot="1" x14ac:dyDescent="0.3">
      <c r="A400" s="7">
        <v>399</v>
      </c>
      <c r="B400" s="6">
        <v>10</v>
      </c>
      <c r="C400" s="12">
        <v>1311113</v>
      </c>
      <c r="D400" t="s">
        <v>64</v>
      </c>
      <c r="E400" s="12">
        <v>60</v>
      </c>
      <c r="F400" s="10" t="s">
        <v>20</v>
      </c>
      <c r="I400" s="20"/>
      <c r="J400" s="138">
        <v>550</v>
      </c>
      <c r="K400" s="138" t="s">
        <v>1292</v>
      </c>
      <c r="L400" s="138" t="s">
        <v>1292</v>
      </c>
      <c r="M400" s="21"/>
      <c r="N400" s="83">
        <v>550</v>
      </c>
      <c r="P400" t="str">
        <f>VLOOKUP(B400,PTN!A:B,2,FALSE)</f>
        <v>UNIVERSITAS RIAU</v>
      </c>
      <c r="Q400" t="str">
        <f t="shared" si="6"/>
        <v>UNIVERSITAS RIAUAGROTEKNOLOGI</v>
      </c>
    </row>
    <row r="401" spans="1:17" ht="15.75" thickBot="1" x14ac:dyDescent="0.3">
      <c r="A401" s="7">
        <v>400</v>
      </c>
      <c r="B401" s="6">
        <v>10</v>
      </c>
      <c r="C401" s="13">
        <v>1311047</v>
      </c>
      <c r="D401" t="s">
        <v>21</v>
      </c>
      <c r="E401" s="13">
        <v>36</v>
      </c>
      <c r="F401" s="10" t="s">
        <v>20</v>
      </c>
      <c r="I401" s="22"/>
      <c r="J401" s="138" t="s">
        <v>1292</v>
      </c>
      <c r="K401" s="138" t="s">
        <v>1292</v>
      </c>
      <c r="L401" s="138" t="s">
        <v>1292</v>
      </c>
      <c r="M401" s="21"/>
      <c r="N401" s="83" t="s">
        <v>1292</v>
      </c>
      <c r="P401" t="str">
        <f>VLOOKUP(B401,PTN!A:B,2,FALSE)</f>
        <v>UNIVERSITAS RIAU</v>
      </c>
      <c r="Q401" t="str">
        <f t="shared" si="6"/>
        <v>UNIVERSITAS RIAUBIOLOGI</v>
      </c>
    </row>
    <row r="402" spans="1:17" ht="16.5" thickTop="1" thickBot="1" x14ac:dyDescent="0.3">
      <c r="A402" s="7">
        <v>401</v>
      </c>
      <c r="B402" s="6">
        <v>10</v>
      </c>
      <c r="C402" s="12">
        <v>1311063</v>
      </c>
      <c r="D402" t="s">
        <v>39</v>
      </c>
      <c r="E402" s="12">
        <v>36</v>
      </c>
      <c r="F402" s="10" t="s">
        <v>20</v>
      </c>
      <c r="I402" s="23"/>
      <c r="J402" s="138" t="s">
        <v>1292</v>
      </c>
      <c r="K402" s="138" t="s">
        <v>1292</v>
      </c>
      <c r="L402" s="138" t="s">
        <v>1292</v>
      </c>
      <c r="M402" s="25"/>
      <c r="N402" s="83" t="s">
        <v>1292</v>
      </c>
      <c r="P402" t="str">
        <f>VLOOKUP(B402,PTN!A:B,2,FALSE)</f>
        <v>UNIVERSITAS RIAU</v>
      </c>
      <c r="Q402" t="str">
        <f t="shared" si="6"/>
        <v>UNIVERSITAS RIAUBUDIDAYA PERAIRAN</v>
      </c>
    </row>
    <row r="403" spans="1:17" ht="16.5" thickTop="1" thickBot="1" x14ac:dyDescent="0.3">
      <c r="A403" s="7">
        <v>402</v>
      </c>
      <c r="B403" s="6">
        <v>10</v>
      </c>
      <c r="C403" s="13">
        <v>1311016</v>
      </c>
      <c r="D403" t="s">
        <v>65</v>
      </c>
      <c r="E403" s="13">
        <v>36</v>
      </c>
      <c r="F403" s="10" t="s">
        <v>20</v>
      </c>
      <c r="I403" s="26"/>
      <c r="J403" s="138" t="s">
        <v>1292</v>
      </c>
      <c r="K403" s="138" t="s">
        <v>1292</v>
      </c>
      <c r="L403" s="138" t="s">
        <v>1292</v>
      </c>
      <c r="M403" s="27"/>
      <c r="N403" s="83" t="s">
        <v>1292</v>
      </c>
      <c r="P403" t="str">
        <f>VLOOKUP(B403,PTN!A:B,2,FALSE)</f>
        <v>UNIVERSITAS RIAU</v>
      </c>
      <c r="Q403" t="str">
        <f t="shared" si="6"/>
        <v>UNIVERSITAS RIAUFISIKA</v>
      </c>
    </row>
    <row r="404" spans="1:17" ht="15.75" thickBot="1" x14ac:dyDescent="0.3">
      <c r="A404" s="7">
        <v>403</v>
      </c>
      <c r="B404" s="6">
        <v>10</v>
      </c>
      <c r="C404" s="12">
        <v>1311071</v>
      </c>
      <c r="D404" t="s">
        <v>40</v>
      </c>
      <c r="E404" s="12">
        <v>36</v>
      </c>
      <c r="F404" s="10" t="s">
        <v>20</v>
      </c>
      <c r="I404" s="87"/>
      <c r="J404" s="138" t="s">
        <v>1292</v>
      </c>
      <c r="K404" s="138" t="s">
        <v>1292</v>
      </c>
      <c r="L404" s="138" t="s">
        <v>1292</v>
      </c>
      <c r="M404" s="28"/>
      <c r="N404" s="83" t="s">
        <v>1292</v>
      </c>
      <c r="P404" t="str">
        <f>VLOOKUP(B404,PTN!A:B,2,FALSE)</f>
        <v>UNIVERSITAS RIAU</v>
      </c>
      <c r="Q404" t="str">
        <f t="shared" si="6"/>
        <v>UNIVERSITAS RIAUILMU KELAUTAN</v>
      </c>
    </row>
    <row r="405" spans="1:17" ht="15.75" thickBot="1" x14ac:dyDescent="0.3">
      <c r="A405" s="7">
        <v>404</v>
      </c>
      <c r="B405" s="6">
        <v>10</v>
      </c>
      <c r="C405" s="13">
        <v>1311202</v>
      </c>
      <c r="D405" t="s">
        <v>78</v>
      </c>
      <c r="E405" s="13">
        <v>60</v>
      </c>
      <c r="F405" s="10" t="s">
        <v>20</v>
      </c>
      <c r="I405" s="26"/>
      <c r="J405" s="138" t="s">
        <v>1292</v>
      </c>
      <c r="K405" s="138" t="s">
        <v>1292</v>
      </c>
      <c r="L405" s="138" t="s">
        <v>1292</v>
      </c>
      <c r="M405" s="27"/>
      <c r="N405" s="83" t="s">
        <v>1292</v>
      </c>
      <c r="P405" t="str">
        <f>VLOOKUP(B405,PTN!A:B,2,FALSE)</f>
        <v>UNIVERSITAS RIAU</v>
      </c>
      <c r="Q405" t="str">
        <f t="shared" si="6"/>
        <v>UNIVERSITAS RIAUILMU KEPERAWATAN</v>
      </c>
    </row>
    <row r="406" spans="1:17" ht="15.75" thickBot="1" x14ac:dyDescent="0.3">
      <c r="A406" s="7">
        <v>405</v>
      </c>
      <c r="B406" s="6">
        <v>10</v>
      </c>
      <c r="C406" s="12">
        <v>1311144</v>
      </c>
      <c r="D406" t="s">
        <v>81</v>
      </c>
      <c r="E406" s="12">
        <v>24</v>
      </c>
      <c r="F406" s="10" t="s">
        <v>20</v>
      </c>
      <c r="I406" s="87"/>
      <c r="J406" s="138" t="s">
        <v>1292</v>
      </c>
      <c r="K406" s="138" t="s">
        <v>1292</v>
      </c>
      <c r="L406" s="138" t="s">
        <v>1292</v>
      </c>
      <c r="M406" s="28"/>
      <c r="N406" s="83" t="s">
        <v>1292</v>
      </c>
      <c r="P406" t="str">
        <f>VLOOKUP(B406,PTN!A:B,2,FALSE)</f>
        <v>UNIVERSITAS RIAU</v>
      </c>
      <c r="Q406" t="str">
        <f t="shared" si="6"/>
        <v>UNIVERSITAS RIAUKEHUTANAN</v>
      </c>
    </row>
    <row r="407" spans="1:17" ht="15.75" thickBot="1" x14ac:dyDescent="0.3">
      <c r="A407" s="7">
        <v>406</v>
      </c>
      <c r="B407" s="6">
        <v>10</v>
      </c>
      <c r="C407" s="13">
        <v>1311024</v>
      </c>
      <c r="D407" t="s">
        <v>22</v>
      </c>
      <c r="E407" s="13">
        <v>36</v>
      </c>
      <c r="F407" s="10" t="s">
        <v>20</v>
      </c>
      <c r="I407" s="26"/>
      <c r="J407" s="138" t="s">
        <v>1292</v>
      </c>
      <c r="K407" s="138" t="s">
        <v>1292</v>
      </c>
      <c r="L407" s="138" t="s">
        <v>1292</v>
      </c>
      <c r="M407" s="27"/>
      <c r="N407" s="83" t="s">
        <v>1292</v>
      </c>
      <c r="P407" t="str">
        <f>VLOOKUP(B407,PTN!A:B,2,FALSE)</f>
        <v>UNIVERSITAS RIAU</v>
      </c>
      <c r="Q407" t="str">
        <f t="shared" si="6"/>
        <v>UNIVERSITAS RIAUKIMIA</v>
      </c>
    </row>
    <row r="408" spans="1:17" ht="15.75" thickBot="1" x14ac:dyDescent="0.3">
      <c r="A408" s="7">
        <v>407</v>
      </c>
      <c r="B408" s="6">
        <v>10</v>
      </c>
      <c r="C408" s="12">
        <v>1311055</v>
      </c>
      <c r="D408" t="s">
        <v>213</v>
      </c>
      <c r="E408" s="12">
        <v>36</v>
      </c>
      <c r="F408" s="10" t="s">
        <v>20</v>
      </c>
      <c r="I408" s="87"/>
      <c r="J408" s="138" t="s">
        <v>1292</v>
      </c>
      <c r="K408" s="138" t="s">
        <v>1292</v>
      </c>
      <c r="L408" s="138" t="s">
        <v>1292</v>
      </c>
      <c r="M408" s="28"/>
      <c r="N408" s="83" t="s">
        <v>1292</v>
      </c>
      <c r="P408" t="str">
        <f>VLOOKUP(B408,PTN!A:B,2,FALSE)</f>
        <v>UNIVERSITAS RIAU</v>
      </c>
      <c r="Q408" t="str">
        <f t="shared" si="6"/>
        <v>UNIVERSITAS RIAUMANAJEMEN SUMBERDAYA PERAIRAN</v>
      </c>
    </row>
    <row r="409" spans="1:17" ht="15.75" thickBot="1" x14ac:dyDescent="0.3">
      <c r="A409" s="7">
        <v>408</v>
      </c>
      <c r="B409" s="6">
        <v>10</v>
      </c>
      <c r="C409" s="13">
        <v>1311032</v>
      </c>
      <c r="D409" t="s">
        <v>66</v>
      </c>
      <c r="E409" s="13">
        <v>24</v>
      </c>
      <c r="F409" s="10" t="s">
        <v>20</v>
      </c>
      <c r="I409" s="26"/>
      <c r="J409" s="138" t="s">
        <v>1292</v>
      </c>
      <c r="K409" s="138" t="s">
        <v>1292</v>
      </c>
      <c r="L409" s="138" t="s">
        <v>1292</v>
      </c>
      <c r="M409" s="27"/>
      <c r="N409" s="83" t="s">
        <v>1292</v>
      </c>
      <c r="P409" t="str">
        <f>VLOOKUP(B409,PTN!A:B,2,FALSE)</f>
        <v>UNIVERSITAS RIAU</v>
      </c>
      <c r="Q409" t="str">
        <f t="shared" si="6"/>
        <v>UNIVERSITAS RIAUMATEMATIKA</v>
      </c>
    </row>
    <row r="410" spans="1:17" ht="15.75" thickBot="1" x14ac:dyDescent="0.3">
      <c r="A410" s="7">
        <v>409</v>
      </c>
      <c r="B410" s="6">
        <v>10</v>
      </c>
      <c r="C410" s="12">
        <v>1311094</v>
      </c>
      <c r="D410" t="s">
        <v>83</v>
      </c>
      <c r="E410" s="12">
        <v>24</v>
      </c>
      <c r="F410" s="10" t="s">
        <v>20</v>
      </c>
      <c r="I410" s="87"/>
      <c r="J410" s="138" t="s">
        <v>1292</v>
      </c>
      <c r="K410" s="138" t="s">
        <v>1292</v>
      </c>
      <c r="L410" s="138" t="s">
        <v>1292</v>
      </c>
      <c r="M410" s="28"/>
      <c r="N410" s="83" t="s">
        <v>1292</v>
      </c>
      <c r="P410" t="str">
        <f>VLOOKUP(B410,PTN!A:B,2,FALSE)</f>
        <v>UNIVERSITAS RIAU</v>
      </c>
      <c r="Q410" t="str">
        <f t="shared" si="6"/>
        <v>UNIVERSITAS RIAUPEMANFAATAN SUMBERDAYA PERIKANAN</v>
      </c>
    </row>
    <row r="411" spans="1:17" ht="15.75" thickBot="1" x14ac:dyDescent="0.3">
      <c r="A411" s="7">
        <v>410</v>
      </c>
      <c r="B411" s="6">
        <v>10</v>
      </c>
      <c r="C411" s="13">
        <v>1311225</v>
      </c>
      <c r="D411" t="s">
        <v>214</v>
      </c>
      <c r="E411" s="13">
        <v>24</v>
      </c>
      <c r="F411" s="10" t="s">
        <v>20</v>
      </c>
      <c r="I411" s="26"/>
      <c r="J411" s="138" t="s">
        <v>1292</v>
      </c>
      <c r="K411" s="138" t="s">
        <v>1292</v>
      </c>
      <c r="L411" s="138" t="s">
        <v>1292</v>
      </c>
      <c r="M411" s="27"/>
      <c r="N411" s="83" t="s">
        <v>1292</v>
      </c>
      <c r="P411" t="str">
        <f>VLOOKUP(B411,PTN!A:B,2,FALSE)</f>
        <v>UNIVERSITAS RIAU</v>
      </c>
      <c r="Q411" t="str">
        <f t="shared" si="6"/>
        <v>UNIVERSITAS RIAUPEND. BIOLOGI</v>
      </c>
    </row>
    <row r="412" spans="1:17" ht="15.75" thickBot="1" x14ac:dyDescent="0.3">
      <c r="A412" s="7">
        <v>411</v>
      </c>
      <c r="B412" s="6">
        <v>10</v>
      </c>
      <c r="C412" s="12">
        <v>1311191</v>
      </c>
      <c r="D412" t="s">
        <v>215</v>
      </c>
      <c r="E412" s="12">
        <v>36</v>
      </c>
      <c r="F412" s="10" t="s">
        <v>20</v>
      </c>
      <c r="I412" s="87"/>
      <c r="J412" s="138">
        <v>658.77</v>
      </c>
      <c r="K412" s="138">
        <v>667.49</v>
      </c>
      <c r="L412" s="138">
        <v>650.04999999999995</v>
      </c>
      <c r="M412" s="28"/>
      <c r="N412" s="83">
        <v>658.77</v>
      </c>
      <c r="P412" t="str">
        <f>VLOOKUP(B412,PTN!A:B,2,FALSE)</f>
        <v>UNIVERSITAS RIAU</v>
      </c>
      <c r="Q412" t="str">
        <f t="shared" si="6"/>
        <v>UNIVERSITAS RIAUPEND. DOKTER</v>
      </c>
    </row>
    <row r="413" spans="1:17" ht="15.75" thickBot="1" x14ac:dyDescent="0.3">
      <c r="A413" s="7">
        <v>412</v>
      </c>
      <c r="B413" s="6">
        <v>10</v>
      </c>
      <c r="C413" s="13">
        <v>1311233</v>
      </c>
      <c r="D413" t="s">
        <v>216</v>
      </c>
      <c r="E413" s="13">
        <v>24</v>
      </c>
      <c r="F413" s="10" t="s">
        <v>20</v>
      </c>
      <c r="I413" s="26"/>
      <c r="J413" s="138" t="s">
        <v>1292</v>
      </c>
      <c r="K413" s="138" t="s">
        <v>1292</v>
      </c>
      <c r="L413" s="138" t="s">
        <v>1292</v>
      </c>
      <c r="M413" s="27"/>
      <c r="N413" s="83" t="s">
        <v>1292</v>
      </c>
      <c r="P413" t="str">
        <f>VLOOKUP(B413,PTN!A:B,2,FALSE)</f>
        <v>UNIVERSITAS RIAU</v>
      </c>
      <c r="Q413" t="str">
        <f t="shared" si="6"/>
        <v>UNIVERSITAS RIAUPEND. FISIKA</v>
      </c>
    </row>
    <row r="414" spans="1:17" ht="15.75" thickBot="1" x14ac:dyDescent="0.3">
      <c r="A414" s="7">
        <v>413</v>
      </c>
      <c r="B414" s="6">
        <v>10</v>
      </c>
      <c r="C414" s="12">
        <v>1311241</v>
      </c>
      <c r="D414" t="s">
        <v>217</v>
      </c>
      <c r="E414" s="12">
        <v>24</v>
      </c>
      <c r="F414" s="10" t="s">
        <v>20</v>
      </c>
      <c r="I414" s="87"/>
      <c r="J414" s="138" t="s">
        <v>1292</v>
      </c>
      <c r="K414" s="138" t="s">
        <v>1292</v>
      </c>
      <c r="L414" s="138" t="s">
        <v>1292</v>
      </c>
      <c r="M414" s="28"/>
      <c r="N414" s="83" t="s">
        <v>1292</v>
      </c>
      <c r="P414" t="str">
        <f>VLOOKUP(B414,PTN!A:B,2,FALSE)</f>
        <v>UNIVERSITAS RIAU</v>
      </c>
      <c r="Q414" t="str">
        <f t="shared" si="6"/>
        <v>UNIVERSITAS RIAUPEND. KIMIA</v>
      </c>
    </row>
    <row r="415" spans="1:17" ht="15.75" thickBot="1" x14ac:dyDescent="0.3">
      <c r="A415" s="7">
        <v>414</v>
      </c>
      <c r="B415" s="6">
        <v>10</v>
      </c>
      <c r="C415" s="13">
        <v>1311217</v>
      </c>
      <c r="D415" t="s">
        <v>218</v>
      </c>
      <c r="E415" s="13">
        <v>24</v>
      </c>
      <c r="F415" s="10" t="s">
        <v>20</v>
      </c>
      <c r="I415" s="26"/>
      <c r="J415" s="138" t="s">
        <v>1292</v>
      </c>
      <c r="K415" s="138" t="s">
        <v>1292</v>
      </c>
      <c r="L415" s="138" t="s">
        <v>1292</v>
      </c>
      <c r="M415" s="27"/>
      <c r="N415" s="83" t="s">
        <v>1292</v>
      </c>
      <c r="P415" t="str">
        <f>VLOOKUP(B415,PTN!A:B,2,FALSE)</f>
        <v>UNIVERSITAS RIAU</v>
      </c>
      <c r="Q415" t="str">
        <f t="shared" si="6"/>
        <v>UNIVERSITAS RIAUPEND. MATEMATIKA</v>
      </c>
    </row>
    <row r="416" spans="1:17" ht="15.75" thickBot="1" x14ac:dyDescent="0.3">
      <c r="A416" s="7">
        <v>415</v>
      </c>
      <c r="B416" s="6">
        <v>10</v>
      </c>
      <c r="C416" s="12">
        <v>1311272</v>
      </c>
      <c r="D416" t="s">
        <v>46</v>
      </c>
      <c r="E416" s="12">
        <v>36</v>
      </c>
      <c r="F416" s="10" t="s">
        <v>20</v>
      </c>
      <c r="I416" s="87"/>
      <c r="J416" s="138" t="s">
        <v>1292</v>
      </c>
      <c r="K416" s="138" t="s">
        <v>1292</v>
      </c>
      <c r="L416" s="138" t="s">
        <v>1292</v>
      </c>
      <c r="M416" s="28"/>
      <c r="N416" s="83" t="s">
        <v>1292</v>
      </c>
      <c r="P416" t="str">
        <f>VLOOKUP(B416,PTN!A:B,2,FALSE)</f>
        <v>UNIVERSITAS RIAU</v>
      </c>
      <c r="Q416" t="str">
        <f t="shared" si="6"/>
        <v>UNIVERSITAS RIAUSISTEM INFORMASI</v>
      </c>
    </row>
    <row r="417" spans="1:17" ht="15.75" thickBot="1" x14ac:dyDescent="0.3">
      <c r="A417" s="7">
        <v>416</v>
      </c>
      <c r="B417" s="6">
        <v>10</v>
      </c>
      <c r="C417" s="13">
        <v>1311105</v>
      </c>
      <c r="D417" t="s">
        <v>219</v>
      </c>
      <c r="E417" s="13">
        <v>24</v>
      </c>
      <c r="F417" s="10" t="s">
        <v>20</v>
      </c>
      <c r="I417" s="26"/>
      <c r="J417" s="138" t="s">
        <v>1292</v>
      </c>
      <c r="K417" s="138" t="s">
        <v>1292</v>
      </c>
      <c r="L417" s="138" t="s">
        <v>1292</v>
      </c>
      <c r="M417" s="27"/>
      <c r="N417" s="83" t="s">
        <v>1292</v>
      </c>
      <c r="P417" t="str">
        <f>VLOOKUP(B417,PTN!A:B,2,FALSE)</f>
        <v>UNIVERSITAS RIAU</v>
      </c>
      <c r="Q417" t="str">
        <f t="shared" si="6"/>
        <v>UNIVERSITAS RIAUSOSIAL EKONOMI PERIKANAN</v>
      </c>
    </row>
    <row r="418" spans="1:17" ht="15.75" thickBot="1" x14ac:dyDescent="0.3">
      <c r="A418" s="7">
        <v>417</v>
      </c>
      <c r="B418" s="6">
        <v>10</v>
      </c>
      <c r="C418" s="12">
        <v>1311121</v>
      </c>
      <c r="D418" t="s">
        <v>220</v>
      </c>
      <c r="E418" s="12">
        <v>48</v>
      </c>
      <c r="F418" s="10" t="s">
        <v>20</v>
      </c>
      <c r="I418" s="87"/>
      <c r="J418" s="138" t="s">
        <v>1292</v>
      </c>
      <c r="K418" s="138" t="s">
        <v>1292</v>
      </c>
      <c r="L418" s="138" t="s">
        <v>1292</v>
      </c>
      <c r="M418" s="28"/>
      <c r="N418" s="83" t="s">
        <v>1292</v>
      </c>
      <c r="P418" t="str">
        <f>VLOOKUP(B418,PTN!A:B,2,FALSE)</f>
        <v>UNIVERSITAS RIAU</v>
      </c>
      <c r="Q418" t="str">
        <f t="shared" si="6"/>
        <v>UNIVERSITAS RIAUSOSIAL EKONOMI PERTANIAN (AGRIBISNIS)</v>
      </c>
    </row>
    <row r="419" spans="1:17" ht="15.75" thickBot="1" x14ac:dyDescent="0.3">
      <c r="A419" s="7">
        <v>418</v>
      </c>
      <c r="B419" s="6">
        <v>10</v>
      </c>
      <c r="C419" s="13">
        <v>1311306</v>
      </c>
      <c r="D419" t="s">
        <v>90</v>
      </c>
      <c r="E419" s="13">
        <v>12</v>
      </c>
      <c r="F419" s="10" t="s">
        <v>20</v>
      </c>
      <c r="I419" s="26"/>
      <c r="J419" s="138" t="s">
        <v>1292</v>
      </c>
      <c r="K419" s="138" t="s">
        <v>1292</v>
      </c>
      <c r="L419" s="138" t="s">
        <v>1292</v>
      </c>
      <c r="M419" s="27"/>
      <c r="N419" s="83" t="s">
        <v>1292</v>
      </c>
      <c r="P419" t="str">
        <f>VLOOKUP(B419,PTN!A:B,2,FALSE)</f>
        <v>UNIVERSITAS RIAU</v>
      </c>
      <c r="Q419" t="str">
        <f t="shared" si="6"/>
        <v>UNIVERSITAS RIAUSTATISTIKA</v>
      </c>
    </row>
    <row r="420" spans="1:17" ht="15.75" thickBot="1" x14ac:dyDescent="0.3">
      <c r="A420" s="7">
        <v>419</v>
      </c>
      <c r="B420" s="6">
        <v>10</v>
      </c>
      <c r="C420" s="12">
        <v>1311264</v>
      </c>
      <c r="D420" t="s">
        <v>221</v>
      </c>
      <c r="E420" s="12">
        <v>24</v>
      </c>
      <c r="F420" s="10" t="s">
        <v>20</v>
      </c>
      <c r="I420" s="87"/>
      <c r="J420" s="138" t="s">
        <v>1292</v>
      </c>
      <c r="K420" s="138" t="s">
        <v>1292</v>
      </c>
      <c r="L420" s="138" t="s">
        <v>1292</v>
      </c>
      <c r="M420" s="28"/>
      <c r="N420" s="83" t="s">
        <v>1292</v>
      </c>
      <c r="P420" t="str">
        <f>VLOOKUP(B420,PTN!A:B,2,FALSE)</f>
        <v>UNIVERSITAS RIAU</v>
      </c>
      <c r="Q420" t="str">
        <f t="shared" si="6"/>
        <v>UNIVERSITAS RIAUTEKNIK ARSITEK</v>
      </c>
    </row>
    <row r="421" spans="1:17" ht="15.75" thickBot="1" x14ac:dyDescent="0.3">
      <c r="A421" s="7">
        <v>420</v>
      </c>
      <c r="B421" s="6">
        <v>10</v>
      </c>
      <c r="C421" s="13">
        <v>1311183</v>
      </c>
      <c r="D421" t="s">
        <v>48</v>
      </c>
      <c r="E421" s="13">
        <v>24</v>
      </c>
      <c r="F421" s="10" t="s">
        <v>20</v>
      </c>
      <c r="I421" s="26"/>
      <c r="J421" s="138" t="s">
        <v>1292</v>
      </c>
      <c r="K421" s="138" t="s">
        <v>1292</v>
      </c>
      <c r="L421" s="138" t="s">
        <v>1292</v>
      </c>
      <c r="M421" s="27"/>
      <c r="N421" s="83" t="s">
        <v>1292</v>
      </c>
      <c r="P421" t="str">
        <f>VLOOKUP(B421,PTN!A:B,2,FALSE)</f>
        <v>UNIVERSITAS RIAU</v>
      </c>
      <c r="Q421" t="str">
        <f t="shared" si="6"/>
        <v>UNIVERSITAS RIAUTEKNIK ELEKTRO</v>
      </c>
    </row>
    <row r="422" spans="1:17" ht="15.75" thickBot="1" x14ac:dyDescent="0.3">
      <c r="A422" s="7">
        <v>421</v>
      </c>
      <c r="B422" s="6">
        <v>10</v>
      </c>
      <c r="C422" s="12">
        <v>1311287</v>
      </c>
      <c r="D422" t="s">
        <v>50</v>
      </c>
      <c r="E422" s="12">
        <v>24</v>
      </c>
      <c r="F422" s="10" t="s">
        <v>20</v>
      </c>
      <c r="I422" s="87"/>
      <c r="J422" s="138" t="s">
        <v>1292</v>
      </c>
      <c r="K422" s="138" t="s">
        <v>1292</v>
      </c>
      <c r="L422" s="138" t="s">
        <v>1292</v>
      </c>
      <c r="M422" s="28"/>
      <c r="N422" s="83" t="s">
        <v>1292</v>
      </c>
      <c r="P422" t="str">
        <f>VLOOKUP(B422,PTN!A:B,2,FALSE)</f>
        <v>UNIVERSITAS RIAU</v>
      </c>
      <c r="Q422" t="str">
        <f t="shared" si="6"/>
        <v>UNIVERSITAS RIAUTEKNIK INFORMATIKA</v>
      </c>
    </row>
    <row r="423" spans="1:17" ht="15.75" thickBot="1" x14ac:dyDescent="0.3">
      <c r="A423" s="7">
        <v>422</v>
      </c>
      <c r="B423" s="6">
        <v>10</v>
      </c>
      <c r="C423" s="13">
        <v>1311167</v>
      </c>
      <c r="D423" t="s">
        <v>51</v>
      </c>
      <c r="E423" s="13">
        <v>36</v>
      </c>
      <c r="F423" s="10" t="s">
        <v>20</v>
      </c>
      <c r="I423" s="26"/>
      <c r="J423" s="138">
        <v>601.72</v>
      </c>
      <c r="K423" s="138">
        <v>608.77499999999998</v>
      </c>
      <c r="L423" s="138">
        <v>594.66500000000008</v>
      </c>
      <c r="M423" s="27"/>
      <c r="N423" s="83">
        <v>601.72</v>
      </c>
      <c r="P423" t="str">
        <f>VLOOKUP(B423,PTN!A:B,2,FALSE)</f>
        <v>UNIVERSITAS RIAU</v>
      </c>
      <c r="Q423" t="str">
        <f t="shared" si="6"/>
        <v>UNIVERSITAS RIAUTEKNIK KIMIA</v>
      </c>
    </row>
    <row r="424" spans="1:17" ht="15.75" thickBot="1" x14ac:dyDescent="0.3">
      <c r="A424" s="7">
        <v>423</v>
      </c>
      <c r="B424" s="6">
        <v>10</v>
      </c>
      <c r="C424" s="12">
        <v>1311256</v>
      </c>
      <c r="D424" t="s">
        <v>25</v>
      </c>
      <c r="E424" s="12">
        <v>24</v>
      </c>
      <c r="F424" s="10" t="s">
        <v>20</v>
      </c>
      <c r="I424" s="87"/>
      <c r="J424" s="138" t="s">
        <v>1292</v>
      </c>
      <c r="K424" s="138" t="s">
        <v>1292</v>
      </c>
      <c r="L424" s="138" t="s">
        <v>1292</v>
      </c>
      <c r="M424" s="28"/>
      <c r="N424" s="83" t="s">
        <v>1292</v>
      </c>
      <c r="P424" t="str">
        <f>VLOOKUP(B424,PTN!A:B,2,FALSE)</f>
        <v>UNIVERSITAS RIAU</v>
      </c>
      <c r="Q424" t="str">
        <f t="shared" si="6"/>
        <v>UNIVERSITAS RIAUTEKNIK LINGKUNGAN</v>
      </c>
    </row>
    <row r="425" spans="1:17" ht="15.75" thickBot="1" x14ac:dyDescent="0.3">
      <c r="A425" s="7">
        <v>424</v>
      </c>
      <c r="B425" s="6">
        <v>10</v>
      </c>
      <c r="C425" s="13">
        <v>1311175</v>
      </c>
      <c r="D425" t="s">
        <v>53</v>
      </c>
      <c r="E425" s="13">
        <v>36</v>
      </c>
      <c r="F425" s="10" t="s">
        <v>20</v>
      </c>
      <c r="I425" s="26"/>
      <c r="J425" s="138" t="s">
        <v>1292</v>
      </c>
      <c r="K425" s="138" t="s">
        <v>1292</v>
      </c>
      <c r="L425" s="138" t="s">
        <v>1292</v>
      </c>
      <c r="M425" s="27"/>
      <c r="N425" s="83" t="s">
        <v>1292</v>
      </c>
      <c r="P425" t="str">
        <f>VLOOKUP(B425,PTN!A:B,2,FALSE)</f>
        <v>UNIVERSITAS RIAU</v>
      </c>
      <c r="Q425" t="str">
        <f t="shared" si="6"/>
        <v>UNIVERSITAS RIAUTEKNIK MESIN</v>
      </c>
    </row>
    <row r="426" spans="1:17" ht="15.75" thickBot="1" x14ac:dyDescent="0.3">
      <c r="A426" s="7">
        <v>425</v>
      </c>
      <c r="B426" s="6">
        <v>10</v>
      </c>
      <c r="C426" s="12">
        <v>1311152</v>
      </c>
      <c r="D426" t="s">
        <v>54</v>
      </c>
      <c r="E426" s="12">
        <v>36</v>
      </c>
      <c r="F426" s="10" t="s">
        <v>20</v>
      </c>
      <c r="I426" s="87"/>
      <c r="J426" s="138" t="s">
        <v>1292</v>
      </c>
      <c r="K426" s="138" t="s">
        <v>1292</v>
      </c>
      <c r="L426" s="138" t="s">
        <v>1292</v>
      </c>
      <c r="M426" s="28"/>
      <c r="N426" s="83" t="s">
        <v>1292</v>
      </c>
      <c r="P426" t="str">
        <f>VLOOKUP(B426,PTN!A:B,2,FALSE)</f>
        <v>UNIVERSITAS RIAU</v>
      </c>
      <c r="Q426" t="str">
        <f t="shared" si="6"/>
        <v>UNIVERSITAS RIAUTEKNIK SIPIL</v>
      </c>
    </row>
    <row r="427" spans="1:17" ht="15.75" thickBot="1" x14ac:dyDescent="0.3">
      <c r="A427" s="7">
        <v>426</v>
      </c>
      <c r="B427" s="6">
        <v>10</v>
      </c>
      <c r="C427" s="13">
        <v>1311086</v>
      </c>
      <c r="D427" t="s">
        <v>222</v>
      </c>
      <c r="E427" s="13">
        <v>36</v>
      </c>
      <c r="F427" s="10" t="s">
        <v>20</v>
      </c>
      <c r="I427" s="26"/>
      <c r="J427" s="138" t="s">
        <v>1292</v>
      </c>
      <c r="K427" s="138" t="s">
        <v>1292</v>
      </c>
      <c r="L427" s="138" t="s">
        <v>1292</v>
      </c>
      <c r="M427" s="27"/>
      <c r="N427" s="83" t="s">
        <v>1292</v>
      </c>
      <c r="P427" t="str">
        <f>VLOOKUP(B427,PTN!A:B,2,FALSE)</f>
        <v>UNIVERSITAS RIAU</v>
      </c>
      <c r="Q427" t="str">
        <f t="shared" si="6"/>
        <v>UNIVERSITAS RIAUTEKNOLOGI HASIL PERIKANAN</v>
      </c>
    </row>
    <row r="428" spans="1:17" ht="15.75" thickBot="1" x14ac:dyDescent="0.3">
      <c r="A428" s="7">
        <v>427</v>
      </c>
      <c r="B428" s="6">
        <v>10</v>
      </c>
      <c r="C428" s="12">
        <v>1311136</v>
      </c>
      <c r="D428" t="s">
        <v>96</v>
      </c>
      <c r="E428" s="12">
        <v>24</v>
      </c>
      <c r="F428" s="10" t="s">
        <v>20</v>
      </c>
      <c r="I428" s="87"/>
      <c r="J428" s="138" t="s">
        <v>1292</v>
      </c>
      <c r="K428" s="138" t="s">
        <v>1292</v>
      </c>
      <c r="L428" s="138" t="s">
        <v>1292</v>
      </c>
      <c r="M428" s="28"/>
      <c r="N428" s="83" t="s">
        <v>1292</v>
      </c>
      <c r="P428" t="str">
        <f>VLOOKUP(B428,PTN!A:B,2,FALSE)</f>
        <v>UNIVERSITAS RIAU</v>
      </c>
      <c r="Q428" t="str">
        <f t="shared" si="6"/>
        <v>UNIVERSITAS RIAUTEKNOLOGI HASIL PERTANIAN</v>
      </c>
    </row>
    <row r="429" spans="1:17" ht="15.75" thickBot="1" x14ac:dyDescent="0.3">
      <c r="A429" s="7">
        <v>428</v>
      </c>
      <c r="B429" s="6">
        <v>10</v>
      </c>
      <c r="C429" s="16">
        <v>1311295</v>
      </c>
      <c r="D429" t="s">
        <v>166</v>
      </c>
      <c r="E429" s="16">
        <v>12</v>
      </c>
      <c r="F429" s="10" t="s">
        <v>20</v>
      </c>
      <c r="I429" s="26"/>
      <c r="J429" s="138" t="s">
        <v>1292</v>
      </c>
      <c r="K429" s="138" t="s">
        <v>1292</v>
      </c>
      <c r="L429" s="138" t="s">
        <v>1292</v>
      </c>
      <c r="M429" s="27"/>
      <c r="N429" s="83" t="s">
        <v>1292</v>
      </c>
      <c r="P429" t="str">
        <f>VLOOKUP(B429,PTN!A:B,2,FALSE)</f>
        <v>UNIVERSITAS RIAU</v>
      </c>
      <c r="Q429" t="str">
        <f t="shared" si="6"/>
        <v>UNIVERSITAS RIAUTEKNOLOGI INDUSTRI PERTANIAN</v>
      </c>
    </row>
    <row r="430" spans="1:17" ht="16.5" thickTop="1" thickBot="1" x14ac:dyDescent="0.3">
      <c r="A430" s="7">
        <v>429</v>
      </c>
      <c r="B430" s="6">
        <v>10</v>
      </c>
      <c r="C430" s="17">
        <v>1312101</v>
      </c>
      <c r="D430" t="s">
        <v>55</v>
      </c>
      <c r="E430" s="17">
        <v>84</v>
      </c>
      <c r="F430" s="10" t="s">
        <v>13</v>
      </c>
      <c r="H430" s="20"/>
      <c r="I430" s="21"/>
      <c r="J430" s="138">
        <v>578.54</v>
      </c>
      <c r="K430" s="138">
        <v>586.67773</v>
      </c>
      <c r="L430" s="138">
        <v>570.40226999999993</v>
      </c>
      <c r="M430" s="28"/>
      <c r="N430" s="83">
        <v>578.54</v>
      </c>
      <c r="P430" t="str">
        <f>VLOOKUP(B430,PTN!A:B,2,FALSE)</f>
        <v>UNIVERSITAS RIAU</v>
      </c>
      <c r="Q430" t="str">
        <f t="shared" si="6"/>
        <v>UNIVERSITAS RIAUAKUNTANSI</v>
      </c>
    </row>
    <row r="431" spans="1:17" ht="15.75" thickBot="1" x14ac:dyDescent="0.3">
      <c r="A431" s="7">
        <v>430</v>
      </c>
      <c r="B431" s="6">
        <v>10</v>
      </c>
      <c r="C431" s="18">
        <v>1312194</v>
      </c>
      <c r="D431" t="s">
        <v>27</v>
      </c>
      <c r="E431" s="18">
        <v>12</v>
      </c>
      <c r="F431" s="10" t="s">
        <v>13</v>
      </c>
      <c r="H431" s="22"/>
      <c r="I431" s="21"/>
      <c r="J431" s="138" t="s">
        <v>1292</v>
      </c>
      <c r="K431" s="138" t="s">
        <v>1292</v>
      </c>
      <c r="L431" s="138" t="s">
        <v>1292</v>
      </c>
      <c r="M431" s="27"/>
      <c r="N431" s="83" t="s">
        <v>1292</v>
      </c>
      <c r="P431" t="str">
        <f>VLOOKUP(B431,PTN!A:B,2,FALSE)</f>
        <v>UNIVERSITAS RIAU</v>
      </c>
      <c r="Q431" t="str">
        <f t="shared" si="6"/>
        <v>UNIVERSITAS RIAUBIMBINGAN KONSELING</v>
      </c>
    </row>
    <row r="432" spans="1:17" ht="16.5" thickTop="1" thickBot="1" x14ac:dyDescent="0.3">
      <c r="A432" s="7">
        <v>431</v>
      </c>
      <c r="B432" s="6">
        <v>10</v>
      </c>
      <c r="C432" s="17">
        <v>1312082</v>
      </c>
      <c r="D432" t="s">
        <v>69</v>
      </c>
      <c r="E432" s="17">
        <v>36</v>
      </c>
      <c r="F432" s="10" t="s">
        <v>13</v>
      </c>
      <c r="H432" s="36"/>
      <c r="I432" s="37"/>
      <c r="J432" s="138" t="s">
        <v>1292</v>
      </c>
      <c r="K432" s="138" t="s">
        <v>1292</v>
      </c>
      <c r="L432" s="138" t="s">
        <v>1292</v>
      </c>
      <c r="M432" s="40"/>
      <c r="N432" s="83" t="s">
        <v>1292</v>
      </c>
      <c r="P432" t="str">
        <f>VLOOKUP(B432,PTN!A:B,2,FALSE)</f>
        <v>UNIVERSITAS RIAU</v>
      </c>
      <c r="Q432" t="str">
        <f t="shared" si="6"/>
        <v>UNIVERSITAS RIAUEKONOMI PEMBANGUNAN</v>
      </c>
    </row>
    <row r="433" spans="1:17" ht="16.5" thickTop="1" thickBot="1" x14ac:dyDescent="0.3">
      <c r="A433" s="7">
        <v>432</v>
      </c>
      <c r="B433" s="6">
        <v>10</v>
      </c>
      <c r="C433" s="18">
        <v>1312012</v>
      </c>
      <c r="D433" t="s">
        <v>223</v>
      </c>
      <c r="E433" s="18">
        <v>48</v>
      </c>
      <c r="F433" s="10" t="s">
        <v>13</v>
      </c>
      <c r="H433" s="38"/>
      <c r="I433" s="17"/>
      <c r="J433" s="138">
        <v>587.65</v>
      </c>
      <c r="K433" s="138">
        <v>595.78773000000001</v>
      </c>
      <c r="L433" s="138">
        <v>579.51226999999994</v>
      </c>
      <c r="N433" s="83">
        <v>587.65</v>
      </c>
      <c r="P433" t="str">
        <f>VLOOKUP(B433,PTN!A:B,2,FALSE)</f>
        <v>UNIVERSITAS RIAU</v>
      </c>
      <c r="Q433" t="str">
        <f t="shared" si="6"/>
        <v>UNIVERSITAS RIAUHUBUNGAN INTERNASIONAL</v>
      </c>
    </row>
    <row r="434" spans="1:17" ht="15.75" thickBot="1" x14ac:dyDescent="0.3">
      <c r="A434" s="7">
        <v>433</v>
      </c>
      <c r="B434" s="6">
        <v>10</v>
      </c>
      <c r="C434" s="17">
        <v>1312035</v>
      </c>
      <c r="D434" t="s">
        <v>29</v>
      </c>
      <c r="E434" s="17">
        <v>48</v>
      </c>
      <c r="F434" s="10" t="s">
        <v>13</v>
      </c>
      <c r="H434" s="39"/>
      <c r="I434" s="18"/>
      <c r="J434" s="138" t="s">
        <v>1292</v>
      </c>
      <c r="K434" s="138" t="s">
        <v>1292</v>
      </c>
      <c r="L434" s="138" t="s">
        <v>1292</v>
      </c>
      <c r="N434" s="83" t="s">
        <v>1292</v>
      </c>
      <c r="P434" t="str">
        <f>VLOOKUP(B434,PTN!A:B,2,FALSE)</f>
        <v>UNIVERSITAS RIAU</v>
      </c>
      <c r="Q434" t="str">
        <f t="shared" si="6"/>
        <v>UNIVERSITAS RIAUILMU ADMINISTRASI NEGARA</v>
      </c>
    </row>
    <row r="435" spans="1:17" ht="15.75" thickBot="1" x14ac:dyDescent="0.3">
      <c r="A435" s="7">
        <v>434</v>
      </c>
      <c r="B435" s="6">
        <v>10</v>
      </c>
      <c r="C435" s="18">
        <v>1312043</v>
      </c>
      <c r="D435" t="s">
        <v>58</v>
      </c>
      <c r="E435" s="18">
        <v>36</v>
      </c>
      <c r="F435" s="10" t="s">
        <v>13</v>
      </c>
      <c r="H435" s="38"/>
      <c r="I435" s="17"/>
      <c r="J435" s="138" t="s">
        <v>1292</v>
      </c>
      <c r="K435" s="138" t="s">
        <v>1292</v>
      </c>
      <c r="L435" s="138" t="s">
        <v>1292</v>
      </c>
      <c r="N435" s="83" t="s">
        <v>1292</v>
      </c>
      <c r="P435" t="str">
        <f>VLOOKUP(B435,PTN!A:B,2,FALSE)</f>
        <v>UNIVERSITAS RIAU</v>
      </c>
      <c r="Q435" t="str">
        <f t="shared" si="6"/>
        <v>UNIVERSITAS RIAUILMU ADMINISTRASI NIAGA</v>
      </c>
    </row>
    <row r="436" spans="1:17" ht="15.75" thickBot="1" x14ac:dyDescent="0.3">
      <c r="A436" s="7">
        <v>435</v>
      </c>
      <c r="B436" s="6">
        <v>10</v>
      </c>
      <c r="C436" s="17">
        <v>1312116</v>
      </c>
      <c r="D436" t="s">
        <v>31</v>
      </c>
      <c r="E436" s="17">
        <v>108</v>
      </c>
      <c r="F436" s="10" t="s">
        <v>13</v>
      </c>
      <c r="H436" s="39"/>
      <c r="I436" s="18"/>
      <c r="J436" s="138" t="s">
        <v>1292</v>
      </c>
      <c r="K436" s="138" t="s">
        <v>1292</v>
      </c>
      <c r="L436" s="138" t="s">
        <v>1292</v>
      </c>
      <c r="N436" s="83" t="s">
        <v>1292</v>
      </c>
      <c r="P436" t="str">
        <f>VLOOKUP(B436,PTN!A:B,2,FALSE)</f>
        <v>UNIVERSITAS RIAU</v>
      </c>
      <c r="Q436" t="str">
        <f t="shared" si="6"/>
        <v>UNIVERSITAS RIAUILMU HUKUM</v>
      </c>
    </row>
    <row r="437" spans="1:17" ht="15.75" thickBot="1" x14ac:dyDescent="0.3">
      <c r="A437" s="7">
        <v>436</v>
      </c>
      <c r="B437" s="6">
        <v>10</v>
      </c>
      <c r="C437" s="18">
        <v>1312066</v>
      </c>
      <c r="D437" t="s">
        <v>60</v>
      </c>
      <c r="E437" s="18">
        <v>48</v>
      </c>
      <c r="F437" s="10" t="s">
        <v>13</v>
      </c>
      <c r="H437" s="38"/>
      <c r="I437" s="17"/>
      <c r="J437" s="138" t="s">
        <v>1292</v>
      </c>
      <c r="K437" s="138" t="s">
        <v>1292</v>
      </c>
      <c r="L437" s="138" t="s">
        <v>1292</v>
      </c>
      <c r="N437" s="83" t="s">
        <v>1292</v>
      </c>
      <c r="P437" t="str">
        <f>VLOOKUP(B437,PTN!A:B,2,FALSE)</f>
        <v>UNIVERSITAS RIAU</v>
      </c>
      <c r="Q437" t="str">
        <f t="shared" si="6"/>
        <v>UNIVERSITAS RIAUILMU KOMUNIKASI</v>
      </c>
    </row>
    <row r="438" spans="1:17" ht="15.75" thickBot="1" x14ac:dyDescent="0.3">
      <c r="A438" s="7">
        <v>437</v>
      </c>
      <c r="B438" s="6">
        <v>10</v>
      </c>
      <c r="C438" s="17">
        <v>1312027</v>
      </c>
      <c r="D438" t="s">
        <v>97</v>
      </c>
      <c r="E438" s="17">
        <v>48</v>
      </c>
      <c r="F438" s="10" t="s">
        <v>13</v>
      </c>
      <c r="H438" s="39"/>
      <c r="I438" s="18"/>
      <c r="J438" s="138" t="s">
        <v>1292</v>
      </c>
      <c r="K438" s="138" t="s">
        <v>1292</v>
      </c>
      <c r="L438" s="138" t="s">
        <v>1292</v>
      </c>
      <c r="N438" s="83" t="s">
        <v>1292</v>
      </c>
      <c r="P438" t="str">
        <f>VLOOKUP(B438,PTN!A:B,2,FALSE)</f>
        <v>UNIVERSITAS RIAU</v>
      </c>
      <c r="Q438" t="str">
        <f t="shared" si="6"/>
        <v>UNIVERSITAS RIAUILMU PEMERINTAHAN</v>
      </c>
    </row>
    <row r="439" spans="1:17" ht="15.75" thickBot="1" x14ac:dyDescent="0.3">
      <c r="A439" s="7">
        <v>438</v>
      </c>
      <c r="B439" s="6">
        <v>10</v>
      </c>
      <c r="C439" s="18">
        <v>1312097</v>
      </c>
      <c r="D439" t="s">
        <v>61</v>
      </c>
      <c r="E439" s="18">
        <v>84</v>
      </c>
      <c r="F439" s="10" t="s">
        <v>13</v>
      </c>
      <c r="H439" s="38"/>
      <c r="I439" s="17"/>
      <c r="J439" s="138" t="s">
        <v>1292</v>
      </c>
      <c r="K439" s="138" t="s">
        <v>1292</v>
      </c>
      <c r="L439" s="138" t="s">
        <v>1292</v>
      </c>
      <c r="N439" s="83" t="s">
        <v>1292</v>
      </c>
      <c r="P439" t="str">
        <f>VLOOKUP(B439,PTN!A:B,2,FALSE)</f>
        <v>UNIVERSITAS RIAU</v>
      </c>
      <c r="Q439" t="str">
        <f t="shared" si="6"/>
        <v>UNIVERSITAS RIAUMANAJEMEN</v>
      </c>
    </row>
    <row r="440" spans="1:17" ht="15.75" thickBot="1" x14ac:dyDescent="0.3">
      <c r="A440" s="7">
        <v>439</v>
      </c>
      <c r="B440" s="6">
        <v>10</v>
      </c>
      <c r="C440" s="17">
        <v>1312074</v>
      </c>
      <c r="D440" t="s">
        <v>224</v>
      </c>
      <c r="E440" s="17">
        <v>36</v>
      </c>
      <c r="F440" s="10" t="s">
        <v>13</v>
      </c>
      <c r="H440" s="39"/>
      <c r="I440" s="18"/>
      <c r="J440" s="138" t="s">
        <v>1292</v>
      </c>
      <c r="K440" s="138" t="s">
        <v>1292</v>
      </c>
      <c r="L440" s="138" t="s">
        <v>1292</v>
      </c>
      <c r="N440" s="83" t="s">
        <v>1292</v>
      </c>
      <c r="P440" t="str">
        <f>VLOOKUP(B440,PTN!A:B,2,FALSE)</f>
        <v>UNIVERSITAS RIAU</v>
      </c>
      <c r="Q440" t="str">
        <f t="shared" si="6"/>
        <v>UNIVERSITAS RIAUPARIWISATA</v>
      </c>
    </row>
    <row r="441" spans="1:17" ht="15.75" thickBot="1" x14ac:dyDescent="0.3">
      <c r="A441" s="7">
        <v>440</v>
      </c>
      <c r="B441" s="6">
        <v>10</v>
      </c>
      <c r="C441" s="18">
        <v>1312236</v>
      </c>
      <c r="D441" t="s">
        <v>225</v>
      </c>
      <c r="E441" s="18">
        <v>24</v>
      </c>
      <c r="F441" s="10" t="s">
        <v>13</v>
      </c>
      <c r="H441" s="38"/>
      <c r="I441" s="17"/>
      <c r="J441" s="138" t="s">
        <v>1292</v>
      </c>
      <c r="K441" s="138" t="s">
        <v>1292</v>
      </c>
      <c r="L441" s="138" t="s">
        <v>1292</v>
      </c>
      <c r="N441" s="83" t="s">
        <v>1292</v>
      </c>
      <c r="P441" t="str">
        <f>VLOOKUP(B441,PTN!A:B,2,FALSE)</f>
        <v>UNIVERSITAS RIAU</v>
      </c>
      <c r="Q441" t="str">
        <f t="shared" si="6"/>
        <v>UNIVERSITAS RIAUPAUD</v>
      </c>
    </row>
    <row r="442" spans="1:17" ht="15.75" thickBot="1" x14ac:dyDescent="0.3">
      <c r="A442" s="7">
        <v>441</v>
      </c>
      <c r="B442" s="6">
        <v>10</v>
      </c>
      <c r="C442" s="17">
        <v>1312171</v>
      </c>
      <c r="D442" t="s">
        <v>226</v>
      </c>
      <c r="E442" s="17">
        <v>12</v>
      </c>
      <c r="F442" s="10" t="s">
        <v>13</v>
      </c>
      <c r="H442" s="39"/>
      <c r="I442" s="18"/>
      <c r="J442" s="138" t="s">
        <v>1292</v>
      </c>
      <c r="K442" s="138" t="s">
        <v>1292</v>
      </c>
      <c r="L442" s="138" t="s">
        <v>1292</v>
      </c>
      <c r="N442" s="83" t="s">
        <v>1292</v>
      </c>
      <c r="P442" t="str">
        <f>VLOOKUP(B442,PTN!A:B,2,FALSE)</f>
        <v>UNIVERSITAS RIAU</v>
      </c>
      <c r="Q442" t="str">
        <f t="shared" si="6"/>
        <v>UNIVERSITAS RIAUPEND. BAHASA JEPANG</v>
      </c>
    </row>
    <row r="443" spans="1:17" ht="15.75" thickBot="1" x14ac:dyDescent="0.3">
      <c r="A443" s="7">
        <v>442</v>
      </c>
      <c r="B443" s="6">
        <v>10</v>
      </c>
      <c r="C443" s="18">
        <v>1312155</v>
      </c>
      <c r="D443" t="s">
        <v>227</v>
      </c>
      <c r="E443" s="18">
        <v>24</v>
      </c>
      <c r="F443" s="10" t="s">
        <v>13</v>
      </c>
      <c r="H443" s="38"/>
      <c r="I443" s="17"/>
      <c r="J443" s="138" t="s">
        <v>1292</v>
      </c>
      <c r="K443" s="138" t="s">
        <v>1292</v>
      </c>
      <c r="L443" s="138" t="s">
        <v>1292</v>
      </c>
      <c r="N443" s="83" t="s">
        <v>1292</v>
      </c>
      <c r="P443" t="str">
        <f>VLOOKUP(B443,PTN!A:B,2,FALSE)</f>
        <v>UNIVERSITAS RIAU</v>
      </c>
      <c r="Q443" t="str">
        <f t="shared" si="6"/>
        <v>UNIVERSITAS RIAUPEND. BAHASA, SASTRA INDONEIA &amp; DAERAH</v>
      </c>
    </row>
    <row r="444" spans="1:17" ht="15.75" thickBot="1" x14ac:dyDescent="0.3">
      <c r="A444" s="7">
        <v>443</v>
      </c>
      <c r="B444" s="6">
        <v>10</v>
      </c>
      <c r="C444" s="17">
        <v>1312163</v>
      </c>
      <c r="D444" t="s">
        <v>228</v>
      </c>
      <c r="E444" s="17">
        <v>36</v>
      </c>
      <c r="F444" s="10" t="s">
        <v>13</v>
      </c>
      <c r="H444" s="39"/>
      <c r="I444" s="18"/>
      <c r="J444" s="138" t="s">
        <v>1292</v>
      </c>
      <c r="K444" s="138" t="s">
        <v>1292</v>
      </c>
      <c r="L444" s="138" t="s">
        <v>1292</v>
      </c>
      <c r="N444" s="83" t="s">
        <v>1292</v>
      </c>
      <c r="P444" t="str">
        <f>VLOOKUP(B444,PTN!A:B,2,FALSE)</f>
        <v>UNIVERSITAS RIAU</v>
      </c>
      <c r="Q444" t="str">
        <f t="shared" si="6"/>
        <v>UNIVERSITAS RIAUPEND. BHS. INGGRIS</v>
      </c>
    </row>
    <row r="445" spans="1:17" ht="15.75" thickBot="1" x14ac:dyDescent="0.3">
      <c r="A445" s="7">
        <v>444</v>
      </c>
      <c r="B445" s="6">
        <v>10</v>
      </c>
      <c r="C445" s="18">
        <v>1312124</v>
      </c>
      <c r="D445" t="s">
        <v>229</v>
      </c>
      <c r="E445" s="18">
        <v>24</v>
      </c>
      <c r="F445" s="10" t="s">
        <v>13</v>
      </c>
      <c r="H445" s="38"/>
      <c r="I445" s="17"/>
      <c r="J445" s="138" t="s">
        <v>1292</v>
      </c>
      <c r="K445" s="138" t="s">
        <v>1292</v>
      </c>
      <c r="L445" s="138" t="s">
        <v>1292</v>
      </c>
      <c r="N445" s="83" t="s">
        <v>1292</v>
      </c>
      <c r="P445" t="str">
        <f>VLOOKUP(B445,PTN!A:B,2,FALSE)</f>
        <v>UNIVERSITAS RIAU</v>
      </c>
      <c r="Q445" t="str">
        <f t="shared" si="6"/>
        <v>UNIVERSITAS RIAUPEND. EKONOMI</v>
      </c>
    </row>
    <row r="446" spans="1:17" ht="15.75" thickBot="1" x14ac:dyDescent="0.3">
      <c r="A446" s="7">
        <v>445</v>
      </c>
      <c r="B446" s="6">
        <v>10</v>
      </c>
      <c r="C446" s="17">
        <v>1312205</v>
      </c>
      <c r="D446" t="s">
        <v>230</v>
      </c>
      <c r="E446" s="17">
        <v>24</v>
      </c>
      <c r="F446" s="10" t="s">
        <v>13</v>
      </c>
      <c r="H446" s="39"/>
      <c r="I446" s="18"/>
      <c r="J446" s="138" t="s">
        <v>1292</v>
      </c>
      <c r="K446" s="138" t="s">
        <v>1292</v>
      </c>
      <c r="L446" s="138" t="s">
        <v>1292</v>
      </c>
      <c r="N446" s="83" t="s">
        <v>1292</v>
      </c>
      <c r="P446" t="str">
        <f>VLOOKUP(B446,PTN!A:B,2,FALSE)</f>
        <v>UNIVERSITAS RIAU</v>
      </c>
      <c r="Q446" t="str">
        <f t="shared" si="6"/>
        <v>UNIVERSITAS RIAUPEND JASMANI KESEHATAN &amp; REKREASI</v>
      </c>
    </row>
    <row r="447" spans="1:17" ht="15.75" thickBot="1" x14ac:dyDescent="0.3">
      <c r="A447" s="7">
        <v>446</v>
      </c>
      <c r="B447" s="6">
        <v>10</v>
      </c>
      <c r="C447" s="18">
        <v>1312213</v>
      </c>
      <c r="D447" t="s">
        <v>231</v>
      </c>
      <c r="E447" s="18">
        <v>24</v>
      </c>
      <c r="F447" s="10" t="s">
        <v>13</v>
      </c>
      <c r="H447" s="38"/>
      <c r="I447" s="17"/>
      <c r="J447" s="138" t="s">
        <v>1292</v>
      </c>
      <c r="K447" s="138" t="s">
        <v>1292</v>
      </c>
      <c r="L447" s="138" t="s">
        <v>1292</v>
      </c>
      <c r="N447" s="83" t="s">
        <v>1292</v>
      </c>
      <c r="P447" t="str">
        <f>VLOOKUP(B447,PTN!A:B,2,FALSE)</f>
        <v>UNIVERSITAS RIAU</v>
      </c>
      <c r="Q447" t="str">
        <f t="shared" si="6"/>
        <v>UNIVERSITAS RIAUPEND KEPELATIHAN OLAHRAGA</v>
      </c>
    </row>
    <row r="448" spans="1:17" ht="15.75" thickBot="1" x14ac:dyDescent="0.3">
      <c r="A448" s="7">
        <v>447</v>
      </c>
      <c r="B448" s="6">
        <v>10</v>
      </c>
      <c r="C448" s="17">
        <v>1312186</v>
      </c>
      <c r="D448" t="s">
        <v>232</v>
      </c>
      <c r="E448" s="17">
        <v>24</v>
      </c>
      <c r="F448" s="10" t="s">
        <v>13</v>
      </c>
      <c r="H448" s="39"/>
      <c r="I448" s="18"/>
      <c r="J448" s="138" t="s">
        <v>1292</v>
      </c>
      <c r="K448" s="138" t="s">
        <v>1292</v>
      </c>
      <c r="L448" s="138" t="s">
        <v>1292</v>
      </c>
      <c r="N448" s="83" t="s">
        <v>1292</v>
      </c>
      <c r="P448" t="str">
        <f>VLOOKUP(B448,PTN!A:B,2,FALSE)</f>
        <v>UNIVERSITAS RIAU</v>
      </c>
      <c r="Q448" t="str">
        <f t="shared" si="6"/>
        <v>UNIVERSITAS RIAUPEND. LUAR SEKOLAH</v>
      </c>
    </row>
    <row r="449" spans="1:17" ht="15.75" thickBot="1" x14ac:dyDescent="0.3">
      <c r="A449" s="7">
        <v>448</v>
      </c>
      <c r="B449" s="6">
        <v>10</v>
      </c>
      <c r="C449" s="18">
        <v>1312132</v>
      </c>
      <c r="D449" t="s">
        <v>138</v>
      </c>
      <c r="E449" s="18">
        <v>24</v>
      </c>
      <c r="F449" s="10" t="s">
        <v>13</v>
      </c>
      <c r="H449" s="38"/>
      <c r="I449" s="17"/>
      <c r="J449" s="138" t="s">
        <v>1292</v>
      </c>
      <c r="K449" s="138" t="s">
        <v>1292</v>
      </c>
      <c r="L449" s="138" t="s">
        <v>1292</v>
      </c>
      <c r="N449" s="83" t="s">
        <v>1292</v>
      </c>
      <c r="P449" t="str">
        <f>VLOOKUP(B449,PTN!A:B,2,FALSE)</f>
        <v>UNIVERSITAS RIAU</v>
      </c>
      <c r="Q449" t="str">
        <f t="shared" si="6"/>
        <v>UNIVERSITAS RIAUPEND. PANCASILA &amp; KEWARGANEGARAAN (PPKN)</v>
      </c>
    </row>
    <row r="450" spans="1:17" ht="15.75" thickBot="1" x14ac:dyDescent="0.3">
      <c r="A450" s="7">
        <v>449</v>
      </c>
      <c r="B450" s="6">
        <v>10</v>
      </c>
      <c r="C450" s="17">
        <v>1312147</v>
      </c>
      <c r="D450" t="s">
        <v>233</v>
      </c>
      <c r="E450" s="17">
        <v>24</v>
      </c>
      <c r="F450" s="10" t="s">
        <v>13</v>
      </c>
      <c r="H450" s="39"/>
      <c r="I450" s="18"/>
      <c r="J450" s="138" t="s">
        <v>1292</v>
      </c>
      <c r="K450" s="138" t="s">
        <v>1292</v>
      </c>
      <c r="L450" s="138" t="s">
        <v>1292</v>
      </c>
      <c r="N450" s="83" t="s">
        <v>1292</v>
      </c>
      <c r="P450" t="str">
        <f>VLOOKUP(B450,PTN!A:B,2,FALSE)</f>
        <v>UNIVERSITAS RIAU</v>
      </c>
      <c r="Q450" t="str">
        <f t="shared" si="6"/>
        <v>UNIVERSITAS RIAUPEND. SEJARAH</v>
      </c>
    </row>
    <row r="451" spans="1:17" ht="15.75" thickBot="1" x14ac:dyDescent="0.3">
      <c r="A451" s="7">
        <v>450</v>
      </c>
      <c r="B451" s="6">
        <v>10</v>
      </c>
      <c r="C451" s="18">
        <v>1312221</v>
      </c>
      <c r="D451" t="s">
        <v>234</v>
      </c>
      <c r="E451" s="18">
        <v>36</v>
      </c>
      <c r="F451" s="10" t="s">
        <v>13</v>
      </c>
      <c r="H451" s="38"/>
      <c r="I451" s="17"/>
      <c r="J451" s="138" t="s">
        <v>1292</v>
      </c>
      <c r="K451" s="138" t="s">
        <v>1292</v>
      </c>
      <c r="L451" s="138" t="s">
        <v>1292</v>
      </c>
      <c r="N451" s="83" t="s">
        <v>1292</v>
      </c>
      <c r="P451" t="str">
        <f>VLOOKUP(B451,PTN!A:B,2,FALSE)</f>
        <v>UNIVERSITAS RIAU</v>
      </c>
      <c r="Q451" t="str">
        <f t="shared" ref="Q451:Q514" si="7">P451&amp;D451</f>
        <v>UNIVERSITAS RIAUPGSD</v>
      </c>
    </row>
    <row r="452" spans="1:17" ht="15.75" thickBot="1" x14ac:dyDescent="0.3">
      <c r="A452" s="7">
        <v>451</v>
      </c>
      <c r="B452" s="6">
        <v>10</v>
      </c>
      <c r="C452" s="19">
        <v>1312051</v>
      </c>
      <c r="D452" t="s">
        <v>63</v>
      </c>
      <c r="E452" s="19">
        <v>48</v>
      </c>
      <c r="F452" s="10" t="s">
        <v>13</v>
      </c>
      <c r="H452" s="39"/>
      <c r="I452" s="18"/>
      <c r="J452" s="138" t="s">
        <v>1292</v>
      </c>
      <c r="K452" s="138" t="s">
        <v>1292</v>
      </c>
      <c r="L452" s="138" t="s">
        <v>1292</v>
      </c>
      <c r="N452" s="83" t="s">
        <v>1292</v>
      </c>
      <c r="P452" t="str">
        <f>VLOOKUP(B452,PTN!A:B,2,FALSE)</f>
        <v>UNIVERSITAS RIAU</v>
      </c>
      <c r="Q452" t="str">
        <f t="shared" si="7"/>
        <v>UNIVERSITAS RIAUSOSIOLOGI</v>
      </c>
    </row>
    <row r="453" spans="1:17" ht="16.5" thickTop="1" thickBot="1" x14ac:dyDescent="0.3">
      <c r="A453" s="7">
        <v>452</v>
      </c>
      <c r="B453" s="6">
        <v>12</v>
      </c>
      <c r="C453" s="12">
        <v>1331083</v>
      </c>
      <c r="D453" t="s">
        <v>235</v>
      </c>
      <c r="E453" s="12">
        <v>32</v>
      </c>
      <c r="F453" s="10" t="s">
        <v>20</v>
      </c>
      <c r="H453" s="20"/>
      <c r="I453" s="21"/>
      <c r="J453" s="138" t="s">
        <v>1292</v>
      </c>
      <c r="K453" s="138" t="s">
        <v>1292</v>
      </c>
      <c r="L453" s="138" t="s">
        <v>1292</v>
      </c>
      <c r="N453" s="83" t="s">
        <v>1292</v>
      </c>
      <c r="P453" t="str">
        <f>VLOOKUP(B453,PTN!A:B,2,FALSE)</f>
        <v>UNIVERSITAS MARITIM RAJA ALI HAJI</v>
      </c>
      <c r="Q453" t="str">
        <f t="shared" si="7"/>
        <v>UNIVERSITAS MARITIM RAJA ALI HAJIBUDI DAYA PERAIRAN</v>
      </c>
    </row>
    <row r="454" spans="1:17" ht="15.75" thickBot="1" x14ac:dyDescent="0.3">
      <c r="A454" s="7">
        <v>453</v>
      </c>
      <c r="B454" s="6">
        <v>12</v>
      </c>
      <c r="C454" s="13">
        <v>1331036</v>
      </c>
      <c r="D454" t="s">
        <v>40</v>
      </c>
      <c r="E454" s="13">
        <v>48</v>
      </c>
      <c r="F454" s="10" t="s">
        <v>20</v>
      </c>
      <c r="H454" s="22"/>
      <c r="I454" s="21"/>
      <c r="J454" s="138" t="s">
        <v>1292</v>
      </c>
      <c r="K454" s="138" t="s">
        <v>1292</v>
      </c>
      <c r="L454" s="138" t="s">
        <v>1292</v>
      </c>
      <c r="N454" s="83" t="s">
        <v>1292</v>
      </c>
      <c r="P454" t="str">
        <f>VLOOKUP(B454,PTN!A:B,2,FALSE)</f>
        <v>UNIVERSITAS MARITIM RAJA ALI HAJI</v>
      </c>
      <c r="Q454" t="str">
        <f t="shared" si="7"/>
        <v>UNIVERSITAS MARITIM RAJA ALI HAJIILMU KELAUTAN</v>
      </c>
    </row>
    <row r="455" spans="1:17" ht="16.5" thickTop="1" thickBot="1" x14ac:dyDescent="0.3">
      <c r="A455" s="7">
        <v>454</v>
      </c>
      <c r="B455" s="6">
        <v>12</v>
      </c>
      <c r="C455" s="12">
        <v>1331044</v>
      </c>
      <c r="D455" t="s">
        <v>213</v>
      </c>
      <c r="E455" s="12">
        <v>48</v>
      </c>
      <c r="F455" s="10" t="s">
        <v>20</v>
      </c>
      <c r="H455" s="23"/>
      <c r="I455" s="24"/>
      <c r="J455" s="138" t="s">
        <v>1292</v>
      </c>
      <c r="K455" s="138" t="s">
        <v>1292</v>
      </c>
      <c r="L455" s="138" t="s">
        <v>1292</v>
      </c>
      <c r="N455" s="83" t="s">
        <v>1292</v>
      </c>
      <c r="P455" t="str">
        <f>VLOOKUP(B455,PTN!A:B,2,FALSE)</f>
        <v>UNIVERSITAS MARITIM RAJA ALI HAJI</v>
      </c>
      <c r="Q455" t="str">
        <f t="shared" si="7"/>
        <v>UNIVERSITAS MARITIM RAJA ALI HAJIMANAJEMEN SUMBERDAYA PERAIRAN</v>
      </c>
    </row>
    <row r="456" spans="1:17" ht="16.5" thickTop="1" thickBot="1" x14ac:dyDescent="0.3">
      <c r="A456" s="7">
        <v>455</v>
      </c>
      <c r="B456" s="6">
        <v>12</v>
      </c>
      <c r="C456" s="13">
        <v>1331067</v>
      </c>
      <c r="D456" t="s">
        <v>67</v>
      </c>
      <c r="E456" s="13">
        <v>36</v>
      </c>
      <c r="F456" s="10" t="s">
        <v>20</v>
      </c>
      <c r="H456" s="26"/>
      <c r="I456" s="12"/>
      <c r="J456" s="138" t="s">
        <v>1292</v>
      </c>
      <c r="K456" s="138" t="s">
        <v>1292</v>
      </c>
      <c r="L456" s="138" t="s">
        <v>1292</v>
      </c>
      <c r="N456" s="83" t="s">
        <v>1292</v>
      </c>
      <c r="P456" t="str">
        <f>VLOOKUP(B456,PTN!A:B,2,FALSE)</f>
        <v>UNIVERSITAS MARITIM RAJA ALI HAJI</v>
      </c>
      <c r="Q456" t="str">
        <f t="shared" si="7"/>
        <v>UNIVERSITAS MARITIM RAJA ALI HAJIPENDIDIKAN BIOLOGI</v>
      </c>
    </row>
    <row r="457" spans="1:17" ht="15.75" thickBot="1" x14ac:dyDescent="0.3">
      <c r="A457" s="7">
        <v>456</v>
      </c>
      <c r="B457" s="6">
        <v>12</v>
      </c>
      <c r="C457" s="12">
        <v>1331075</v>
      </c>
      <c r="D457" t="s">
        <v>43</v>
      </c>
      <c r="E457" s="12">
        <v>24</v>
      </c>
      <c r="F457" s="10" t="s">
        <v>20</v>
      </c>
      <c r="H457" s="87"/>
      <c r="I457" s="13"/>
      <c r="J457" s="138" t="s">
        <v>1292</v>
      </c>
      <c r="K457" s="138" t="s">
        <v>1292</v>
      </c>
      <c r="L457" s="138" t="s">
        <v>1292</v>
      </c>
      <c r="N457" s="83" t="s">
        <v>1292</v>
      </c>
      <c r="P457" t="str">
        <f>VLOOKUP(B457,PTN!A:B,2,FALSE)</f>
        <v>UNIVERSITAS MARITIM RAJA ALI HAJI</v>
      </c>
      <c r="Q457" t="str">
        <f t="shared" si="7"/>
        <v>UNIVERSITAS MARITIM RAJA ALI HAJIPENDIDIKAN KIMIA</v>
      </c>
    </row>
    <row r="458" spans="1:17" ht="15.75" thickBot="1" x14ac:dyDescent="0.3">
      <c r="A458" s="7">
        <v>457</v>
      </c>
      <c r="B458" s="6">
        <v>12</v>
      </c>
      <c r="C458" s="13">
        <v>1331052</v>
      </c>
      <c r="D458" t="s">
        <v>44</v>
      </c>
      <c r="E458" s="13">
        <v>36</v>
      </c>
      <c r="F458" s="10" t="s">
        <v>20</v>
      </c>
      <c r="H458" s="26"/>
      <c r="I458" s="12"/>
      <c r="J458" s="138" t="s">
        <v>1292</v>
      </c>
      <c r="K458" s="138" t="s">
        <v>1292</v>
      </c>
      <c r="L458" s="138" t="s">
        <v>1292</v>
      </c>
      <c r="N458" s="83" t="s">
        <v>1292</v>
      </c>
      <c r="P458" t="str">
        <f>VLOOKUP(B458,PTN!A:B,2,FALSE)</f>
        <v>UNIVERSITAS MARITIM RAJA ALI HAJI</v>
      </c>
      <c r="Q458" t="str">
        <f t="shared" si="7"/>
        <v>UNIVERSITAS MARITIM RAJA ALI HAJIPENDIDIKAN MATEMATIKA</v>
      </c>
    </row>
    <row r="459" spans="1:17" ht="15.75" thickBot="1" x14ac:dyDescent="0.3">
      <c r="A459" s="7">
        <v>458</v>
      </c>
      <c r="B459" s="6">
        <v>12</v>
      </c>
      <c r="C459" s="12">
        <v>1331102</v>
      </c>
      <c r="D459" t="s">
        <v>219</v>
      </c>
      <c r="E459" s="12">
        <v>16</v>
      </c>
      <c r="F459" s="10" t="s">
        <v>20</v>
      </c>
      <c r="H459" s="87"/>
      <c r="I459" s="13"/>
      <c r="J459" s="138" t="s">
        <v>1292</v>
      </c>
      <c r="K459" s="138" t="s">
        <v>1292</v>
      </c>
      <c r="L459" s="138" t="s">
        <v>1292</v>
      </c>
      <c r="N459" s="83" t="s">
        <v>1292</v>
      </c>
      <c r="P459" t="str">
        <f>VLOOKUP(B459,PTN!A:B,2,FALSE)</f>
        <v>UNIVERSITAS MARITIM RAJA ALI HAJI</v>
      </c>
      <c r="Q459" t="str">
        <f t="shared" si="7"/>
        <v>UNIVERSITAS MARITIM RAJA ALI HAJISOSIAL EKONOMI PERIKANAN</v>
      </c>
    </row>
    <row r="460" spans="1:17" ht="15.75" thickBot="1" x14ac:dyDescent="0.3">
      <c r="A460" s="7">
        <v>459</v>
      </c>
      <c r="B460" s="6">
        <v>12</v>
      </c>
      <c r="C460" s="13">
        <v>1331013</v>
      </c>
      <c r="D460" t="s">
        <v>48</v>
      </c>
      <c r="E460" s="13">
        <v>28</v>
      </c>
      <c r="F460" s="10" t="s">
        <v>20</v>
      </c>
      <c r="H460" s="26"/>
      <c r="I460" s="12"/>
      <c r="J460" s="138" t="s">
        <v>1292</v>
      </c>
      <c r="K460" s="138" t="s">
        <v>1292</v>
      </c>
      <c r="L460" s="138" t="s">
        <v>1292</v>
      </c>
      <c r="N460" s="83" t="s">
        <v>1292</v>
      </c>
      <c r="P460" t="str">
        <f>VLOOKUP(B460,PTN!A:B,2,FALSE)</f>
        <v>UNIVERSITAS MARITIM RAJA ALI HAJI</v>
      </c>
      <c r="Q460" t="str">
        <f t="shared" si="7"/>
        <v>UNIVERSITAS MARITIM RAJA ALI HAJITEKNIK ELEKTRO</v>
      </c>
    </row>
    <row r="461" spans="1:17" ht="15.75" thickBot="1" x14ac:dyDescent="0.3">
      <c r="A461" s="7">
        <v>460</v>
      </c>
      <c r="B461" s="6">
        <v>12</v>
      </c>
      <c r="C461" s="12">
        <v>1331021</v>
      </c>
      <c r="D461" t="s">
        <v>50</v>
      </c>
      <c r="E461" s="12">
        <v>28</v>
      </c>
      <c r="F461" s="10" t="s">
        <v>20</v>
      </c>
      <c r="H461" s="87"/>
      <c r="I461" s="13"/>
      <c r="J461" s="138" t="s">
        <v>1292</v>
      </c>
      <c r="K461" s="138" t="s">
        <v>1292</v>
      </c>
      <c r="L461" s="138" t="s">
        <v>1292</v>
      </c>
      <c r="N461" s="83" t="s">
        <v>1292</v>
      </c>
      <c r="P461" t="str">
        <f>VLOOKUP(B461,PTN!A:B,2,FALSE)</f>
        <v>UNIVERSITAS MARITIM RAJA ALI HAJI</v>
      </c>
      <c r="Q461" t="str">
        <f t="shared" si="7"/>
        <v>UNIVERSITAS MARITIM RAJA ALI HAJITEKNIK INFORMATIKA</v>
      </c>
    </row>
    <row r="462" spans="1:17" ht="15.75" thickBot="1" x14ac:dyDescent="0.3">
      <c r="A462" s="7">
        <v>461</v>
      </c>
      <c r="B462" s="6">
        <v>12</v>
      </c>
      <c r="C462" s="16">
        <v>1331091</v>
      </c>
      <c r="D462" t="s">
        <v>222</v>
      </c>
      <c r="E462" s="16">
        <v>32</v>
      </c>
      <c r="F462" s="10" t="s">
        <v>20</v>
      </c>
      <c r="H462" s="20"/>
      <c r="I462" s="21"/>
      <c r="J462" s="138" t="s">
        <v>1292</v>
      </c>
      <c r="K462" s="138" t="s">
        <v>1292</v>
      </c>
      <c r="L462" s="138" t="s">
        <v>1292</v>
      </c>
      <c r="N462" s="83" t="s">
        <v>1292</v>
      </c>
      <c r="P462" t="str">
        <f>VLOOKUP(B462,PTN!A:B,2,FALSE)</f>
        <v>UNIVERSITAS MARITIM RAJA ALI HAJI</v>
      </c>
      <c r="Q462" t="str">
        <f t="shared" si="7"/>
        <v>UNIVERSITAS MARITIM RAJA ALI HAJITEKNOLOGI HASIL PERIKANAN</v>
      </c>
    </row>
    <row r="463" spans="1:17" ht="16.5" thickTop="1" thickBot="1" x14ac:dyDescent="0.3">
      <c r="A463" s="7">
        <v>462</v>
      </c>
      <c r="B463" s="6">
        <v>12</v>
      </c>
      <c r="C463" s="12">
        <v>1332024</v>
      </c>
      <c r="D463" t="s">
        <v>55</v>
      </c>
      <c r="E463" s="12">
        <v>48</v>
      </c>
      <c r="F463" s="10" t="s">
        <v>13</v>
      </c>
      <c r="H463" s="22"/>
      <c r="I463" s="21"/>
      <c r="J463" s="138" t="s">
        <v>1292</v>
      </c>
      <c r="K463" s="138" t="s">
        <v>1292</v>
      </c>
      <c r="L463" s="138" t="s">
        <v>1292</v>
      </c>
      <c r="N463" s="83" t="s">
        <v>1292</v>
      </c>
      <c r="P463" t="str">
        <f>VLOOKUP(B463,PTN!A:B,2,FALSE)</f>
        <v>UNIVERSITAS MARITIM RAJA ALI HAJI</v>
      </c>
      <c r="Q463" t="str">
        <f t="shared" si="7"/>
        <v>UNIVERSITAS MARITIM RAJA ALI HAJIAKUNTANSI</v>
      </c>
    </row>
    <row r="464" spans="1:17" ht="16.5" thickTop="1" thickBot="1" x14ac:dyDescent="0.3">
      <c r="A464" s="7">
        <v>463</v>
      </c>
      <c r="B464" s="6">
        <v>12</v>
      </c>
      <c r="C464" s="13">
        <v>1332032</v>
      </c>
      <c r="D464" t="s">
        <v>29</v>
      </c>
      <c r="E464" s="13">
        <v>48</v>
      </c>
      <c r="F464" s="10" t="s">
        <v>13</v>
      </c>
      <c r="H464" s="23"/>
      <c r="I464" s="24"/>
      <c r="J464" s="138" t="s">
        <v>1292</v>
      </c>
      <c r="K464" s="138" t="s">
        <v>1292</v>
      </c>
      <c r="L464" s="138" t="s">
        <v>1292</v>
      </c>
      <c r="N464" s="83" t="s">
        <v>1292</v>
      </c>
      <c r="P464" t="str">
        <f>VLOOKUP(B464,PTN!A:B,2,FALSE)</f>
        <v>UNIVERSITAS MARITIM RAJA ALI HAJI</v>
      </c>
      <c r="Q464" t="str">
        <f t="shared" si="7"/>
        <v>UNIVERSITAS MARITIM RAJA ALI HAJIILMU ADMINISTRASI NEGARA</v>
      </c>
    </row>
    <row r="465" spans="1:17" ht="16.5" thickTop="1" thickBot="1" x14ac:dyDescent="0.3">
      <c r="A465" s="7">
        <v>464</v>
      </c>
      <c r="B465" s="6">
        <v>12</v>
      </c>
      <c r="C465" s="12">
        <v>1332094</v>
      </c>
      <c r="D465" t="s">
        <v>168</v>
      </c>
      <c r="E465" s="12">
        <v>16</v>
      </c>
      <c r="F465" s="10" t="s">
        <v>13</v>
      </c>
      <c r="H465" s="26"/>
      <c r="I465" s="12"/>
      <c r="J465" s="138" t="s">
        <v>1292</v>
      </c>
      <c r="K465" s="138" t="s">
        <v>1292</v>
      </c>
      <c r="L465" s="138" t="s">
        <v>1292</v>
      </c>
      <c r="N465" s="83" t="s">
        <v>1292</v>
      </c>
      <c r="P465" t="str">
        <f>VLOOKUP(B465,PTN!A:B,2,FALSE)</f>
        <v>UNIVERSITAS MARITIM RAJA ALI HAJI</v>
      </c>
      <c r="Q465" t="str">
        <f t="shared" si="7"/>
        <v>UNIVERSITAS MARITIM RAJA ALI HAJIILMU HUBUNGAN INTERNASIONAL</v>
      </c>
    </row>
    <row r="466" spans="1:17" ht="15.75" thickBot="1" x14ac:dyDescent="0.3">
      <c r="A466" s="7">
        <v>465</v>
      </c>
      <c r="B466" s="6">
        <v>12</v>
      </c>
      <c r="C466" s="13">
        <v>1332086</v>
      </c>
      <c r="D466" t="s">
        <v>31</v>
      </c>
      <c r="E466" s="13">
        <v>48</v>
      </c>
      <c r="F466" s="10" t="s">
        <v>13</v>
      </c>
      <c r="H466" s="87"/>
      <c r="I466" s="13"/>
      <c r="J466" s="138" t="s">
        <v>1292</v>
      </c>
      <c r="K466" s="138" t="s">
        <v>1292</v>
      </c>
      <c r="L466" s="138" t="s">
        <v>1292</v>
      </c>
      <c r="N466" s="83" t="s">
        <v>1292</v>
      </c>
      <c r="P466" t="str">
        <f>VLOOKUP(B466,PTN!A:B,2,FALSE)</f>
        <v>UNIVERSITAS MARITIM RAJA ALI HAJI</v>
      </c>
      <c r="Q466" t="str">
        <f t="shared" si="7"/>
        <v>UNIVERSITAS MARITIM RAJA ALI HAJIILMU HUKUM</v>
      </c>
    </row>
    <row r="467" spans="1:17" ht="15.75" thickBot="1" x14ac:dyDescent="0.3">
      <c r="A467" s="7">
        <v>466</v>
      </c>
      <c r="B467" s="6">
        <v>12</v>
      </c>
      <c r="C467" s="12">
        <v>1332047</v>
      </c>
      <c r="D467" t="s">
        <v>97</v>
      </c>
      <c r="E467" s="12">
        <v>32</v>
      </c>
      <c r="F467" s="10" t="s">
        <v>13</v>
      </c>
      <c r="H467" s="26"/>
      <c r="I467" s="12"/>
      <c r="J467" s="138" t="s">
        <v>1292</v>
      </c>
      <c r="K467" s="138" t="s">
        <v>1292</v>
      </c>
      <c r="L467" s="138" t="s">
        <v>1292</v>
      </c>
      <c r="N467" s="83" t="s">
        <v>1292</v>
      </c>
      <c r="P467" t="str">
        <f>VLOOKUP(B467,PTN!A:B,2,FALSE)</f>
        <v>UNIVERSITAS MARITIM RAJA ALI HAJI</v>
      </c>
      <c r="Q467" t="str">
        <f t="shared" si="7"/>
        <v>UNIVERSITAS MARITIM RAJA ALI HAJIILMU PEMERINTAHAN</v>
      </c>
    </row>
    <row r="468" spans="1:17" ht="15.75" thickBot="1" x14ac:dyDescent="0.3">
      <c r="A468" s="7">
        <v>467</v>
      </c>
      <c r="B468" s="6">
        <v>12</v>
      </c>
      <c r="C468" s="13">
        <v>1332071</v>
      </c>
      <c r="D468" t="s">
        <v>61</v>
      </c>
      <c r="E468" s="13">
        <v>48</v>
      </c>
      <c r="F468" s="10" t="s">
        <v>13</v>
      </c>
      <c r="H468" s="87"/>
      <c r="I468" s="13"/>
      <c r="J468" s="138" t="s">
        <v>1292</v>
      </c>
      <c r="K468" s="138" t="s">
        <v>1292</v>
      </c>
      <c r="L468" s="138" t="s">
        <v>1292</v>
      </c>
      <c r="N468" s="83" t="s">
        <v>1292</v>
      </c>
      <c r="P468" t="str">
        <f>VLOOKUP(B468,PTN!A:B,2,FALSE)</f>
        <v>UNIVERSITAS MARITIM RAJA ALI HAJI</v>
      </c>
      <c r="Q468" t="str">
        <f t="shared" si="7"/>
        <v>UNIVERSITAS MARITIM RAJA ALI HAJIMANAJEMEN</v>
      </c>
    </row>
    <row r="469" spans="1:17" ht="15.75" thickBot="1" x14ac:dyDescent="0.3">
      <c r="A469" s="7">
        <v>468</v>
      </c>
      <c r="B469" s="6">
        <v>12</v>
      </c>
      <c r="C469" s="12">
        <v>1332016</v>
      </c>
      <c r="D469" t="s">
        <v>70</v>
      </c>
      <c r="E469" s="12">
        <v>48</v>
      </c>
      <c r="F469" s="10" t="s">
        <v>13</v>
      </c>
      <c r="H469" s="26"/>
      <c r="I469" s="12"/>
      <c r="J469" s="138" t="s">
        <v>1292</v>
      </c>
      <c r="K469" s="138" t="s">
        <v>1292</v>
      </c>
      <c r="L469" s="138" t="s">
        <v>1292</v>
      </c>
      <c r="N469" s="83" t="s">
        <v>1292</v>
      </c>
      <c r="P469" t="str">
        <f>VLOOKUP(B469,PTN!A:B,2,FALSE)</f>
        <v>UNIVERSITAS MARITIM RAJA ALI HAJI</v>
      </c>
      <c r="Q469" t="str">
        <f t="shared" si="7"/>
        <v>UNIVERSITAS MARITIM RAJA ALI HAJIPENDIDIKAN BAHASA INDONESIA</v>
      </c>
    </row>
    <row r="470" spans="1:17" ht="15.75" thickBot="1" x14ac:dyDescent="0.3">
      <c r="A470" s="7">
        <v>469</v>
      </c>
      <c r="B470" s="6">
        <v>12</v>
      </c>
      <c r="C470" s="13">
        <v>1332063</v>
      </c>
      <c r="D470" t="s">
        <v>71</v>
      </c>
      <c r="E470" s="13">
        <v>36</v>
      </c>
      <c r="F470" s="10" t="s">
        <v>13</v>
      </c>
      <c r="H470" s="87"/>
      <c r="I470" s="13"/>
      <c r="J470" s="138" t="s">
        <v>1292</v>
      </c>
      <c r="K470" s="138" t="s">
        <v>1292</v>
      </c>
      <c r="L470" s="138" t="s">
        <v>1292</v>
      </c>
      <c r="N470" s="83" t="s">
        <v>1292</v>
      </c>
      <c r="P470" t="str">
        <f>VLOOKUP(B470,PTN!A:B,2,FALSE)</f>
        <v>UNIVERSITAS MARITIM RAJA ALI HAJI</v>
      </c>
      <c r="Q470" t="str">
        <f t="shared" si="7"/>
        <v>UNIVERSITAS MARITIM RAJA ALI HAJIPENDIDIKAN BAHASA INGGRIS</v>
      </c>
    </row>
    <row r="471" spans="1:17" ht="15.75" thickBot="1" x14ac:dyDescent="0.3">
      <c r="A471" s="7">
        <v>470</v>
      </c>
      <c r="B471" s="6">
        <v>12</v>
      </c>
      <c r="C471" s="14">
        <v>1332055</v>
      </c>
      <c r="D471" t="s">
        <v>63</v>
      </c>
      <c r="E471" s="14">
        <v>40</v>
      </c>
      <c r="F471" s="10" t="s">
        <v>13</v>
      </c>
      <c r="H471" s="20"/>
      <c r="I471" s="21"/>
      <c r="J471" s="138" t="s">
        <v>1292</v>
      </c>
      <c r="K471" s="138" t="s">
        <v>1292</v>
      </c>
      <c r="L471" s="138" t="s">
        <v>1292</v>
      </c>
      <c r="N471" s="83" t="s">
        <v>1292</v>
      </c>
      <c r="P471" t="str">
        <f>VLOOKUP(B471,PTN!A:B,2,FALSE)</f>
        <v>UNIVERSITAS MARITIM RAJA ALI HAJI</v>
      </c>
      <c r="Q471" t="str">
        <f t="shared" si="7"/>
        <v>UNIVERSITAS MARITIM RAJA ALI HAJISOSIOLOGI</v>
      </c>
    </row>
    <row r="472" spans="1:17" ht="16.5" thickTop="1" thickBot="1" x14ac:dyDescent="0.3">
      <c r="A472" s="7">
        <v>471</v>
      </c>
      <c r="B472" s="6">
        <v>16</v>
      </c>
      <c r="C472" s="12">
        <v>1511065</v>
      </c>
      <c r="D472" t="s">
        <v>37</v>
      </c>
      <c r="E472" s="12">
        <v>60</v>
      </c>
      <c r="F472" s="10" t="s">
        <v>20</v>
      </c>
      <c r="H472" s="22"/>
      <c r="I472" s="21"/>
      <c r="J472" s="138" t="s">
        <v>1292</v>
      </c>
      <c r="K472" s="138" t="s">
        <v>1292</v>
      </c>
      <c r="L472" s="138" t="s">
        <v>1292</v>
      </c>
      <c r="N472" s="83" t="s">
        <v>1292</v>
      </c>
      <c r="P472" t="str">
        <f>VLOOKUP(B472,PTN!A:B,2,FALSE)</f>
        <v>UNIVERSITAS JAMBI</v>
      </c>
      <c r="Q472" t="str">
        <f t="shared" si="7"/>
        <v>UNIVERSITAS JAMBIAGRIBISNIS</v>
      </c>
    </row>
    <row r="473" spans="1:17" ht="16.5" thickTop="1" thickBot="1" x14ac:dyDescent="0.3">
      <c r="A473" s="7">
        <v>472</v>
      </c>
      <c r="B473" s="6">
        <v>16</v>
      </c>
      <c r="C473" s="13">
        <v>1511057</v>
      </c>
      <c r="D473" t="s">
        <v>38</v>
      </c>
      <c r="E473" s="13">
        <v>50</v>
      </c>
      <c r="F473" s="10" t="s">
        <v>20</v>
      </c>
      <c r="H473" s="23"/>
      <c r="I473" s="24"/>
      <c r="J473" s="138" t="s">
        <v>1292</v>
      </c>
      <c r="K473" s="138" t="s">
        <v>1292</v>
      </c>
      <c r="L473" s="138" t="s">
        <v>1292</v>
      </c>
      <c r="N473" s="83" t="s">
        <v>1292</v>
      </c>
      <c r="P473" t="str">
        <f>VLOOKUP(B473,PTN!A:B,2,FALSE)</f>
        <v>UNIVERSITAS JAMBI</v>
      </c>
      <c r="Q473" t="str">
        <f t="shared" si="7"/>
        <v>UNIVERSITAS JAMBIAGROEKOTEKNOLOGI</v>
      </c>
    </row>
    <row r="474" spans="1:17" ht="16.5" thickTop="1" thickBot="1" x14ac:dyDescent="0.3">
      <c r="A474" s="7">
        <v>473</v>
      </c>
      <c r="B474" s="6">
        <v>16</v>
      </c>
      <c r="C474" s="12">
        <v>1511266</v>
      </c>
      <c r="D474" t="s">
        <v>21</v>
      </c>
      <c r="E474" s="12">
        <v>18</v>
      </c>
      <c r="F474" s="10" t="s">
        <v>20</v>
      </c>
      <c r="H474" s="26"/>
      <c r="I474" s="12"/>
      <c r="J474" s="138" t="s">
        <v>1292</v>
      </c>
      <c r="K474" s="138" t="s">
        <v>1292</v>
      </c>
      <c r="L474" s="138" t="s">
        <v>1292</v>
      </c>
      <c r="N474" s="83" t="s">
        <v>1292</v>
      </c>
      <c r="P474" t="str">
        <f>VLOOKUP(B474,PTN!A:B,2,FALSE)</f>
        <v>UNIVERSITAS JAMBI</v>
      </c>
      <c r="Q474" t="str">
        <f t="shared" si="7"/>
        <v>UNIVERSITAS JAMBIBIOLOGI</v>
      </c>
    </row>
    <row r="475" spans="1:17" ht="15.75" thickBot="1" x14ac:dyDescent="0.3">
      <c r="A475" s="7">
        <v>474</v>
      </c>
      <c r="B475" s="6">
        <v>16</v>
      </c>
      <c r="C475" s="13">
        <v>1511212</v>
      </c>
      <c r="D475" t="s">
        <v>77</v>
      </c>
      <c r="E475" s="13">
        <v>20</v>
      </c>
      <c r="F475" s="10" t="s">
        <v>20</v>
      </c>
      <c r="H475" s="87"/>
      <c r="I475" s="13"/>
      <c r="J475" s="138" t="s">
        <v>1292</v>
      </c>
      <c r="K475" s="138" t="s">
        <v>1292</v>
      </c>
      <c r="L475" s="138" t="s">
        <v>1292</v>
      </c>
      <c r="N475" s="83" t="s">
        <v>1292</v>
      </c>
      <c r="P475" t="str">
        <f>VLOOKUP(B475,PTN!A:B,2,FALSE)</f>
        <v>UNIVERSITAS JAMBI</v>
      </c>
      <c r="Q475" t="str">
        <f t="shared" si="7"/>
        <v>UNIVERSITAS JAMBIFARMASI</v>
      </c>
    </row>
    <row r="476" spans="1:17" ht="15.75" thickBot="1" x14ac:dyDescent="0.3">
      <c r="A476" s="7">
        <v>475</v>
      </c>
      <c r="B476" s="6">
        <v>16</v>
      </c>
      <c r="C476" s="12">
        <v>1511274</v>
      </c>
      <c r="D476" t="s">
        <v>65</v>
      </c>
      <c r="E476" s="12">
        <v>10</v>
      </c>
      <c r="F476" s="10" t="s">
        <v>20</v>
      </c>
      <c r="H476" s="26"/>
      <c r="I476" s="12"/>
      <c r="J476" s="138" t="s">
        <v>1292</v>
      </c>
      <c r="K476" s="138" t="s">
        <v>1292</v>
      </c>
      <c r="L476" s="138" t="s">
        <v>1292</v>
      </c>
      <c r="N476" s="83" t="s">
        <v>1292</v>
      </c>
      <c r="P476" t="str">
        <f>VLOOKUP(B476,PTN!A:B,2,FALSE)</f>
        <v>UNIVERSITAS JAMBI</v>
      </c>
      <c r="Q476" t="str">
        <f t="shared" si="7"/>
        <v>UNIVERSITAS JAMBIFISIKA</v>
      </c>
    </row>
    <row r="477" spans="1:17" ht="15.75" thickBot="1" x14ac:dyDescent="0.3">
      <c r="A477" s="7">
        <v>476</v>
      </c>
      <c r="B477" s="6">
        <v>16</v>
      </c>
      <c r="C477" s="13">
        <v>1511204</v>
      </c>
      <c r="D477" t="s">
        <v>78</v>
      </c>
      <c r="E477" s="13">
        <v>30</v>
      </c>
      <c r="F477" s="10" t="s">
        <v>20</v>
      </c>
      <c r="H477" s="87"/>
      <c r="I477" s="13"/>
      <c r="J477" s="138" t="s">
        <v>1292</v>
      </c>
      <c r="K477" s="138" t="s">
        <v>1292</v>
      </c>
      <c r="L477" s="138" t="s">
        <v>1292</v>
      </c>
      <c r="N477" s="83" t="s">
        <v>1292</v>
      </c>
      <c r="P477" t="str">
        <f>VLOOKUP(B477,PTN!A:B,2,FALSE)</f>
        <v>UNIVERSITAS JAMBI</v>
      </c>
      <c r="Q477" t="str">
        <f t="shared" si="7"/>
        <v>UNIVERSITAS JAMBIILMU KEPERAWATAN</v>
      </c>
    </row>
    <row r="478" spans="1:17" ht="15.75" thickBot="1" x14ac:dyDescent="0.3">
      <c r="A478" s="7">
        <v>477</v>
      </c>
      <c r="B478" s="6">
        <v>16</v>
      </c>
      <c r="C478" s="12">
        <v>1511297</v>
      </c>
      <c r="D478" t="s">
        <v>110</v>
      </c>
      <c r="E478" s="12">
        <v>75</v>
      </c>
      <c r="F478" s="10" t="s">
        <v>20</v>
      </c>
      <c r="H478" s="26"/>
      <c r="I478" s="12"/>
      <c r="J478" s="138" t="s">
        <v>1292</v>
      </c>
      <c r="K478" s="138" t="s">
        <v>1292</v>
      </c>
      <c r="L478" s="138" t="s">
        <v>1292</v>
      </c>
      <c r="N478" s="83" t="s">
        <v>1292</v>
      </c>
      <c r="P478" t="str">
        <f>VLOOKUP(B478,PTN!A:B,2,FALSE)</f>
        <v>UNIVERSITAS JAMBI</v>
      </c>
      <c r="Q478" t="str">
        <f t="shared" si="7"/>
        <v>UNIVERSITAS JAMBIILMU KESEHATAN MASYARAKAT</v>
      </c>
    </row>
    <row r="479" spans="1:17" ht="15.75" thickBot="1" x14ac:dyDescent="0.3">
      <c r="A479" s="7">
        <v>478</v>
      </c>
      <c r="B479" s="6">
        <v>16</v>
      </c>
      <c r="C479" s="13">
        <v>1511146</v>
      </c>
      <c r="D479" t="s">
        <v>236</v>
      </c>
      <c r="E479" s="13">
        <v>38</v>
      </c>
      <c r="F479" s="10" t="s">
        <v>20</v>
      </c>
      <c r="H479" s="87"/>
      <c r="I479" s="13"/>
      <c r="J479" s="138">
        <v>644.41</v>
      </c>
      <c r="K479" s="138">
        <v>649.24</v>
      </c>
      <c r="L479" s="138">
        <v>639.57999999999993</v>
      </c>
      <c r="N479" s="83">
        <v>644.41</v>
      </c>
      <c r="P479" t="str">
        <f>VLOOKUP(B479,PTN!A:B,2,FALSE)</f>
        <v>UNIVERSITAS JAMBI</v>
      </c>
      <c r="Q479" t="str">
        <f t="shared" si="7"/>
        <v>UNIVERSITAS JAMBIKEDOKTERAN</v>
      </c>
    </row>
    <row r="480" spans="1:17" ht="15.75" thickBot="1" x14ac:dyDescent="0.3">
      <c r="A480" s="7">
        <v>479</v>
      </c>
      <c r="B480" s="6">
        <v>16</v>
      </c>
      <c r="C480" s="12">
        <v>1511123</v>
      </c>
      <c r="D480" t="s">
        <v>81</v>
      </c>
      <c r="E480" s="12">
        <v>50</v>
      </c>
      <c r="F480" s="10" t="s">
        <v>20</v>
      </c>
      <c r="H480" s="26"/>
      <c r="I480" s="12"/>
      <c r="J480" s="138" t="s">
        <v>1292</v>
      </c>
      <c r="K480" s="138" t="s">
        <v>1292</v>
      </c>
      <c r="L480" s="138" t="s">
        <v>1292</v>
      </c>
      <c r="N480" s="83" t="s">
        <v>1292</v>
      </c>
      <c r="P480" t="str">
        <f>VLOOKUP(B480,PTN!A:B,2,FALSE)</f>
        <v>UNIVERSITAS JAMBI</v>
      </c>
      <c r="Q480" t="str">
        <f t="shared" si="7"/>
        <v>UNIVERSITAS JAMBIKEHUTANAN</v>
      </c>
    </row>
    <row r="481" spans="1:17" ht="15.75" thickBot="1" x14ac:dyDescent="0.3">
      <c r="A481" s="7">
        <v>480</v>
      </c>
      <c r="B481" s="6">
        <v>16</v>
      </c>
      <c r="C481" s="13">
        <v>1511316</v>
      </c>
      <c r="D481" t="s">
        <v>237</v>
      </c>
      <c r="E481" s="13">
        <v>38</v>
      </c>
      <c r="F481" s="10" t="s">
        <v>20</v>
      </c>
      <c r="H481" s="87"/>
      <c r="I481" s="13"/>
      <c r="J481" s="138" t="s">
        <v>1292</v>
      </c>
      <c r="K481" s="138" t="s">
        <v>1292</v>
      </c>
      <c r="L481" s="138" t="s">
        <v>1292</v>
      </c>
      <c r="N481" s="83" t="s">
        <v>1292</v>
      </c>
      <c r="P481" t="str">
        <f>VLOOKUP(B481,PTN!A:B,2,FALSE)</f>
        <v>UNIVERSITAS JAMBI</v>
      </c>
      <c r="Q481" t="str">
        <f t="shared" si="7"/>
        <v>UNIVERSITAS JAMBIKEPELATIHAN OLAHRAGA</v>
      </c>
    </row>
    <row r="482" spans="1:17" ht="15.75" thickBot="1" x14ac:dyDescent="0.3">
      <c r="A482" s="7">
        <v>481</v>
      </c>
      <c r="B482" s="6">
        <v>16</v>
      </c>
      <c r="C482" s="12">
        <v>1511154</v>
      </c>
      <c r="D482" t="s">
        <v>22</v>
      </c>
      <c r="E482" s="12">
        <v>20</v>
      </c>
      <c r="F482" s="10" t="s">
        <v>20</v>
      </c>
      <c r="H482" s="26"/>
      <c r="I482" s="12"/>
      <c r="J482" s="138" t="s">
        <v>1292</v>
      </c>
      <c r="K482" s="138" t="s">
        <v>1292</v>
      </c>
      <c r="L482" s="138" t="s">
        <v>1292</v>
      </c>
      <c r="N482" s="83" t="s">
        <v>1292</v>
      </c>
      <c r="P482" t="str">
        <f>VLOOKUP(B482,PTN!A:B,2,FALSE)</f>
        <v>UNIVERSITAS JAMBI</v>
      </c>
      <c r="Q482" t="str">
        <f t="shared" si="7"/>
        <v>UNIVERSITAS JAMBIKIMIA</v>
      </c>
    </row>
    <row r="483" spans="1:17" ht="15.75" thickBot="1" x14ac:dyDescent="0.3">
      <c r="A483" s="7">
        <v>482</v>
      </c>
      <c r="B483" s="6">
        <v>16</v>
      </c>
      <c r="C483" s="13">
        <v>1511282</v>
      </c>
      <c r="D483" t="s">
        <v>66</v>
      </c>
      <c r="E483" s="13">
        <v>18</v>
      </c>
      <c r="F483" s="10" t="s">
        <v>20</v>
      </c>
      <c r="H483" s="87"/>
      <c r="I483" s="13"/>
      <c r="J483" s="138" t="s">
        <v>1292</v>
      </c>
      <c r="K483" s="138" t="s">
        <v>1292</v>
      </c>
      <c r="L483" s="138" t="s">
        <v>1292</v>
      </c>
      <c r="N483" s="83" t="s">
        <v>1292</v>
      </c>
      <c r="P483" t="str">
        <f>VLOOKUP(B483,PTN!A:B,2,FALSE)</f>
        <v>UNIVERSITAS JAMBI</v>
      </c>
      <c r="Q483" t="str">
        <f t="shared" si="7"/>
        <v>UNIVERSITAS JAMBIMATEMATIKA</v>
      </c>
    </row>
    <row r="484" spans="1:17" ht="15.75" thickBot="1" x14ac:dyDescent="0.3">
      <c r="A484" s="7">
        <v>483</v>
      </c>
      <c r="B484" s="6">
        <v>16</v>
      </c>
      <c r="C484" s="12">
        <v>1511227</v>
      </c>
      <c r="D484" t="s">
        <v>83</v>
      </c>
      <c r="E484" s="12">
        <v>20</v>
      </c>
      <c r="F484" s="10" t="s">
        <v>20</v>
      </c>
      <c r="H484" s="26"/>
      <c r="I484" s="12"/>
      <c r="J484" s="138" t="s">
        <v>1292</v>
      </c>
      <c r="K484" s="138" t="s">
        <v>1292</v>
      </c>
      <c r="L484" s="138" t="s">
        <v>1292</v>
      </c>
      <c r="N484" s="83" t="s">
        <v>1292</v>
      </c>
      <c r="P484" t="str">
        <f>VLOOKUP(B484,PTN!A:B,2,FALSE)</f>
        <v>UNIVERSITAS JAMBI</v>
      </c>
      <c r="Q484" t="str">
        <f t="shared" si="7"/>
        <v>UNIVERSITAS JAMBIPEMANFAATAN SUMBERDAYA PERIKANAN</v>
      </c>
    </row>
    <row r="485" spans="1:17" ht="15.75" thickBot="1" x14ac:dyDescent="0.3">
      <c r="A485" s="7">
        <v>484</v>
      </c>
      <c r="B485" s="6">
        <v>16</v>
      </c>
      <c r="C485" s="13">
        <v>1511042</v>
      </c>
      <c r="D485" t="s">
        <v>214</v>
      </c>
      <c r="E485" s="13">
        <v>30</v>
      </c>
      <c r="F485" s="10" t="s">
        <v>20</v>
      </c>
      <c r="H485" s="87"/>
      <c r="I485" s="13"/>
      <c r="J485" s="138" t="s">
        <v>1292</v>
      </c>
      <c r="K485" s="138" t="s">
        <v>1292</v>
      </c>
      <c r="L485" s="138" t="s">
        <v>1292</v>
      </c>
      <c r="N485" s="83" t="s">
        <v>1292</v>
      </c>
      <c r="P485" t="str">
        <f>VLOOKUP(B485,PTN!A:B,2,FALSE)</f>
        <v>UNIVERSITAS JAMBI</v>
      </c>
      <c r="Q485" t="str">
        <f t="shared" si="7"/>
        <v>UNIVERSITAS JAMBIPEND. BIOLOGI</v>
      </c>
    </row>
    <row r="486" spans="1:17" ht="15.75" thickBot="1" x14ac:dyDescent="0.3">
      <c r="A486" s="7">
        <v>485</v>
      </c>
      <c r="B486" s="6">
        <v>16</v>
      </c>
      <c r="C486" s="12">
        <v>1511034</v>
      </c>
      <c r="D486" t="s">
        <v>216</v>
      </c>
      <c r="E486" s="12">
        <v>30</v>
      </c>
      <c r="F486" s="10" t="s">
        <v>20</v>
      </c>
      <c r="H486" s="26"/>
      <c r="I486" s="12"/>
      <c r="J486" s="138" t="s">
        <v>1292</v>
      </c>
      <c r="K486" s="138" t="s">
        <v>1292</v>
      </c>
      <c r="L486" s="138" t="s">
        <v>1292</v>
      </c>
      <c r="N486" s="83" t="s">
        <v>1292</v>
      </c>
      <c r="P486" t="str">
        <f>VLOOKUP(B486,PTN!A:B,2,FALSE)</f>
        <v>UNIVERSITAS JAMBI</v>
      </c>
      <c r="Q486" t="str">
        <f t="shared" si="7"/>
        <v>UNIVERSITAS JAMBIPEND. FISIKA</v>
      </c>
    </row>
    <row r="487" spans="1:17" ht="15.75" thickBot="1" x14ac:dyDescent="0.3">
      <c r="A487" s="7">
        <v>486</v>
      </c>
      <c r="B487" s="6">
        <v>16</v>
      </c>
      <c r="C487" s="13">
        <v>1511011</v>
      </c>
      <c r="D487" t="s">
        <v>217</v>
      </c>
      <c r="E487" s="13">
        <v>30</v>
      </c>
      <c r="F487" s="10" t="s">
        <v>20</v>
      </c>
      <c r="H487" s="87"/>
      <c r="I487" s="13"/>
      <c r="J487" s="138" t="s">
        <v>1292</v>
      </c>
      <c r="K487" s="138" t="s">
        <v>1292</v>
      </c>
      <c r="L487" s="138" t="s">
        <v>1292</v>
      </c>
      <c r="N487" s="83" t="s">
        <v>1292</v>
      </c>
      <c r="P487" t="str">
        <f>VLOOKUP(B487,PTN!A:B,2,FALSE)</f>
        <v>UNIVERSITAS JAMBI</v>
      </c>
      <c r="Q487" t="str">
        <f t="shared" si="7"/>
        <v>UNIVERSITAS JAMBIPEND. KIMIA</v>
      </c>
    </row>
    <row r="488" spans="1:17" ht="15.75" thickBot="1" x14ac:dyDescent="0.3">
      <c r="A488" s="7">
        <v>487</v>
      </c>
      <c r="B488" s="6">
        <v>16</v>
      </c>
      <c r="C488" s="12">
        <v>1511026</v>
      </c>
      <c r="D488" t="s">
        <v>218</v>
      </c>
      <c r="E488" s="12">
        <v>30</v>
      </c>
      <c r="F488" s="10" t="s">
        <v>20</v>
      </c>
      <c r="H488" s="26"/>
      <c r="I488" s="12"/>
      <c r="J488" s="138" t="s">
        <v>1292</v>
      </c>
      <c r="K488" s="138" t="s">
        <v>1292</v>
      </c>
      <c r="L488" s="138" t="s">
        <v>1292</v>
      </c>
      <c r="N488" s="83" t="s">
        <v>1292</v>
      </c>
      <c r="P488" t="str">
        <f>VLOOKUP(B488,PTN!A:B,2,FALSE)</f>
        <v>UNIVERSITAS JAMBI</v>
      </c>
      <c r="Q488" t="str">
        <f t="shared" si="7"/>
        <v>UNIVERSITAS JAMBIPEND. MATEMATIKA</v>
      </c>
    </row>
    <row r="489" spans="1:17" ht="15.75" thickBot="1" x14ac:dyDescent="0.3">
      <c r="A489" s="7">
        <v>488</v>
      </c>
      <c r="B489" s="6">
        <v>16</v>
      </c>
      <c r="C489" s="13">
        <v>1511115</v>
      </c>
      <c r="D489" t="s">
        <v>238</v>
      </c>
      <c r="E489" s="13">
        <v>38</v>
      </c>
      <c r="F489" s="10" t="s">
        <v>20</v>
      </c>
      <c r="H489" s="87"/>
      <c r="I489" s="13"/>
      <c r="J489" s="138" t="s">
        <v>1292</v>
      </c>
      <c r="K489" s="138" t="s">
        <v>1292</v>
      </c>
      <c r="L489" s="138" t="s">
        <v>1292</v>
      </c>
      <c r="N489" s="83" t="s">
        <v>1292</v>
      </c>
      <c r="P489" t="str">
        <f>VLOOKUP(B489,PTN!A:B,2,FALSE)</f>
        <v>UNIVERSITAS JAMBI</v>
      </c>
      <c r="Q489" t="str">
        <f t="shared" si="7"/>
        <v>UNIVERSITAS JAMBIPEND. OLAHRAGA &amp; KESEHATAN</v>
      </c>
    </row>
    <row r="490" spans="1:17" ht="15.75" thickBot="1" x14ac:dyDescent="0.3">
      <c r="A490" s="7">
        <v>489</v>
      </c>
      <c r="B490" s="6">
        <v>16</v>
      </c>
      <c r="C490" s="12">
        <v>1511131</v>
      </c>
      <c r="D490" t="s">
        <v>88</v>
      </c>
      <c r="E490" s="12">
        <v>53</v>
      </c>
      <c r="F490" s="10" t="s">
        <v>20</v>
      </c>
      <c r="H490" s="26"/>
      <c r="I490" s="12"/>
      <c r="J490" s="138" t="s">
        <v>1292</v>
      </c>
      <c r="K490" s="138" t="s">
        <v>1292</v>
      </c>
      <c r="L490" s="138" t="s">
        <v>1292</v>
      </c>
      <c r="N490" s="83" t="s">
        <v>1292</v>
      </c>
      <c r="P490" t="str">
        <f>VLOOKUP(B490,PTN!A:B,2,FALSE)</f>
        <v>UNIVERSITAS JAMBI</v>
      </c>
      <c r="Q490" t="str">
        <f t="shared" si="7"/>
        <v>UNIVERSITAS JAMBIPETERNAKAN</v>
      </c>
    </row>
    <row r="491" spans="1:17" ht="15.75" thickBot="1" x14ac:dyDescent="0.3">
      <c r="A491" s="7">
        <v>490</v>
      </c>
      <c r="B491" s="6">
        <v>16</v>
      </c>
      <c r="C491" s="13">
        <v>1511235</v>
      </c>
      <c r="D491" t="s">
        <v>46</v>
      </c>
      <c r="E491" s="13">
        <v>40</v>
      </c>
      <c r="F491" s="10" t="s">
        <v>20</v>
      </c>
      <c r="H491" s="87"/>
      <c r="I491" s="13"/>
      <c r="J491" s="138" t="s">
        <v>1292</v>
      </c>
      <c r="K491" s="138" t="s">
        <v>1292</v>
      </c>
      <c r="L491" s="138" t="s">
        <v>1292</v>
      </c>
      <c r="N491" s="83" t="s">
        <v>1292</v>
      </c>
      <c r="P491" t="str">
        <f>VLOOKUP(B491,PTN!A:B,2,FALSE)</f>
        <v>UNIVERSITAS JAMBI</v>
      </c>
      <c r="Q491" t="str">
        <f t="shared" si="7"/>
        <v>UNIVERSITAS JAMBISISTEM INFORMASI</v>
      </c>
    </row>
    <row r="492" spans="1:17" ht="15.75" thickBot="1" x14ac:dyDescent="0.3">
      <c r="A492" s="7">
        <v>491</v>
      </c>
      <c r="B492" s="6">
        <v>16</v>
      </c>
      <c r="C492" s="12">
        <v>1511324</v>
      </c>
      <c r="D492" t="s">
        <v>48</v>
      </c>
      <c r="E492" s="12">
        <v>13</v>
      </c>
      <c r="F492" s="10" t="s">
        <v>20</v>
      </c>
      <c r="H492" s="26"/>
      <c r="I492" s="12"/>
      <c r="J492" s="138" t="s">
        <v>1292</v>
      </c>
      <c r="K492" s="138" t="s">
        <v>1292</v>
      </c>
      <c r="L492" s="138" t="s">
        <v>1292</v>
      </c>
      <c r="N492" s="83" t="s">
        <v>1292</v>
      </c>
      <c r="P492" t="str">
        <f>VLOOKUP(B492,PTN!A:B,2,FALSE)</f>
        <v>UNIVERSITAS JAMBI</v>
      </c>
      <c r="Q492" t="str">
        <f t="shared" si="7"/>
        <v>UNIVERSITAS JAMBITEKNIK ELEKTRO</v>
      </c>
    </row>
    <row r="493" spans="1:17" ht="15.75" thickBot="1" x14ac:dyDescent="0.3">
      <c r="A493" s="7">
        <v>492</v>
      </c>
      <c r="B493" s="6">
        <v>16</v>
      </c>
      <c r="C493" s="13">
        <v>1511332</v>
      </c>
      <c r="D493" t="s">
        <v>91</v>
      </c>
      <c r="E493" s="13">
        <v>10</v>
      </c>
      <c r="F493" s="10" t="s">
        <v>20</v>
      </c>
      <c r="H493" s="87"/>
      <c r="I493" s="13"/>
      <c r="J493" s="138" t="s">
        <v>1292</v>
      </c>
      <c r="K493" s="138" t="s">
        <v>1292</v>
      </c>
      <c r="L493" s="138" t="s">
        <v>1292</v>
      </c>
      <c r="N493" s="83" t="s">
        <v>1292</v>
      </c>
      <c r="P493" t="str">
        <f>VLOOKUP(B493,PTN!A:B,2,FALSE)</f>
        <v>UNIVERSITAS JAMBI</v>
      </c>
      <c r="Q493" t="str">
        <f t="shared" si="7"/>
        <v>UNIVERSITAS JAMBITEKNIK GEOFISIKA</v>
      </c>
    </row>
    <row r="494" spans="1:17" ht="15.75" thickBot="1" x14ac:dyDescent="0.3">
      <c r="A494" s="7">
        <v>493</v>
      </c>
      <c r="B494" s="6">
        <v>16</v>
      </c>
      <c r="C494" s="12">
        <v>1511251</v>
      </c>
      <c r="D494" t="s">
        <v>92</v>
      </c>
      <c r="E494" s="12">
        <v>18</v>
      </c>
      <c r="F494" s="10" t="s">
        <v>20</v>
      </c>
      <c r="H494" s="26"/>
      <c r="I494" s="12"/>
      <c r="J494" s="138" t="s">
        <v>1292</v>
      </c>
      <c r="K494" s="138" t="s">
        <v>1292</v>
      </c>
      <c r="L494" s="138" t="s">
        <v>1292</v>
      </c>
      <c r="N494" s="83" t="s">
        <v>1292</v>
      </c>
      <c r="P494" t="str">
        <f>VLOOKUP(B494,PTN!A:B,2,FALSE)</f>
        <v>UNIVERSITAS JAMBI</v>
      </c>
      <c r="Q494" t="str">
        <f t="shared" si="7"/>
        <v>UNIVERSITAS JAMBITEKNIK GEOLOGI</v>
      </c>
    </row>
    <row r="495" spans="1:17" ht="15.75" thickBot="1" x14ac:dyDescent="0.3">
      <c r="A495" s="7">
        <v>494</v>
      </c>
      <c r="B495" s="6">
        <v>16</v>
      </c>
      <c r="C495" s="13">
        <v>1511347</v>
      </c>
      <c r="D495" t="s">
        <v>51</v>
      </c>
      <c r="E495" s="13">
        <v>13</v>
      </c>
      <c r="F495" s="10" t="s">
        <v>20</v>
      </c>
      <c r="H495" s="87"/>
      <c r="I495" s="13"/>
      <c r="J495" s="138" t="s">
        <v>1292</v>
      </c>
      <c r="K495" s="138" t="s">
        <v>1292</v>
      </c>
      <c r="L495" s="138" t="s">
        <v>1292</v>
      </c>
      <c r="N495" s="83" t="s">
        <v>1292</v>
      </c>
      <c r="P495" t="str">
        <f>VLOOKUP(B495,PTN!A:B,2,FALSE)</f>
        <v>UNIVERSITAS JAMBI</v>
      </c>
      <c r="Q495" t="str">
        <f t="shared" si="7"/>
        <v>UNIVERSITAS JAMBITEKNIK KIMIA</v>
      </c>
    </row>
    <row r="496" spans="1:17" ht="15.75" thickBot="1" x14ac:dyDescent="0.3">
      <c r="A496" s="7">
        <v>495</v>
      </c>
      <c r="B496" s="6">
        <v>16</v>
      </c>
      <c r="C496" s="12">
        <v>1511301</v>
      </c>
      <c r="D496" t="s">
        <v>25</v>
      </c>
      <c r="E496" s="12">
        <v>13</v>
      </c>
      <c r="F496" s="10" t="s">
        <v>20</v>
      </c>
      <c r="H496" s="26"/>
      <c r="I496" s="12"/>
      <c r="J496" s="138" t="s">
        <v>1292</v>
      </c>
      <c r="K496" s="138" t="s">
        <v>1292</v>
      </c>
      <c r="L496" s="138" t="s">
        <v>1292</v>
      </c>
      <c r="N496" s="83" t="s">
        <v>1292</v>
      </c>
      <c r="P496" t="str">
        <f>VLOOKUP(B496,PTN!A:B,2,FALSE)</f>
        <v>UNIVERSITAS JAMBI</v>
      </c>
      <c r="Q496" t="str">
        <f t="shared" si="7"/>
        <v>UNIVERSITAS JAMBITEKNIK LINGKUNGAN</v>
      </c>
    </row>
    <row r="497" spans="1:17" ht="15.75" thickBot="1" x14ac:dyDescent="0.3">
      <c r="A497" s="7">
        <v>496</v>
      </c>
      <c r="B497" s="6">
        <v>16</v>
      </c>
      <c r="C497" s="13">
        <v>1511243</v>
      </c>
      <c r="D497" t="s">
        <v>239</v>
      </c>
      <c r="E497" s="13">
        <v>20</v>
      </c>
      <c r="F497" s="10" t="s">
        <v>20</v>
      </c>
      <c r="H497" s="87"/>
      <c r="I497" s="13"/>
      <c r="J497" s="138" t="s">
        <v>1292</v>
      </c>
      <c r="K497" s="138" t="s">
        <v>1292</v>
      </c>
      <c r="L497" s="138" t="s">
        <v>1292</v>
      </c>
      <c r="N497" s="83" t="s">
        <v>1292</v>
      </c>
      <c r="P497" t="str">
        <f>VLOOKUP(B497,PTN!A:B,2,FALSE)</f>
        <v>UNIVERSITAS JAMBI</v>
      </c>
      <c r="Q497" t="str">
        <f t="shared" si="7"/>
        <v>UNIVERSITAS JAMBITEKNIK PERTAMBANGAN</v>
      </c>
    </row>
    <row r="498" spans="1:17" ht="15.75" thickBot="1" x14ac:dyDescent="0.3">
      <c r="A498" s="7">
        <v>497</v>
      </c>
      <c r="B498" s="6">
        <v>16</v>
      </c>
      <c r="C498" s="12">
        <v>1511363</v>
      </c>
      <c r="D498" t="s">
        <v>95</v>
      </c>
      <c r="E498" s="12">
        <v>20</v>
      </c>
      <c r="F498" s="10" t="s">
        <v>20</v>
      </c>
      <c r="H498" s="26"/>
      <c r="I498" s="12"/>
      <c r="J498" s="138" t="s">
        <v>1292</v>
      </c>
      <c r="K498" s="138" t="s">
        <v>1292</v>
      </c>
      <c r="L498" s="138" t="s">
        <v>1292</v>
      </c>
      <c r="N498" s="83" t="s">
        <v>1292</v>
      </c>
      <c r="P498" t="str">
        <f>VLOOKUP(B498,PTN!A:B,2,FALSE)</f>
        <v>UNIVERSITAS JAMBI</v>
      </c>
      <c r="Q498" t="str">
        <f t="shared" si="7"/>
        <v>UNIVERSITAS JAMBITEKNIK PERTANIAN</v>
      </c>
    </row>
    <row r="499" spans="1:17" ht="15.75" thickBot="1" x14ac:dyDescent="0.3">
      <c r="A499" s="7">
        <v>498</v>
      </c>
      <c r="B499" s="6">
        <v>16</v>
      </c>
      <c r="C499" s="13">
        <v>1511355</v>
      </c>
      <c r="D499" t="s">
        <v>54</v>
      </c>
      <c r="E499" s="13">
        <v>13</v>
      </c>
      <c r="F499" s="10" t="s">
        <v>20</v>
      </c>
      <c r="H499" s="87"/>
      <c r="I499" s="13"/>
      <c r="J499" s="138" t="s">
        <v>1292</v>
      </c>
      <c r="K499" s="138" t="s">
        <v>1292</v>
      </c>
      <c r="L499" s="138" t="s">
        <v>1292</v>
      </c>
      <c r="N499" s="83" t="s">
        <v>1292</v>
      </c>
      <c r="P499" t="str">
        <f>VLOOKUP(B499,PTN!A:B,2,FALSE)</f>
        <v>UNIVERSITAS JAMBI</v>
      </c>
      <c r="Q499" t="str">
        <f t="shared" si="7"/>
        <v>UNIVERSITAS JAMBITEKNIK SIPIL</v>
      </c>
    </row>
    <row r="500" spans="1:17" ht="15.75" thickBot="1" x14ac:dyDescent="0.3">
      <c r="A500" s="7">
        <v>499</v>
      </c>
      <c r="B500" s="6">
        <v>16</v>
      </c>
      <c r="C500" s="12">
        <v>1511073</v>
      </c>
      <c r="D500" t="s">
        <v>96</v>
      </c>
      <c r="E500" s="12">
        <v>30</v>
      </c>
      <c r="F500" s="10" t="s">
        <v>20</v>
      </c>
      <c r="H500" s="26"/>
      <c r="I500" s="12"/>
      <c r="J500" s="138" t="s">
        <v>1292</v>
      </c>
      <c r="K500" s="138" t="s">
        <v>1292</v>
      </c>
      <c r="L500" s="138" t="s">
        <v>1292</v>
      </c>
      <c r="N500" s="83" t="s">
        <v>1292</v>
      </c>
      <c r="P500" t="str">
        <f>VLOOKUP(B500,PTN!A:B,2,FALSE)</f>
        <v>UNIVERSITAS JAMBI</v>
      </c>
      <c r="Q500" t="str">
        <f t="shared" si="7"/>
        <v>UNIVERSITAS JAMBITEKNOLOGI HASIL PERTANIAN</v>
      </c>
    </row>
    <row r="501" spans="1:17" ht="15.75" thickBot="1" x14ac:dyDescent="0.3">
      <c r="A501" s="7">
        <v>500</v>
      </c>
      <c r="B501" s="6">
        <v>16</v>
      </c>
      <c r="C501" s="16">
        <v>1511371</v>
      </c>
      <c r="D501" t="s">
        <v>166</v>
      </c>
      <c r="E501" s="16">
        <v>20</v>
      </c>
      <c r="F501" s="10" t="s">
        <v>20</v>
      </c>
      <c r="H501" s="87"/>
      <c r="I501" s="13"/>
      <c r="J501" s="138" t="s">
        <v>1292</v>
      </c>
      <c r="K501" s="138" t="s">
        <v>1292</v>
      </c>
      <c r="L501" s="138" t="s">
        <v>1292</v>
      </c>
      <c r="N501" s="83" t="s">
        <v>1292</v>
      </c>
      <c r="P501" t="str">
        <f>VLOOKUP(B501,PTN!A:B,2,FALSE)</f>
        <v>UNIVERSITAS JAMBI</v>
      </c>
      <c r="Q501" t="str">
        <f t="shared" si="7"/>
        <v>UNIVERSITAS JAMBITEKNOLOGI INDUSTRI PERTANIAN</v>
      </c>
    </row>
    <row r="502" spans="1:17" ht="16.5" thickTop="1" thickBot="1" x14ac:dyDescent="0.3">
      <c r="A502" s="7">
        <v>501</v>
      </c>
      <c r="B502" s="6">
        <v>16</v>
      </c>
      <c r="C502" s="12">
        <v>1512207</v>
      </c>
      <c r="D502" t="s">
        <v>183</v>
      </c>
      <c r="E502" s="12">
        <v>30</v>
      </c>
      <c r="F502" s="10" t="s">
        <v>13</v>
      </c>
      <c r="H502" s="20"/>
      <c r="I502" s="21"/>
      <c r="J502" s="138" t="s">
        <v>1292</v>
      </c>
      <c r="K502" s="138" t="s">
        <v>1292</v>
      </c>
      <c r="L502" s="138" t="s">
        <v>1292</v>
      </c>
      <c r="N502" s="83" t="s">
        <v>1292</v>
      </c>
      <c r="P502" t="str">
        <f>VLOOKUP(B502,PTN!A:B,2,FALSE)</f>
        <v>UNIVERSITAS JAMBI</v>
      </c>
      <c r="Q502" t="str">
        <f t="shared" si="7"/>
        <v>UNIVERSITAS JAMBIADMINISTRASI PENDIDIKAN</v>
      </c>
    </row>
    <row r="503" spans="1:17" ht="15.75" thickBot="1" x14ac:dyDescent="0.3">
      <c r="A503" s="7">
        <v>502</v>
      </c>
      <c r="B503" s="6">
        <v>16</v>
      </c>
      <c r="C503" s="13">
        <v>1512076</v>
      </c>
      <c r="D503" t="s">
        <v>55</v>
      </c>
      <c r="E503" s="13">
        <v>40</v>
      </c>
      <c r="F503" s="10" t="s">
        <v>13</v>
      </c>
      <c r="H503" s="22"/>
      <c r="I503" s="21"/>
      <c r="J503" s="138" t="s">
        <v>1292</v>
      </c>
      <c r="K503" s="138" t="s">
        <v>1292</v>
      </c>
      <c r="L503" s="138" t="s">
        <v>1292</v>
      </c>
      <c r="N503" s="83" t="s">
        <v>1292</v>
      </c>
      <c r="P503" t="str">
        <f>VLOOKUP(B503,PTN!A:B,2,FALSE)</f>
        <v>UNIVERSITAS JAMBI</v>
      </c>
      <c r="Q503" t="str">
        <f t="shared" si="7"/>
        <v>UNIVERSITAS JAMBIAKUNTANSI</v>
      </c>
    </row>
    <row r="504" spans="1:17" ht="16.5" thickTop="1" thickBot="1" x14ac:dyDescent="0.3">
      <c r="A504" s="7">
        <v>503</v>
      </c>
      <c r="B504" s="6">
        <v>16</v>
      </c>
      <c r="C504" s="12">
        <v>1512173</v>
      </c>
      <c r="D504" t="s">
        <v>240</v>
      </c>
      <c r="E504" s="12">
        <v>20</v>
      </c>
      <c r="F504" s="10" t="s">
        <v>13</v>
      </c>
      <c r="H504" s="23"/>
      <c r="I504" s="24"/>
      <c r="J504" s="138" t="s">
        <v>1292</v>
      </c>
      <c r="K504" s="138" t="s">
        <v>1292</v>
      </c>
      <c r="L504" s="138" t="s">
        <v>1292</v>
      </c>
      <c r="N504" s="83" t="s">
        <v>1292</v>
      </c>
      <c r="P504" t="str">
        <f>VLOOKUP(B504,PTN!A:B,2,FALSE)</f>
        <v>UNIVERSITAS JAMBI</v>
      </c>
      <c r="Q504" t="str">
        <f t="shared" si="7"/>
        <v>UNIVERSITAS JAMBIARKEOLOGI</v>
      </c>
    </row>
    <row r="505" spans="1:17" ht="16.5" thickTop="1" thickBot="1" x14ac:dyDescent="0.3">
      <c r="A505" s="7">
        <v>504</v>
      </c>
      <c r="B505" s="6">
        <v>16</v>
      </c>
      <c r="C505" s="13">
        <v>1512092</v>
      </c>
      <c r="D505" t="s">
        <v>187</v>
      </c>
      <c r="E505" s="13">
        <v>40</v>
      </c>
      <c r="F505" s="10" t="s">
        <v>13</v>
      </c>
      <c r="H505" s="26"/>
      <c r="I505" s="12"/>
      <c r="J505" s="138" t="s">
        <v>1292</v>
      </c>
      <c r="K505" s="138" t="s">
        <v>1292</v>
      </c>
      <c r="L505" s="138" t="s">
        <v>1292</v>
      </c>
      <c r="N505" s="83" t="s">
        <v>1292</v>
      </c>
      <c r="P505" t="str">
        <f>VLOOKUP(B505,PTN!A:B,2,FALSE)</f>
        <v>UNIVERSITAS JAMBI</v>
      </c>
      <c r="Q505" t="str">
        <f t="shared" si="7"/>
        <v>UNIVERSITAS JAMBIBIMBINGAN DAN KONSELING</v>
      </c>
    </row>
    <row r="506" spans="1:17" ht="15.75" thickBot="1" x14ac:dyDescent="0.3">
      <c r="A506" s="7">
        <v>505</v>
      </c>
      <c r="B506" s="6">
        <v>16</v>
      </c>
      <c r="C506" s="12">
        <v>1512165</v>
      </c>
      <c r="D506" t="s">
        <v>57</v>
      </c>
      <c r="E506" s="12">
        <v>20</v>
      </c>
      <c r="F506" s="10" t="s">
        <v>13</v>
      </c>
      <c r="H506" s="87"/>
      <c r="I506" s="13"/>
      <c r="J506" s="138" t="s">
        <v>1292</v>
      </c>
      <c r="K506" s="138" t="s">
        <v>1292</v>
      </c>
      <c r="L506" s="138" t="s">
        <v>1292</v>
      </c>
      <c r="N506" s="83" t="s">
        <v>1292</v>
      </c>
      <c r="P506" t="str">
        <f>VLOOKUP(B506,PTN!A:B,2,FALSE)</f>
        <v>UNIVERSITAS JAMBI</v>
      </c>
      <c r="Q506" t="str">
        <f t="shared" si="7"/>
        <v>UNIVERSITAS JAMBIEKONOMI ISLAM</v>
      </c>
    </row>
    <row r="507" spans="1:17" ht="15.75" thickBot="1" x14ac:dyDescent="0.3">
      <c r="A507" s="7">
        <v>506</v>
      </c>
      <c r="B507" s="6">
        <v>16</v>
      </c>
      <c r="C507" s="13">
        <v>1512053</v>
      </c>
      <c r="D507" t="s">
        <v>241</v>
      </c>
      <c r="E507" s="13">
        <v>50</v>
      </c>
      <c r="F507" s="10" t="s">
        <v>13</v>
      </c>
      <c r="H507" s="26"/>
      <c r="I507" s="12"/>
      <c r="J507" s="138" t="s">
        <v>1292</v>
      </c>
      <c r="K507" s="138" t="s">
        <v>1292</v>
      </c>
      <c r="L507" s="138" t="s">
        <v>1292</v>
      </c>
      <c r="N507" s="83" t="s">
        <v>1292</v>
      </c>
      <c r="P507" t="str">
        <f>VLOOKUP(B507,PTN!A:B,2,FALSE)</f>
        <v>UNIVERSITAS JAMBI</v>
      </c>
      <c r="Q507" t="str">
        <f t="shared" si="7"/>
        <v>UNIVERSITAS JAMBIILMU EKONOMI PEMBANGUNAN</v>
      </c>
    </row>
    <row r="508" spans="1:17" ht="15.75" thickBot="1" x14ac:dyDescent="0.3">
      <c r="A508" s="7">
        <v>507</v>
      </c>
      <c r="B508" s="6">
        <v>16</v>
      </c>
      <c r="C508" s="12">
        <v>1512045</v>
      </c>
      <c r="D508" t="s">
        <v>31</v>
      </c>
      <c r="E508" s="12">
        <v>138</v>
      </c>
      <c r="F508" s="10" t="s">
        <v>13</v>
      </c>
      <c r="H508" s="87"/>
      <c r="I508" s="13"/>
      <c r="J508" s="138" t="s">
        <v>1292</v>
      </c>
      <c r="K508" s="138" t="s">
        <v>1292</v>
      </c>
      <c r="L508" s="138" t="s">
        <v>1292</v>
      </c>
      <c r="N508" s="83" t="s">
        <v>1292</v>
      </c>
      <c r="P508" t="str">
        <f>VLOOKUP(B508,PTN!A:B,2,FALSE)</f>
        <v>UNIVERSITAS JAMBI</v>
      </c>
      <c r="Q508" t="str">
        <f t="shared" si="7"/>
        <v>UNIVERSITAS JAMBIILMU HUKUM</v>
      </c>
    </row>
    <row r="509" spans="1:17" ht="15.75" thickBot="1" x14ac:dyDescent="0.3">
      <c r="A509" s="7">
        <v>508</v>
      </c>
      <c r="B509" s="6">
        <v>16</v>
      </c>
      <c r="C509" s="13">
        <v>1512157</v>
      </c>
      <c r="D509" t="s">
        <v>97</v>
      </c>
      <c r="E509" s="13">
        <v>40</v>
      </c>
      <c r="F509" s="10" t="s">
        <v>13</v>
      </c>
      <c r="H509" s="26"/>
      <c r="I509" s="12"/>
      <c r="J509" s="138" t="s">
        <v>1292</v>
      </c>
      <c r="K509" s="138" t="s">
        <v>1292</v>
      </c>
      <c r="L509" s="138" t="s">
        <v>1292</v>
      </c>
      <c r="N509" s="83" t="s">
        <v>1292</v>
      </c>
      <c r="P509" t="str">
        <f>VLOOKUP(B509,PTN!A:B,2,FALSE)</f>
        <v>UNIVERSITAS JAMBI</v>
      </c>
      <c r="Q509" t="str">
        <f t="shared" si="7"/>
        <v>UNIVERSITAS JAMBIILMU PEMERINTAHAN</v>
      </c>
    </row>
    <row r="510" spans="1:17" ht="15.75" thickBot="1" x14ac:dyDescent="0.3">
      <c r="A510" s="7">
        <v>509</v>
      </c>
      <c r="B510" s="6">
        <v>16</v>
      </c>
      <c r="C510" s="12">
        <v>1512215</v>
      </c>
      <c r="D510" t="s">
        <v>33</v>
      </c>
      <c r="E510" s="12">
        <v>30</v>
      </c>
      <c r="F510" s="10" t="s">
        <v>13</v>
      </c>
      <c r="H510" s="87"/>
      <c r="I510" s="13"/>
      <c r="J510" s="138" t="s">
        <v>1292</v>
      </c>
      <c r="K510" s="138" t="s">
        <v>1292</v>
      </c>
      <c r="L510" s="138" t="s">
        <v>1292</v>
      </c>
      <c r="N510" s="83" t="s">
        <v>1292</v>
      </c>
      <c r="P510" t="str">
        <f>VLOOKUP(B510,PTN!A:B,2,FALSE)</f>
        <v>UNIVERSITAS JAMBI</v>
      </c>
      <c r="Q510" t="str">
        <f t="shared" si="7"/>
        <v>UNIVERSITAS JAMBIILMU POLITIK</v>
      </c>
    </row>
    <row r="511" spans="1:17" ht="15.75" thickBot="1" x14ac:dyDescent="0.3">
      <c r="A511" s="7">
        <v>510</v>
      </c>
      <c r="B511" s="6">
        <v>16</v>
      </c>
      <c r="C511" s="13">
        <v>1512196</v>
      </c>
      <c r="D511" t="s">
        <v>148</v>
      </c>
      <c r="E511" s="13">
        <v>20</v>
      </c>
      <c r="F511" s="10" t="s">
        <v>13</v>
      </c>
      <c r="H511" s="26"/>
      <c r="I511" s="12"/>
      <c r="J511" s="138" t="s">
        <v>1292</v>
      </c>
      <c r="K511" s="138" t="s">
        <v>1292</v>
      </c>
      <c r="L511" s="138" t="s">
        <v>1292</v>
      </c>
      <c r="N511" s="83" t="s">
        <v>1292</v>
      </c>
      <c r="P511" t="str">
        <f>VLOOKUP(B511,PTN!A:B,2,FALSE)</f>
        <v>UNIVERSITAS JAMBI</v>
      </c>
      <c r="Q511" t="str">
        <f t="shared" si="7"/>
        <v>UNIVERSITAS JAMBIILMU SEJARAH</v>
      </c>
    </row>
    <row r="512" spans="1:17" ht="15.75" thickBot="1" x14ac:dyDescent="0.3">
      <c r="A512" s="7">
        <v>511</v>
      </c>
      <c r="B512" s="6">
        <v>16</v>
      </c>
      <c r="C512" s="12">
        <v>1512061</v>
      </c>
      <c r="D512" t="s">
        <v>61</v>
      </c>
      <c r="E512" s="12">
        <v>50</v>
      </c>
      <c r="F512" s="10" t="s">
        <v>13</v>
      </c>
      <c r="H512" s="87"/>
      <c r="I512" s="13"/>
      <c r="J512" s="138" t="s">
        <v>1292</v>
      </c>
      <c r="K512" s="138" t="s">
        <v>1292</v>
      </c>
      <c r="L512" s="138" t="s">
        <v>1292</v>
      </c>
      <c r="N512" s="83" t="s">
        <v>1292</v>
      </c>
      <c r="P512" t="str">
        <f>VLOOKUP(B512,PTN!A:B,2,FALSE)</f>
        <v>UNIVERSITAS JAMBI</v>
      </c>
      <c r="Q512" t="str">
        <f t="shared" si="7"/>
        <v>UNIVERSITAS JAMBIMANAJEMEN</v>
      </c>
    </row>
    <row r="513" spans="1:17" ht="15.75" thickBot="1" x14ac:dyDescent="0.3">
      <c r="A513" s="7">
        <v>512</v>
      </c>
      <c r="B513" s="6">
        <v>16</v>
      </c>
      <c r="C513" s="13">
        <v>1512037</v>
      </c>
      <c r="D513" t="s">
        <v>242</v>
      </c>
      <c r="E513" s="13">
        <v>40</v>
      </c>
      <c r="F513" s="10" t="s">
        <v>13</v>
      </c>
      <c r="H513" s="26"/>
      <c r="I513" s="12"/>
      <c r="J513" s="138" t="s">
        <v>1292</v>
      </c>
      <c r="K513" s="138" t="s">
        <v>1292</v>
      </c>
      <c r="L513" s="138" t="s">
        <v>1292</v>
      </c>
      <c r="N513" s="83" t="s">
        <v>1292</v>
      </c>
      <c r="P513" t="str">
        <f>VLOOKUP(B513,PTN!A:B,2,FALSE)</f>
        <v>UNIVERSITAS JAMBI</v>
      </c>
      <c r="Q513" t="str">
        <f t="shared" si="7"/>
        <v>UNIVERSITAS JAMBIPEND. BAHASA INGGRIS</v>
      </c>
    </row>
    <row r="514" spans="1:17" ht="15.75" thickBot="1" x14ac:dyDescent="0.3">
      <c r="A514" s="7">
        <v>513</v>
      </c>
      <c r="B514" s="6">
        <v>16</v>
      </c>
      <c r="C514" s="12">
        <v>1512022</v>
      </c>
      <c r="D514" t="s">
        <v>119</v>
      </c>
      <c r="E514" s="12">
        <v>40</v>
      </c>
      <c r="F514" s="10" t="s">
        <v>13</v>
      </c>
      <c r="H514" s="87"/>
      <c r="I514" s="13"/>
      <c r="J514" s="138" t="s">
        <v>1292</v>
      </c>
      <c r="K514" s="138" t="s">
        <v>1292</v>
      </c>
      <c r="L514" s="138" t="s">
        <v>1292</v>
      </c>
      <c r="N514" s="83" t="s">
        <v>1292</v>
      </c>
      <c r="P514" t="str">
        <f>VLOOKUP(B514,PTN!A:B,2,FALSE)</f>
        <v>UNIVERSITAS JAMBI</v>
      </c>
      <c r="Q514" t="str">
        <f t="shared" si="7"/>
        <v>UNIVERSITAS JAMBIPEND. BAHASA, SASTRA INDONESIA &amp; DAERAH</v>
      </c>
    </row>
    <row r="515" spans="1:17" ht="15.75" thickBot="1" x14ac:dyDescent="0.3">
      <c r="A515" s="7">
        <v>514</v>
      </c>
      <c r="B515" s="6">
        <v>16</v>
      </c>
      <c r="C515" s="13">
        <v>1512014</v>
      </c>
      <c r="D515" t="s">
        <v>229</v>
      </c>
      <c r="E515" s="13">
        <v>30</v>
      </c>
      <c r="F515" s="10" t="s">
        <v>13</v>
      </c>
      <c r="H515" s="26"/>
      <c r="I515" s="12"/>
      <c r="J515" s="138" t="s">
        <v>1292</v>
      </c>
      <c r="K515" s="138" t="s">
        <v>1292</v>
      </c>
      <c r="L515" s="138" t="s">
        <v>1292</v>
      </c>
      <c r="N515" s="83" t="s">
        <v>1292</v>
      </c>
      <c r="P515" t="str">
        <f>VLOOKUP(B515,PTN!A:B,2,FALSE)</f>
        <v>UNIVERSITAS JAMBI</v>
      </c>
      <c r="Q515" t="str">
        <f t="shared" ref="Q515:Q578" si="8">P515&amp;D515</f>
        <v>UNIVERSITAS JAMBIPEND. EKONOMI</v>
      </c>
    </row>
    <row r="516" spans="1:17" ht="15.75" thickBot="1" x14ac:dyDescent="0.3">
      <c r="A516" s="7">
        <v>515</v>
      </c>
      <c r="B516" s="6">
        <v>16</v>
      </c>
      <c r="C516" s="12">
        <v>1512084</v>
      </c>
      <c r="D516" t="s">
        <v>243</v>
      </c>
      <c r="E516" s="12">
        <v>50</v>
      </c>
      <c r="F516" s="10" t="s">
        <v>13</v>
      </c>
      <c r="H516" s="87"/>
      <c r="I516" s="13"/>
      <c r="J516" s="138" t="s">
        <v>1292</v>
      </c>
      <c r="K516" s="138" t="s">
        <v>1292</v>
      </c>
      <c r="L516" s="138" t="s">
        <v>1292</v>
      </c>
      <c r="N516" s="83" t="s">
        <v>1292</v>
      </c>
      <c r="P516" t="str">
        <f>VLOOKUP(B516,PTN!A:B,2,FALSE)</f>
        <v>UNIVERSITAS JAMBI</v>
      </c>
      <c r="Q516" t="str">
        <f t="shared" si="8"/>
        <v>UNIVERSITAS JAMBIPEND. GURU SEKOLAH DASAR</v>
      </c>
    </row>
    <row r="517" spans="1:17" ht="15.75" thickBot="1" x14ac:dyDescent="0.3">
      <c r="A517" s="7">
        <v>516</v>
      </c>
      <c r="B517" s="6">
        <v>16</v>
      </c>
      <c r="C517" s="13">
        <v>1512111</v>
      </c>
      <c r="D517" t="s">
        <v>244</v>
      </c>
      <c r="E517" s="13">
        <v>20</v>
      </c>
      <c r="F517" s="10" t="s">
        <v>13</v>
      </c>
      <c r="H517" s="26"/>
      <c r="I517" s="12"/>
      <c r="J517" s="138" t="s">
        <v>1292</v>
      </c>
      <c r="K517" s="138" t="s">
        <v>1292</v>
      </c>
      <c r="L517" s="138" t="s">
        <v>1292</v>
      </c>
      <c r="N517" s="83" t="s">
        <v>1292</v>
      </c>
      <c r="P517" t="str">
        <f>VLOOKUP(B517,PTN!A:B,2,FALSE)</f>
        <v>UNIVERSITAS JAMBI</v>
      </c>
      <c r="Q517" t="str">
        <f t="shared" si="8"/>
        <v>UNIVERSITAS JAMBIPENDIDIKAN BAHASA ARAB</v>
      </c>
    </row>
    <row r="518" spans="1:17" ht="15.75" thickBot="1" x14ac:dyDescent="0.3">
      <c r="A518" s="7">
        <v>517</v>
      </c>
      <c r="B518" s="6">
        <v>16</v>
      </c>
      <c r="C518" s="12">
        <v>1512103</v>
      </c>
      <c r="D518" t="s">
        <v>101</v>
      </c>
      <c r="E518" s="12">
        <v>30</v>
      </c>
      <c r="F518" s="10" t="s">
        <v>13</v>
      </c>
      <c r="H518" s="87"/>
      <c r="I518" s="13"/>
      <c r="J518" s="138" t="s">
        <v>1292</v>
      </c>
      <c r="K518" s="138" t="s">
        <v>1292</v>
      </c>
      <c r="L518" s="138" t="s">
        <v>1292</v>
      </c>
      <c r="N518" s="83" t="s">
        <v>1292</v>
      </c>
      <c r="P518" t="str">
        <f>VLOOKUP(B518,PTN!A:B,2,FALSE)</f>
        <v>UNIVERSITAS JAMBI</v>
      </c>
      <c r="Q518" t="str">
        <f t="shared" si="8"/>
        <v>UNIVERSITAS JAMBIPENDIDIKAN GURU PAUD</v>
      </c>
    </row>
    <row r="519" spans="1:17" ht="15.75" thickBot="1" x14ac:dyDescent="0.3">
      <c r="A519" s="7">
        <v>518</v>
      </c>
      <c r="B519" s="6">
        <v>16</v>
      </c>
      <c r="C519" s="13">
        <v>1512181</v>
      </c>
      <c r="D519" t="s">
        <v>103</v>
      </c>
      <c r="E519" s="13">
        <v>20</v>
      </c>
      <c r="F519" s="10" t="s">
        <v>13</v>
      </c>
      <c r="H519" s="26"/>
      <c r="I519" s="12"/>
      <c r="J519" s="138" t="s">
        <v>1292</v>
      </c>
      <c r="K519" s="138" t="s">
        <v>1292</v>
      </c>
      <c r="L519" s="138" t="s">
        <v>1292</v>
      </c>
      <c r="N519" s="83" t="s">
        <v>1292</v>
      </c>
      <c r="P519" t="str">
        <f>VLOOKUP(B519,PTN!A:B,2,FALSE)</f>
        <v>UNIVERSITAS JAMBI</v>
      </c>
      <c r="Q519" t="str">
        <f t="shared" si="8"/>
        <v>UNIVERSITAS JAMBIPENDIDIKAN PANCASILA DAN KEWARGANEGARAAN</v>
      </c>
    </row>
    <row r="520" spans="1:17" ht="15.75" thickBot="1" x14ac:dyDescent="0.3">
      <c r="A520" s="7">
        <v>519</v>
      </c>
      <c r="B520" s="6">
        <v>16</v>
      </c>
      <c r="C520" s="12">
        <v>1512126</v>
      </c>
      <c r="D520" t="s">
        <v>75</v>
      </c>
      <c r="E520" s="12">
        <v>20</v>
      </c>
      <c r="F520" s="10" t="s">
        <v>13</v>
      </c>
      <c r="H520" s="87"/>
      <c r="I520" s="13"/>
      <c r="J520" s="138" t="s">
        <v>1292</v>
      </c>
      <c r="K520" s="138" t="s">
        <v>1292</v>
      </c>
      <c r="L520" s="138" t="s">
        <v>1292</v>
      </c>
      <c r="N520" s="83" t="s">
        <v>1292</v>
      </c>
      <c r="P520" t="str">
        <f>VLOOKUP(B520,PTN!A:B,2,FALSE)</f>
        <v>UNIVERSITAS JAMBI</v>
      </c>
      <c r="Q520" t="str">
        <f t="shared" si="8"/>
        <v>UNIVERSITAS JAMBIPENDIDIKAN SEJARAH</v>
      </c>
    </row>
    <row r="521" spans="1:17" ht="15.75" thickBot="1" x14ac:dyDescent="0.3">
      <c r="A521" s="7">
        <v>520</v>
      </c>
      <c r="B521" s="6">
        <v>16</v>
      </c>
      <c r="C521" s="13">
        <v>1512142</v>
      </c>
      <c r="D521" t="s">
        <v>36</v>
      </c>
      <c r="E521" s="13">
        <v>25</v>
      </c>
      <c r="F521" s="10" t="s">
        <v>13</v>
      </c>
      <c r="H521" s="26"/>
      <c r="I521" s="12"/>
      <c r="J521" s="138">
        <v>560</v>
      </c>
      <c r="K521" s="138" t="s">
        <v>1292</v>
      </c>
      <c r="L521" s="138" t="s">
        <v>1292</v>
      </c>
      <c r="N521" s="83">
        <v>560</v>
      </c>
      <c r="P521" t="str">
        <f>VLOOKUP(B521,PTN!A:B,2,FALSE)</f>
        <v>UNIVERSITAS JAMBI</v>
      </c>
      <c r="Q521" t="str">
        <f t="shared" si="8"/>
        <v>UNIVERSITAS JAMBIPSIKOLOGI</v>
      </c>
    </row>
    <row r="522" spans="1:17" ht="15.75" thickBot="1" x14ac:dyDescent="0.3">
      <c r="A522" s="7">
        <v>521</v>
      </c>
      <c r="B522" s="6">
        <v>16</v>
      </c>
      <c r="C522" s="12">
        <v>1512134</v>
      </c>
      <c r="D522" t="s">
        <v>62</v>
      </c>
      <c r="E522" s="12">
        <v>20</v>
      </c>
      <c r="F522" s="10" t="s">
        <v>13</v>
      </c>
      <c r="H522" s="87"/>
      <c r="I522" s="13"/>
      <c r="J522" s="138" t="s">
        <v>1292</v>
      </c>
      <c r="K522" s="138" t="s">
        <v>1292</v>
      </c>
      <c r="L522" s="138" t="s">
        <v>1292</v>
      </c>
      <c r="N522" s="83" t="s">
        <v>1292</v>
      </c>
      <c r="P522" t="str">
        <f>VLOOKUP(B522,PTN!A:B,2,FALSE)</f>
        <v>UNIVERSITAS JAMBI</v>
      </c>
      <c r="Q522" t="str">
        <f t="shared" si="8"/>
        <v>UNIVERSITAS JAMBISASTRA INDONESIA</v>
      </c>
    </row>
    <row r="523" spans="1:17" ht="15.75" thickBot="1" x14ac:dyDescent="0.3">
      <c r="A523" s="7">
        <v>522</v>
      </c>
      <c r="B523" s="6">
        <v>16</v>
      </c>
      <c r="C523" s="16">
        <v>1512223</v>
      </c>
      <c r="D523" t="s">
        <v>245</v>
      </c>
      <c r="E523" s="16">
        <v>20</v>
      </c>
      <c r="F523" s="10" t="s">
        <v>13</v>
      </c>
      <c r="H523" s="26"/>
      <c r="I523" s="12"/>
      <c r="J523" s="138" t="s">
        <v>1292</v>
      </c>
      <c r="K523" s="138" t="s">
        <v>1292</v>
      </c>
      <c r="L523" s="138" t="s">
        <v>1292</v>
      </c>
      <c r="N523" s="83" t="s">
        <v>1292</v>
      </c>
      <c r="P523" t="str">
        <f>VLOOKUP(B523,PTN!A:B,2,FALSE)</f>
        <v>UNIVERSITAS JAMBI</v>
      </c>
      <c r="Q523" t="str">
        <f t="shared" si="8"/>
        <v>UNIVERSITAS JAMBISENI DRAMA TARI DAN MUSIK</v>
      </c>
    </row>
    <row r="524" spans="1:17" ht="16.5" thickTop="1" thickBot="1" x14ac:dyDescent="0.3">
      <c r="A524" s="7">
        <v>523</v>
      </c>
      <c r="B524" s="6">
        <v>17</v>
      </c>
      <c r="C524" s="12">
        <v>1611043</v>
      </c>
      <c r="D524" t="s">
        <v>37</v>
      </c>
      <c r="E524" s="12">
        <v>20</v>
      </c>
      <c r="F524" s="10" t="s">
        <v>20</v>
      </c>
      <c r="H524" s="87"/>
      <c r="I524" s="13"/>
      <c r="J524" s="138" t="s">
        <v>1292</v>
      </c>
      <c r="K524" s="138" t="s">
        <v>1292</v>
      </c>
      <c r="L524" s="138" t="s">
        <v>1292</v>
      </c>
      <c r="N524" s="83" t="s">
        <v>1292</v>
      </c>
      <c r="P524" t="str">
        <f>VLOOKUP(B524,PTN!A:B,2,FALSE)</f>
        <v>UNIVERSITAS BENGKULU</v>
      </c>
      <c r="Q524" t="str">
        <f t="shared" si="8"/>
        <v>UNIVERSITAS BENGKULUAGRIBISNIS</v>
      </c>
    </row>
    <row r="525" spans="1:17" ht="15.75" thickBot="1" x14ac:dyDescent="0.3">
      <c r="A525" s="7">
        <v>524</v>
      </c>
      <c r="B525" s="6">
        <v>17</v>
      </c>
      <c r="C525" s="13">
        <v>1611012</v>
      </c>
      <c r="D525" t="s">
        <v>38</v>
      </c>
      <c r="E525" s="13">
        <v>26</v>
      </c>
      <c r="F525" s="10" t="s">
        <v>20</v>
      </c>
      <c r="H525" s="26"/>
      <c r="I525" s="20"/>
      <c r="J525" s="138" t="s">
        <v>1292</v>
      </c>
      <c r="K525" s="138" t="s">
        <v>1292</v>
      </c>
      <c r="L525" s="138" t="s">
        <v>1292</v>
      </c>
      <c r="M525" s="21"/>
      <c r="N525" s="83" t="s">
        <v>1292</v>
      </c>
      <c r="P525" t="str">
        <f>VLOOKUP(B525,PTN!A:B,2,FALSE)</f>
        <v>UNIVERSITAS BENGKULU</v>
      </c>
      <c r="Q525" t="str">
        <f t="shared" si="8"/>
        <v>UNIVERSITAS BENGKULUAGROEKOTEKNOLOGI</v>
      </c>
    </row>
    <row r="526" spans="1:17" ht="15.75" thickBot="1" x14ac:dyDescent="0.3">
      <c r="A526" s="7">
        <v>525</v>
      </c>
      <c r="B526" s="6">
        <v>17</v>
      </c>
      <c r="C526" s="12">
        <v>1611221</v>
      </c>
      <c r="D526" t="s">
        <v>19</v>
      </c>
      <c r="E526" s="12">
        <v>10</v>
      </c>
      <c r="F526" s="10" t="s">
        <v>20</v>
      </c>
      <c r="H526" s="41"/>
      <c r="I526" s="22"/>
      <c r="J526" s="138" t="s">
        <v>1292</v>
      </c>
      <c r="K526" s="138" t="s">
        <v>1292</v>
      </c>
      <c r="L526" s="138" t="s">
        <v>1292</v>
      </c>
      <c r="M526" s="21"/>
      <c r="N526" s="83" t="s">
        <v>1292</v>
      </c>
      <c r="P526" t="str">
        <f>VLOOKUP(B526,PTN!A:B,2,FALSE)</f>
        <v>UNIVERSITAS BENGKULU</v>
      </c>
      <c r="Q526" t="str">
        <f t="shared" si="8"/>
        <v>UNIVERSITAS BENGKULUARSITEKTUR</v>
      </c>
    </row>
    <row r="527" spans="1:17" ht="16.5" thickTop="1" thickBot="1" x14ac:dyDescent="0.3">
      <c r="A527" s="7">
        <v>526</v>
      </c>
      <c r="B527" s="6">
        <v>17</v>
      </c>
      <c r="C527" s="13">
        <v>1611124</v>
      </c>
      <c r="D527" t="s">
        <v>21</v>
      </c>
      <c r="E527" s="13">
        <v>16</v>
      </c>
      <c r="F527" s="10" t="s">
        <v>20</v>
      </c>
      <c r="I527" s="23"/>
      <c r="J527" s="138" t="s">
        <v>1292</v>
      </c>
      <c r="K527" s="138" t="s">
        <v>1292</v>
      </c>
      <c r="L527" s="138" t="s">
        <v>1292</v>
      </c>
      <c r="M527" s="25"/>
      <c r="N527" s="83" t="s">
        <v>1292</v>
      </c>
      <c r="P527" t="str">
        <f>VLOOKUP(B527,PTN!A:B,2,FALSE)</f>
        <v>UNIVERSITAS BENGKULU</v>
      </c>
      <c r="Q527" t="str">
        <f t="shared" si="8"/>
        <v>UNIVERSITAS BENGKULUBIOLOGI</v>
      </c>
    </row>
    <row r="528" spans="1:17" ht="16.5" thickTop="1" thickBot="1" x14ac:dyDescent="0.3">
      <c r="A528" s="7">
        <v>527</v>
      </c>
      <c r="B528" s="6">
        <v>17</v>
      </c>
      <c r="C528" s="12">
        <v>1611252</v>
      </c>
      <c r="D528" t="s">
        <v>77</v>
      </c>
      <c r="E528" s="12">
        <v>6</v>
      </c>
      <c r="F528" s="10" t="s">
        <v>20</v>
      </c>
      <c r="I528" s="26"/>
      <c r="J528" s="138" t="s">
        <v>1292</v>
      </c>
      <c r="K528" s="138" t="s">
        <v>1292</v>
      </c>
      <c r="L528" s="138" t="s">
        <v>1292</v>
      </c>
      <c r="M528" s="27"/>
      <c r="N528" s="83" t="s">
        <v>1292</v>
      </c>
      <c r="P528" t="str">
        <f>VLOOKUP(B528,PTN!A:B,2,FALSE)</f>
        <v>UNIVERSITAS BENGKULU</v>
      </c>
      <c r="Q528" t="str">
        <f t="shared" si="8"/>
        <v>UNIVERSITAS BENGKULUFARMASI</v>
      </c>
    </row>
    <row r="529" spans="1:17" ht="15.75" thickBot="1" x14ac:dyDescent="0.3">
      <c r="A529" s="7">
        <v>528</v>
      </c>
      <c r="B529" s="6">
        <v>17</v>
      </c>
      <c r="C529" s="13">
        <v>1611116</v>
      </c>
      <c r="D529" t="s">
        <v>65</v>
      </c>
      <c r="E529" s="13">
        <v>16</v>
      </c>
      <c r="F529" s="10" t="s">
        <v>20</v>
      </c>
      <c r="I529" s="87"/>
      <c r="J529" s="138" t="s">
        <v>1292</v>
      </c>
      <c r="K529" s="138" t="s">
        <v>1292</v>
      </c>
      <c r="L529" s="138" t="s">
        <v>1292</v>
      </c>
      <c r="M529" s="28"/>
      <c r="N529" s="83" t="s">
        <v>1292</v>
      </c>
      <c r="P529" t="str">
        <f>VLOOKUP(B529,PTN!A:B,2,FALSE)</f>
        <v>UNIVERSITAS BENGKULU</v>
      </c>
      <c r="Q529" t="str">
        <f t="shared" si="8"/>
        <v>UNIVERSITAS BENGKULUFISIKA</v>
      </c>
    </row>
    <row r="530" spans="1:17" ht="15.75" thickBot="1" x14ac:dyDescent="0.3">
      <c r="A530" s="7">
        <v>529</v>
      </c>
      <c r="B530" s="6">
        <v>17</v>
      </c>
      <c r="C530" s="12">
        <v>1611267</v>
      </c>
      <c r="D530" t="s">
        <v>246</v>
      </c>
      <c r="E530" s="12">
        <v>8</v>
      </c>
      <c r="F530" s="10" t="s">
        <v>20</v>
      </c>
      <c r="I530" s="26"/>
      <c r="J530" s="138" t="s">
        <v>1292</v>
      </c>
      <c r="K530" s="138" t="s">
        <v>1292</v>
      </c>
      <c r="L530" s="138" t="s">
        <v>1292</v>
      </c>
      <c r="M530" s="27"/>
      <c r="N530" s="83" t="s">
        <v>1292</v>
      </c>
      <c r="P530" t="str">
        <f>VLOOKUP(B530,PTN!A:B,2,FALSE)</f>
        <v>UNIVERSITAS BENGKULU</v>
      </c>
      <c r="Q530" t="str">
        <f t="shared" si="8"/>
        <v>UNIVERSITAS BENGKULUGEOFISIKA</v>
      </c>
    </row>
    <row r="531" spans="1:17" ht="15.75" thickBot="1" x14ac:dyDescent="0.3">
      <c r="A531" s="7">
        <v>530</v>
      </c>
      <c r="B531" s="6">
        <v>17</v>
      </c>
      <c r="C531" s="13">
        <v>1611186</v>
      </c>
      <c r="D531" t="s">
        <v>40</v>
      </c>
      <c r="E531" s="13">
        <v>18</v>
      </c>
      <c r="F531" s="10" t="s">
        <v>20</v>
      </c>
      <c r="I531" s="87"/>
      <c r="J531" s="138" t="s">
        <v>1292</v>
      </c>
      <c r="K531" s="138" t="s">
        <v>1292</v>
      </c>
      <c r="L531" s="138" t="s">
        <v>1292</v>
      </c>
      <c r="M531" s="28"/>
      <c r="N531" s="83" t="s">
        <v>1292</v>
      </c>
      <c r="P531" t="str">
        <f>VLOOKUP(B531,PTN!A:B,2,FALSE)</f>
        <v>UNIVERSITAS BENGKULU</v>
      </c>
      <c r="Q531" t="str">
        <f t="shared" si="8"/>
        <v>UNIVERSITAS BENGKULUILMU KELAUTAN</v>
      </c>
    </row>
    <row r="532" spans="1:17" ht="15.75" thickBot="1" x14ac:dyDescent="0.3">
      <c r="A532" s="7">
        <v>531</v>
      </c>
      <c r="B532" s="6">
        <v>17</v>
      </c>
      <c r="C532" s="12">
        <v>1611205</v>
      </c>
      <c r="D532" t="s">
        <v>79</v>
      </c>
      <c r="E532" s="12">
        <v>10</v>
      </c>
      <c r="F532" s="10" t="s">
        <v>20</v>
      </c>
      <c r="I532" s="26"/>
      <c r="J532" s="138" t="s">
        <v>1292</v>
      </c>
      <c r="K532" s="138" t="s">
        <v>1292</v>
      </c>
      <c r="L532" s="138" t="s">
        <v>1292</v>
      </c>
      <c r="M532" s="27"/>
      <c r="N532" s="83" t="s">
        <v>1292</v>
      </c>
      <c r="P532" t="str">
        <f>VLOOKUP(B532,PTN!A:B,2,FALSE)</f>
        <v>UNIVERSITAS BENGKULU</v>
      </c>
      <c r="Q532" t="str">
        <f t="shared" si="8"/>
        <v>UNIVERSITAS BENGKULUILMU TANAH</v>
      </c>
    </row>
    <row r="533" spans="1:17" ht="15.75" thickBot="1" x14ac:dyDescent="0.3">
      <c r="A533" s="7">
        <v>532</v>
      </c>
      <c r="B533" s="6">
        <v>17</v>
      </c>
      <c r="C533" s="13">
        <v>1611027</v>
      </c>
      <c r="D533" t="s">
        <v>81</v>
      </c>
      <c r="E533" s="13">
        <v>20</v>
      </c>
      <c r="F533" s="10" t="s">
        <v>20</v>
      </c>
      <c r="I533" s="87"/>
      <c r="J533" s="138" t="s">
        <v>1292</v>
      </c>
      <c r="K533" s="138" t="s">
        <v>1292</v>
      </c>
      <c r="L533" s="138" t="s">
        <v>1292</v>
      </c>
      <c r="M533" s="28"/>
      <c r="N533" s="83" t="s">
        <v>1292</v>
      </c>
      <c r="P533" t="str">
        <f>VLOOKUP(B533,PTN!A:B,2,FALSE)</f>
        <v>UNIVERSITAS BENGKULU</v>
      </c>
      <c r="Q533" t="str">
        <f t="shared" si="8"/>
        <v>UNIVERSITAS BENGKULUKEHUTANAN</v>
      </c>
    </row>
    <row r="534" spans="1:17" ht="15.75" thickBot="1" x14ac:dyDescent="0.3">
      <c r="A534" s="7">
        <v>533</v>
      </c>
      <c r="B534" s="6">
        <v>17</v>
      </c>
      <c r="C534" s="12">
        <v>1611132</v>
      </c>
      <c r="D534" t="s">
        <v>22</v>
      </c>
      <c r="E534" s="12">
        <v>16</v>
      </c>
      <c r="F534" s="10" t="s">
        <v>20</v>
      </c>
      <c r="I534" s="26"/>
      <c r="J534" s="138" t="s">
        <v>1292</v>
      </c>
      <c r="K534" s="138" t="s">
        <v>1292</v>
      </c>
      <c r="L534" s="138" t="s">
        <v>1292</v>
      </c>
      <c r="M534" s="27"/>
      <c r="N534" s="83" t="s">
        <v>1292</v>
      </c>
      <c r="P534" t="str">
        <f>VLOOKUP(B534,PTN!A:B,2,FALSE)</f>
        <v>UNIVERSITAS BENGKULU</v>
      </c>
      <c r="Q534" t="str">
        <f t="shared" si="8"/>
        <v>UNIVERSITAS BENGKULUKIMIA</v>
      </c>
    </row>
    <row r="535" spans="1:17" ht="15.75" thickBot="1" x14ac:dyDescent="0.3">
      <c r="A535" s="7">
        <v>534</v>
      </c>
      <c r="B535" s="6">
        <v>17</v>
      </c>
      <c r="C535" s="13">
        <v>1611101</v>
      </c>
      <c r="D535" t="s">
        <v>66</v>
      </c>
      <c r="E535" s="13">
        <v>16</v>
      </c>
      <c r="F535" s="10" t="s">
        <v>20</v>
      </c>
      <c r="I535" s="87"/>
      <c r="J535" s="138" t="s">
        <v>1292</v>
      </c>
      <c r="K535" s="138" t="s">
        <v>1292</v>
      </c>
      <c r="L535" s="138" t="s">
        <v>1292</v>
      </c>
      <c r="M535" s="28"/>
      <c r="N535" s="83" t="s">
        <v>1292</v>
      </c>
      <c r="P535" t="str">
        <f>VLOOKUP(B535,PTN!A:B,2,FALSE)</f>
        <v>UNIVERSITAS BENGKULU</v>
      </c>
      <c r="Q535" t="str">
        <f t="shared" si="8"/>
        <v>UNIVERSITAS BENGKULUMATEMATIKA</v>
      </c>
    </row>
    <row r="536" spans="1:17" ht="15.75" thickBot="1" x14ac:dyDescent="0.3">
      <c r="A536" s="7">
        <v>535</v>
      </c>
      <c r="B536" s="6">
        <v>17</v>
      </c>
      <c r="C536" s="12">
        <v>1611074</v>
      </c>
      <c r="D536" t="s">
        <v>67</v>
      </c>
      <c r="E536" s="12">
        <v>16</v>
      </c>
      <c r="F536" s="10" t="s">
        <v>20</v>
      </c>
      <c r="I536" s="26"/>
      <c r="J536" s="138" t="s">
        <v>1292</v>
      </c>
      <c r="K536" s="138" t="s">
        <v>1292</v>
      </c>
      <c r="L536" s="138" t="s">
        <v>1292</v>
      </c>
      <c r="M536" s="27"/>
      <c r="N536" s="83" t="s">
        <v>1292</v>
      </c>
      <c r="P536" t="str">
        <f>VLOOKUP(B536,PTN!A:B,2,FALSE)</f>
        <v>UNIVERSITAS BENGKULU</v>
      </c>
      <c r="Q536" t="str">
        <f t="shared" si="8"/>
        <v>UNIVERSITAS BENGKULUPENDIDIKAN BIOLOGI</v>
      </c>
    </row>
    <row r="537" spans="1:17" ht="15.75" thickBot="1" x14ac:dyDescent="0.3">
      <c r="A537" s="7">
        <v>536</v>
      </c>
      <c r="B537" s="6">
        <v>17</v>
      </c>
      <c r="C537" s="13">
        <v>1611194</v>
      </c>
      <c r="D537" t="s">
        <v>41</v>
      </c>
      <c r="E537" s="13">
        <v>13</v>
      </c>
      <c r="F537" s="10" t="s">
        <v>20</v>
      </c>
      <c r="I537" s="87"/>
      <c r="J537" s="138">
        <v>643.20000000000005</v>
      </c>
      <c r="K537" s="138">
        <v>650.04000000000008</v>
      </c>
      <c r="L537" s="138">
        <v>636.36</v>
      </c>
      <c r="M537" s="28"/>
      <c r="N537" s="83">
        <v>643.20000000000005</v>
      </c>
      <c r="P537" t="str">
        <f>VLOOKUP(B537,PTN!A:B,2,FALSE)</f>
        <v>UNIVERSITAS BENGKULU</v>
      </c>
      <c r="Q537" t="str">
        <f t="shared" si="8"/>
        <v>UNIVERSITAS BENGKULUPENDIDIKAN DOKTER</v>
      </c>
    </row>
    <row r="538" spans="1:17" ht="15.75" thickBot="1" x14ac:dyDescent="0.3">
      <c r="A538" s="7">
        <v>537</v>
      </c>
      <c r="B538" s="6">
        <v>17</v>
      </c>
      <c r="C538" s="12">
        <v>1611066</v>
      </c>
      <c r="D538" t="s">
        <v>42</v>
      </c>
      <c r="E538" s="12">
        <v>16</v>
      </c>
      <c r="F538" s="10" t="s">
        <v>20</v>
      </c>
      <c r="I538" s="26"/>
      <c r="J538" s="138" t="s">
        <v>1292</v>
      </c>
      <c r="K538" s="138" t="s">
        <v>1292</v>
      </c>
      <c r="L538" s="138" t="s">
        <v>1292</v>
      </c>
      <c r="M538" s="27"/>
      <c r="N538" s="83" t="s">
        <v>1292</v>
      </c>
      <c r="P538" t="str">
        <f>VLOOKUP(B538,PTN!A:B,2,FALSE)</f>
        <v>UNIVERSITAS BENGKULU</v>
      </c>
      <c r="Q538" t="str">
        <f t="shared" si="8"/>
        <v>UNIVERSITAS BENGKULUPENDIDIKAN FISIKA</v>
      </c>
    </row>
    <row r="539" spans="1:17" ht="15.75" thickBot="1" x14ac:dyDescent="0.3">
      <c r="A539" s="7">
        <v>538</v>
      </c>
      <c r="B539" s="6">
        <v>17</v>
      </c>
      <c r="C539" s="13">
        <v>1611275</v>
      </c>
      <c r="D539" t="s">
        <v>115</v>
      </c>
      <c r="E539" s="13">
        <v>16</v>
      </c>
      <c r="F539" s="10" t="s">
        <v>20</v>
      </c>
      <c r="I539" s="87"/>
      <c r="J539" s="138" t="s">
        <v>1292</v>
      </c>
      <c r="K539" s="138" t="s">
        <v>1292</v>
      </c>
      <c r="L539" s="138" t="s">
        <v>1292</v>
      </c>
      <c r="M539" s="28"/>
      <c r="N539" s="83" t="s">
        <v>1292</v>
      </c>
      <c r="P539" t="str">
        <f>VLOOKUP(B539,PTN!A:B,2,FALSE)</f>
        <v>UNIVERSITAS BENGKULU</v>
      </c>
      <c r="Q539" t="str">
        <f t="shared" si="8"/>
        <v>UNIVERSITAS BENGKULUPENDIDIKAN IPA</v>
      </c>
    </row>
    <row r="540" spans="1:17" ht="15.75" thickBot="1" x14ac:dyDescent="0.3">
      <c r="A540" s="7">
        <v>539</v>
      </c>
      <c r="B540" s="6">
        <v>17</v>
      </c>
      <c r="C540" s="12">
        <v>1611082</v>
      </c>
      <c r="D540" t="s">
        <v>43</v>
      </c>
      <c r="E540" s="12">
        <v>8</v>
      </c>
      <c r="F540" s="10" t="s">
        <v>20</v>
      </c>
      <c r="I540" s="26"/>
      <c r="J540" s="138" t="s">
        <v>1292</v>
      </c>
      <c r="K540" s="138" t="s">
        <v>1292</v>
      </c>
      <c r="L540" s="138" t="s">
        <v>1292</v>
      </c>
      <c r="M540" s="27"/>
      <c r="N540" s="83" t="s">
        <v>1292</v>
      </c>
      <c r="P540" t="str">
        <f>VLOOKUP(B540,PTN!A:B,2,FALSE)</f>
        <v>UNIVERSITAS BENGKULU</v>
      </c>
      <c r="Q540" t="str">
        <f t="shared" si="8"/>
        <v>UNIVERSITAS BENGKULUPENDIDIKAN KIMIA</v>
      </c>
    </row>
    <row r="541" spans="1:17" ht="15.75" thickBot="1" x14ac:dyDescent="0.3">
      <c r="A541" s="7">
        <v>540</v>
      </c>
      <c r="B541" s="6">
        <v>17</v>
      </c>
      <c r="C541" s="13">
        <v>1611097</v>
      </c>
      <c r="D541" t="s">
        <v>44</v>
      </c>
      <c r="E541" s="13">
        <v>16</v>
      </c>
      <c r="F541" s="10" t="s">
        <v>20</v>
      </c>
      <c r="I541" s="87"/>
      <c r="J541" s="138" t="s">
        <v>1292</v>
      </c>
      <c r="K541" s="138" t="s">
        <v>1292</v>
      </c>
      <c r="L541" s="138" t="s">
        <v>1292</v>
      </c>
      <c r="M541" s="28"/>
      <c r="N541" s="83" t="s">
        <v>1292</v>
      </c>
      <c r="P541" t="str">
        <f>VLOOKUP(B541,PTN!A:B,2,FALSE)</f>
        <v>UNIVERSITAS BENGKULU</v>
      </c>
      <c r="Q541" t="str">
        <f t="shared" si="8"/>
        <v>UNIVERSITAS BENGKULUPENDIDIKAN MATEMATIKA</v>
      </c>
    </row>
    <row r="542" spans="1:17" ht="15.75" thickBot="1" x14ac:dyDescent="0.3">
      <c r="A542" s="7">
        <v>541</v>
      </c>
      <c r="B542" s="6">
        <v>17</v>
      </c>
      <c r="C542" s="12">
        <v>1611035</v>
      </c>
      <c r="D542" t="s">
        <v>88</v>
      </c>
      <c r="E542" s="12">
        <v>24</v>
      </c>
      <c r="F542" s="10" t="s">
        <v>20</v>
      </c>
      <c r="I542" s="26"/>
      <c r="J542" s="138" t="s">
        <v>1292</v>
      </c>
      <c r="K542" s="138" t="s">
        <v>1292</v>
      </c>
      <c r="L542" s="138" t="s">
        <v>1292</v>
      </c>
      <c r="M542" s="27"/>
      <c r="N542" s="83" t="s">
        <v>1292</v>
      </c>
      <c r="P542" t="str">
        <f>VLOOKUP(B542,PTN!A:B,2,FALSE)</f>
        <v>UNIVERSITAS BENGKULU</v>
      </c>
      <c r="Q542" t="str">
        <f t="shared" si="8"/>
        <v>UNIVERSITAS BENGKULUPETERNAKAN</v>
      </c>
    </row>
    <row r="543" spans="1:17" ht="15.75" thickBot="1" x14ac:dyDescent="0.3">
      <c r="A543" s="7">
        <v>542</v>
      </c>
      <c r="B543" s="6">
        <v>17</v>
      </c>
      <c r="C543" s="13">
        <v>1611244</v>
      </c>
      <c r="D543" t="s">
        <v>89</v>
      </c>
      <c r="E543" s="13">
        <v>10</v>
      </c>
      <c r="F543" s="10" t="s">
        <v>20</v>
      </c>
      <c r="I543" s="87"/>
      <c r="J543" s="138" t="s">
        <v>1292</v>
      </c>
      <c r="K543" s="138" t="s">
        <v>1292</v>
      </c>
      <c r="L543" s="138" t="s">
        <v>1292</v>
      </c>
      <c r="M543" s="28"/>
      <c r="N543" s="83" t="s">
        <v>1292</v>
      </c>
      <c r="P543" t="str">
        <f>VLOOKUP(B543,PTN!A:B,2,FALSE)</f>
        <v>UNIVERSITAS BENGKULU</v>
      </c>
      <c r="Q543" t="str">
        <f t="shared" si="8"/>
        <v>UNIVERSITAS BENGKULUPROTEKSI TANAMAN</v>
      </c>
    </row>
    <row r="544" spans="1:17" ht="15.75" thickBot="1" x14ac:dyDescent="0.3">
      <c r="A544" s="7">
        <v>543</v>
      </c>
      <c r="B544" s="6">
        <v>17</v>
      </c>
      <c r="C544" s="12">
        <v>1611236</v>
      </c>
      <c r="D544" t="s">
        <v>46</v>
      </c>
      <c r="E544" s="12">
        <v>10</v>
      </c>
      <c r="F544" s="10" t="s">
        <v>20</v>
      </c>
      <c r="I544" s="26"/>
      <c r="J544" s="138" t="s">
        <v>1292</v>
      </c>
      <c r="K544" s="138" t="s">
        <v>1292</v>
      </c>
      <c r="L544" s="138" t="s">
        <v>1292</v>
      </c>
      <c r="M544" s="27"/>
      <c r="N544" s="83" t="s">
        <v>1292</v>
      </c>
      <c r="P544" t="str">
        <f>VLOOKUP(B544,PTN!A:B,2,FALSE)</f>
        <v>UNIVERSITAS BENGKULU</v>
      </c>
      <c r="Q544" t="str">
        <f t="shared" si="8"/>
        <v>UNIVERSITAS BENGKULUSISTEM INFORMASI</v>
      </c>
    </row>
    <row r="545" spans="1:17" ht="15.75" thickBot="1" x14ac:dyDescent="0.3">
      <c r="A545" s="7">
        <v>544</v>
      </c>
      <c r="B545" s="6">
        <v>17</v>
      </c>
      <c r="C545" s="13">
        <v>1611213</v>
      </c>
      <c r="D545" t="s">
        <v>90</v>
      </c>
      <c r="E545" s="13">
        <v>8</v>
      </c>
      <c r="F545" s="10" t="s">
        <v>20</v>
      </c>
      <c r="I545" s="87"/>
      <c r="J545" s="138" t="s">
        <v>1292</v>
      </c>
      <c r="K545" s="138" t="s">
        <v>1292</v>
      </c>
      <c r="L545" s="138" t="s">
        <v>1292</v>
      </c>
      <c r="M545" s="28"/>
      <c r="N545" s="83" t="s">
        <v>1292</v>
      </c>
      <c r="P545" t="str">
        <f>VLOOKUP(B545,PTN!A:B,2,FALSE)</f>
        <v>UNIVERSITAS BENGKULU</v>
      </c>
      <c r="Q545" t="str">
        <f t="shared" si="8"/>
        <v>UNIVERSITAS BENGKULUSTATISTIKA</v>
      </c>
    </row>
    <row r="546" spans="1:17" ht="15.75" thickBot="1" x14ac:dyDescent="0.3">
      <c r="A546" s="7">
        <v>545</v>
      </c>
      <c r="B546" s="6">
        <v>17</v>
      </c>
      <c r="C546" s="12">
        <v>1611171</v>
      </c>
      <c r="D546" t="s">
        <v>48</v>
      </c>
      <c r="E546" s="12">
        <v>20</v>
      </c>
      <c r="F546" s="10" t="s">
        <v>20</v>
      </c>
      <c r="I546" s="26"/>
      <c r="J546" s="138" t="s">
        <v>1292</v>
      </c>
      <c r="K546" s="138" t="s">
        <v>1292</v>
      </c>
      <c r="L546" s="138" t="s">
        <v>1292</v>
      </c>
      <c r="M546" s="27"/>
      <c r="N546" s="83" t="s">
        <v>1292</v>
      </c>
      <c r="P546" t="str">
        <f>VLOOKUP(B546,PTN!A:B,2,FALSE)</f>
        <v>UNIVERSITAS BENGKULU</v>
      </c>
      <c r="Q546" t="str">
        <f t="shared" si="8"/>
        <v>UNIVERSITAS BENGKULUTEKNIK ELEKTRO</v>
      </c>
    </row>
    <row r="547" spans="1:17" ht="15.75" thickBot="1" x14ac:dyDescent="0.3">
      <c r="A547" s="7">
        <v>546</v>
      </c>
      <c r="B547" s="6">
        <v>17</v>
      </c>
      <c r="C547" s="13">
        <v>1611147</v>
      </c>
      <c r="D547" t="s">
        <v>50</v>
      </c>
      <c r="E547" s="13">
        <v>20</v>
      </c>
      <c r="F547" s="10" t="s">
        <v>20</v>
      </c>
      <c r="I547" s="87"/>
      <c r="J547" s="138" t="s">
        <v>1292</v>
      </c>
      <c r="K547" s="138" t="s">
        <v>1292</v>
      </c>
      <c r="L547" s="138" t="s">
        <v>1292</v>
      </c>
      <c r="M547" s="28"/>
      <c r="N547" s="83" t="s">
        <v>1292</v>
      </c>
      <c r="P547" t="str">
        <f>VLOOKUP(B547,PTN!A:B,2,FALSE)</f>
        <v>UNIVERSITAS BENGKULU</v>
      </c>
      <c r="Q547" t="str">
        <f t="shared" si="8"/>
        <v>UNIVERSITAS BENGKULUTEKNIK INFORMATIKA</v>
      </c>
    </row>
    <row r="548" spans="1:17" ht="15.75" thickBot="1" x14ac:dyDescent="0.3">
      <c r="A548" s="7">
        <v>547</v>
      </c>
      <c r="B548" s="6">
        <v>17</v>
      </c>
      <c r="C548" s="12">
        <v>1611163</v>
      </c>
      <c r="D548" t="s">
        <v>53</v>
      </c>
      <c r="E548" s="12">
        <v>20</v>
      </c>
      <c r="F548" s="10" t="s">
        <v>20</v>
      </c>
      <c r="I548" s="26"/>
      <c r="J548" s="138" t="s">
        <v>1292</v>
      </c>
      <c r="K548" s="138" t="s">
        <v>1292</v>
      </c>
      <c r="L548" s="138" t="s">
        <v>1292</v>
      </c>
      <c r="M548" s="27"/>
      <c r="N548" s="83" t="s">
        <v>1292</v>
      </c>
      <c r="P548" t="str">
        <f>VLOOKUP(B548,PTN!A:B,2,FALSE)</f>
        <v>UNIVERSITAS BENGKULU</v>
      </c>
      <c r="Q548" t="str">
        <f t="shared" si="8"/>
        <v>UNIVERSITAS BENGKULUTEKNIK MESIN</v>
      </c>
    </row>
    <row r="549" spans="1:17" ht="15.75" thickBot="1" x14ac:dyDescent="0.3">
      <c r="A549" s="7">
        <v>548</v>
      </c>
      <c r="B549" s="6">
        <v>17</v>
      </c>
      <c r="C549" s="13">
        <v>1611155</v>
      </c>
      <c r="D549" t="s">
        <v>54</v>
      </c>
      <c r="E549" s="13">
        <v>20</v>
      </c>
      <c r="F549" s="10" t="s">
        <v>20</v>
      </c>
      <c r="I549" s="87"/>
      <c r="J549" s="138" t="s">
        <v>1292</v>
      </c>
      <c r="K549" s="138" t="s">
        <v>1292</v>
      </c>
      <c r="L549" s="138" t="s">
        <v>1292</v>
      </c>
      <c r="M549" s="28"/>
      <c r="N549" s="83" t="s">
        <v>1292</v>
      </c>
      <c r="P549" t="str">
        <f>VLOOKUP(B549,PTN!A:B,2,FALSE)</f>
        <v>UNIVERSITAS BENGKULU</v>
      </c>
      <c r="Q549" t="str">
        <f t="shared" si="8"/>
        <v>UNIVERSITAS BENGKULUTEKNIK SIPIL</v>
      </c>
    </row>
    <row r="550" spans="1:17" ht="15.75" thickBot="1" x14ac:dyDescent="0.3">
      <c r="A550" s="7">
        <v>549</v>
      </c>
      <c r="B550" s="6">
        <v>17</v>
      </c>
      <c r="C550" s="14">
        <v>1611051</v>
      </c>
      <c r="D550" t="s">
        <v>166</v>
      </c>
      <c r="E550" s="14">
        <v>26</v>
      </c>
      <c r="F550" s="10" t="s">
        <v>20</v>
      </c>
      <c r="I550" s="26"/>
      <c r="J550" s="138" t="s">
        <v>1292</v>
      </c>
      <c r="K550" s="138" t="s">
        <v>1292</v>
      </c>
      <c r="L550" s="138" t="s">
        <v>1292</v>
      </c>
      <c r="M550" s="27"/>
      <c r="N550" s="83" t="s">
        <v>1292</v>
      </c>
      <c r="P550" t="str">
        <f>VLOOKUP(B550,PTN!A:B,2,FALSE)</f>
        <v>UNIVERSITAS BENGKULU</v>
      </c>
      <c r="Q550" t="str">
        <f t="shared" si="8"/>
        <v>UNIVERSITAS BENGKULUTEKNOLOGI INDUSTRI PERTANIAN</v>
      </c>
    </row>
    <row r="551" spans="1:17" ht="16.5" thickTop="1" thickBot="1" x14ac:dyDescent="0.3">
      <c r="A551" s="7">
        <v>550</v>
      </c>
      <c r="B551" s="6">
        <v>17</v>
      </c>
      <c r="C551" s="12">
        <v>1612085</v>
      </c>
      <c r="D551" t="s">
        <v>55</v>
      </c>
      <c r="E551" s="12">
        <v>40</v>
      </c>
      <c r="F551" s="10" t="s">
        <v>13</v>
      </c>
      <c r="I551" s="20"/>
      <c r="J551" s="138" t="s">
        <v>1292</v>
      </c>
      <c r="K551" s="138" t="s">
        <v>1292</v>
      </c>
      <c r="L551" s="138" t="s">
        <v>1292</v>
      </c>
      <c r="M551" s="21"/>
      <c r="N551" s="83" t="s">
        <v>1292</v>
      </c>
      <c r="P551" t="str">
        <f>VLOOKUP(B551,PTN!A:B,2,FALSE)</f>
        <v>UNIVERSITAS BENGKULU</v>
      </c>
      <c r="Q551" t="str">
        <f t="shared" si="8"/>
        <v>UNIVERSITAS BENGKULUAKUNTANSI</v>
      </c>
    </row>
    <row r="552" spans="1:17" ht="15.75" thickBot="1" x14ac:dyDescent="0.3">
      <c r="A552" s="7">
        <v>551</v>
      </c>
      <c r="B552" s="6">
        <v>17</v>
      </c>
      <c r="C552" s="13">
        <v>1612151</v>
      </c>
      <c r="D552" t="s">
        <v>187</v>
      </c>
      <c r="E552" s="13">
        <v>16</v>
      </c>
      <c r="F552" s="10" t="s">
        <v>13</v>
      </c>
      <c r="I552" s="22"/>
      <c r="J552" s="138" t="s">
        <v>1292</v>
      </c>
      <c r="K552" s="138" t="s">
        <v>1292</v>
      </c>
      <c r="L552" s="138" t="s">
        <v>1292</v>
      </c>
      <c r="M552" s="21"/>
      <c r="N552" s="83" t="s">
        <v>1292</v>
      </c>
      <c r="P552" t="str">
        <f>VLOOKUP(B552,PTN!A:B,2,FALSE)</f>
        <v>UNIVERSITAS BENGKULU</v>
      </c>
      <c r="Q552" t="str">
        <f t="shared" si="8"/>
        <v>UNIVERSITAS BENGKULUBIMBINGAN DAN KONSELING</v>
      </c>
    </row>
    <row r="553" spans="1:17" ht="16.5" thickTop="1" thickBot="1" x14ac:dyDescent="0.3">
      <c r="A553" s="7">
        <v>552</v>
      </c>
      <c r="B553" s="6">
        <v>17</v>
      </c>
      <c r="C553" s="12">
        <v>1612031</v>
      </c>
      <c r="D553" t="s">
        <v>69</v>
      </c>
      <c r="E553" s="12">
        <v>24</v>
      </c>
      <c r="F553" s="10" t="s">
        <v>13</v>
      </c>
      <c r="I553" s="23"/>
      <c r="J553" s="138" t="s">
        <v>1292</v>
      </c>
      <c r="K553" s="138" t="s">
        <v>1292</v>
      </c>
      <c r="L553" s="138" t="s">
        <v>1292</v>
      </c>
      <c r="M553" s="25"/>
      <c r="N553" s="83" t="s">
        <v>1292</v>
      </c>
      <c r="P553" t="str">
        <f>VLOOKUP(B553,PTN!A:B,2,FALSE)</f>
        <v>UNIVERSITAS BENGKULU</v>
      </c>
      <c r="Q553" t="str">
        <f t="shared" si="8"/>
        <v>UNIVERSITAS BENGKULUEKONOMI PEMBANGUNAN</v>
      </c>
    </row>
    <row r="554" spans="1:17" ht="16.5" thickTop="1" thickBot="1" x14ac:dyDescent="0.3">
      <c r="A554" s="7">
        <v>553</v>
      </c>
      <c r="B554" s="6">
        <v>17</v>
      </c>
      <c r="C554" s="13">
        <v>1612054</v>
      </c>
      <c r="D554" t="s">
        <v>29</v>
      </c>
      <c r="E554" s="13">
        <v>20</v>
      </c>
      <c r="F554" s="10" t="s">
        <v>13</v>
      </c>
      <c r="I554" s="26"/>
      <c r="J554" s="138" t="s">
        <v>1292</v>
      </c>
      <c r="K554" s="138" t="s">
        <v>1292</v>
      </c>
      <c r="L554" s="138" t="s">
        <v>1292</v>
      </c>
      <c r="M554" s="27"/>
      <c r="N554" s="83" t="s">
        <v>1292</v>
      </c>
      <c r="P554" t="str">
        <f>VLOOKUP(B554,PTN!A:B,2,FALSE)</f>
        <v>UNIVERSITAS BENGKULU</v>
      </c>
      <c r="Q554" t="str">
        <f t="shared" si="8"/>
        <v>UNIVERSITAS BENGKULUILMU ADMINISTRASI NEGARA</v>
      </c>
    </row>
    <row r="555" spans="1:17" ht="15.75" thickBot="1" x14ac:dyDescent="0.3">
      <c r="A555" s="7">
        <v>554</v>
      </c>
      <c r="B555" s="6">
        <v>17</v>
      </c>
      <c r="C555" s="12">
        <v>1612015</v>
      </c>
      <c r="D555" t="s">
        <v>31</v>
      </c>
      <c r="E555" s="12">
        <v>90</v>
      </c>
      <c r="F555" s="10" t="s">
        <v>13</v>
      </c>
      <c r="I555" s="87"/>
      <c r="J555" s="138" t="s">
        <v>1292</v>
      </c>
      <c r="K555" s="138" t="s">
        <v>1292</v>
      </c>
      <c r="L555" s="138" t="s">
        <v>1292</v>
      </c>
      <c r="M555" s="28"/>
      <c r="N555" s="83" t="s">
        <v>1292</v>
      </c>
      <c r="P555" t="str">
        <f>VLOOKUP(B555,PTN!A:B,2,FALSE)</f>
        <v>UNIVERSITAS BENGKULU</v>
      </c>
      <c r="Q555" t="str">
        <f t="shared" si="8"/>
        <v>UNIVERSITAS BENGKULUILMU HUKUM</v>
      </c>
    </row>
    <row r="556" spans="1:17" ht="15.75" thickBot="1" x14ac:dyDescent="0.3">
      <c r="A556" s="7">
        <v>555</v>
      </c>
      <c r="B556" s="6">
        <v>17</v>
      </c>
      <c r="C556" s="13">
        <v>1612023</v>
      </c>
      <c r="D556" t="s">
        <v>147</v>
      </c>
      <c r="E556" s="13">
        <v>14</v>
      </c>
      <c r="F556" s="10" t="s">
        <v>13</v>
      </c>
      <c r="I556" s="26"/>
      <c r="J556" s="138" t="s">
        <v>1292</v>
      </c>
      <c r="K556" s="138" t="s">
        <v>1292</v>
      </c>
      <c r="L556" s="138" t="s">
        <v>1292</v>
      </c>
      <c r="M556" s="27"/>
      <c r="N556" s="83" t="s">
        <v>1292</v>
      </c>
      <c r="P556" t="str">
        <f>VLOOKUP(B556,PTN!A:B,2,FALSE)</f>
        <v>UNIVERSITAS BENGKULU</v>
      </c>
      <c r="Q556" t="str">
        <f t="shared" si="8"/>
        <v>UNIVERSITAS BENGKULUILMU KESEJAHTERAAN SOSIAL</v>
      </c>
    </row>
    <row r="557" spans="1:17" ht="15.75" thickBot="1" x14ac:dyDescent="0.3">
      <c r="A557" s="7">
        <v>556</v>
      </c>
      <c r="B557" s="6">
        <v>17</v>
      </c>
      <c r="C557" s="12">
        <v>1612077</v>
      </c>
      <c r="D557" t="s">
        <v>60</v>
      </c>
      <c r="E557" s="12">
        <v>20</v>
      </c>
      <c r="F557" s="10" t="s">
        <v>13</v>
      </c>
      <c r="I557" s="87"/>
      <c r="J557" s="138" t="s">
        <v>1292</v>
      </c>
      <c r="K557" s="138" t="s">
        <v>1292</v>
      </c>
      <c r="L557" s="138" t="s">
        <v>1292</v>
      </c>
      <c r="M557" s="28"/>
      <c r="N557" s="83" t="s">
        <v>1292</v>
      </c>
      <c r="P557" t="str">
        <f>VLOOKUP(B557,PTN!A:B,2,FALSE)</f>
        <v>UNIVERSITAS BENGKULU</v>
      </c>
      <c r="Q557" t="str">
        <f t="shared" si="8"/>
        <v>UNIVERSITAS BENGKULUILMU KOMUNIKASI</v>
      </c>
    </row>
    <row r="558" spans="1:17" ht="15.75" thickBot="1" x14ac:dyDescent="0.3">
      <c r="A558" s="7">
        <v>557</v>
      </c>
      <c r="B558" s="6">
        <v>17</v>
      </c>
      <c r="C558" s="13">
        <v>1612166</v>
      </c>
      <c r="D558" t="s">
        <v>32</v>
      </c>
      <c r="E558" s="13">
        <v>14</v>
      </c>
      <c r="F558" s="10" t="s">
        <v>13</v>
      </c>
      <c r="I558" s="26"/>
      <c r="J558" s="138" t="s">
        <v>1292</v>
      </c>
      <c r="K558" s="138" t="s">
        <v>1292</v>
      </c>
      <c r="L558" s="138" t="s">
        <v>1292</v>
      </c>
      <c r="M558" s="27"/>
      <c r="N558" s="83" t="s">
        <v>1292</v>
      </c>
      <c r="P558" t="str">
        <f>VLOOKUP(B558,PTN!A:B,2,FALSE)</f>
        <v>UNIVERSITAS BENGKULU</v>
      </c>
      <c r="Q558" t="str">
        <f t="shared" si="8"/>
        <v>UNIVERSITAS BENGKULUILMU PERPUSTAKAAN</v>
      </c>
    </row>
    <row r="559" spans="1:17" ht="15.75" thickBot="1" x14ac:dyDescent="0.3">
      <c r="A559" s="7">
        <v>558</v>
      </c>
      <c r="B559" s="6">
        <v>17</v>
      </c>
      <c r="C559" s="12">
        <v>1612174</v>
      </c>
      <c r="D559" t="s">
        <v>247</v>
      </c>
      <c r="E559" s="12">
        <v>18</v>
      </c>
      <c r="F559" s="10" t="s">
        <v>13</v>
      </c>
      <c r="I559" s="87"/>
      <c r="J559" s="138" t="s">
        <v>1292</v>
      </c>
      <c r="K559" s="138" t="s">
        <v>1292</v>
      </c>
      <c r="L559" s="138" t="s">
        <v>1292</v>
      </c>
      <c r="M559" s="28"/>
      <c r="N559" s="83" t="s">
        <v>1292</v>
      </c>
      <c r="P559" t="str">
        <f>VLOOKUP(B559,PTN!A:B,2,FALSE)</f>
        <v>UNIVERSITAS BENGKULU</v>
      </c>
      <c r="Q559" t="str">
        <f t="shared" si="8"/>
        <v>UNIVERSITAS BENGKULUJURNALISTIK</v>
      </c>
    </row>
    <row r="560" spans="1:17" ht="15.75" thickBot="1" x14ac:dyDescent="0.3">
      <c r="A560" s="7">
        <v>559</v>
      </c>
      <c r="B560" s="6">
        <v>17</v>
      </c>
      <c r="C560" s="13">
        <v>1612046</v>
      </c>
      <c r="D560" t="s">
        <v>61</v>
      </c>
      <c r="E560" s="13">
        <v>36</v>
      </c>
      <c r="F560" s="10" t="s">
        <v>13</v>
      </c>
      <c r="I560" s="26"/>
      <c r="J560" s="138" t="s">
        <v>1292</v>
      </c>
      <c r="K560" s="138" t="s">
        <v>1292</v>
      </c>
      <c r="L560" s="138" t="s">
        <v>1292</v>
      </c>
      <c r="M560" s="27"/>
      <c r="N560" s="83" t="s">
        <v>1292</v>
      </c>
      <c r="P560" t="str">
        <f>VLOOKUP(B560,PTN!A:B,2,FALSE)</f>
        <v>UNIVERSITAS BENGKULU</v>
      </c>
      <c r="Q560" t="str">
        <f t="shared" si="8"/>
        <v>UNIVERSITAS BENGKULUMANAJEMEN</v>
      </c>
    </row>
    <row r="561" spans="1:17" ht="15.75" thickBot="1" x14ac:dyDescent="0.3">
      <c r="A561" s="7">
        <v>560</v>
      </c>
      <c r="B561" s="6">
        <v>17</v>
      </c>
      <c r="C561" s="12">
        <v>1612104</v>
      </c>
      <c r="D561" t="s">
        <v>99</v>
      </c>
      <c r="E561" s="12">
        <v>24</v>
      </c>
      <c r="F561" s="10" t="s">
        <v>13</v>
      </c>
      <c r="I561" s="87"/>
      <c r="J561" s="138" t="s">
        <v>1292</v>
      </c>
      <c r="K561" s="138" t="s">
        <v>1292</v>
      </c>
      <c r="L561" s="138" t="s">
        <v>1292</v>
      </c>
      <c r="M561" s="28"/>
      <c r="N561" s="83" t="s">
        <v>1292</v>
      </c>
      <c r="P561" t="str">
        <f>VLOOKUP(B561,PTN!A:B,2,FALSE)</f>
        <v>UNIVERSITAS BENGKULU</v>
      </c>
      <c r="Q561" t="str">
        <f t="shared" si="8"/>
        <v>UNIVERSITAS BENGKULUPENDIDIKAN BAHASA DAN SASTRA INDONESIA</v>
      </c>
    </row>
    <row r="562" spans="1:17" ht="15.75" thickBot="1" x14ac:dyDescent="0.3">
      <c r="A562" s="7">
        <v>561</v>
      </c>
      <c r="B562" s="6">
        <v>17</v>
      </c>
      <c r="C562" s="13">
        <v>1612112</v>
      </c>
      <c r="D562" t="s">
        <v>71</v>
      </c>
      <c r="E562" s="13">
        <v>24</v>
      </c>
      <c r="F562" s="10" t="s">
        <v>13</v>
      </c>
      <c r="I562" s="26"/>
      <c r="J562" s="138" t="s">
        <v>1292</v>
      </c>
      <c r="K562" s="138" t="s">
        <v>1292</v>
      </c>
      <c r="L562" s="138" t="s">
        <v>1292</v>
      </c>
      <c r="M562" s="27"/>
      <c r="N562" s="83" t="s">
        <v>1292</v>
      </c>
      <c r="P562" t="str">
        <f>VLOOKUP(B562,PTN!A:B,2,FALSE)</f>
        <v>UNIVERSITAS BENGKULU</v>
      </c>
      <c r="Q562" t="str">
        <f t="shared" si="8"/>
        <v>UNIVERSITAS BENGKULUPENDIDIKAN BAHASA INGGRIS</v>
      </c>
    </row>
    <row r="563" spans="1:17" ht="15.75" thickBot="1" x14ac:dyDescent="0.3">
      <c r="A563" s="7">
        <v>562</v>
      </c>
      <c r="B563" s="6">
        <v>17</v>
      </c>
      <c r="C563" s="12">
        <v>1612135</v>
      </c>
      <c r="D563" t="s">
        <v>248</v>
      </c>
      <c r="E563" s="12">
        <v>16</v>
      </c>
      <c r="F563" s="10" t="s">
        <v>13</v>
      </c>
      <c r="I563" s="87"/>
      <c r="J563" s="138" t="s">
        <v>1292</v>
      </c>
      <c r="K563" s="138" t="s">
        <v>1292</v>
      </c>
      <c r="L563" s="138" t="s">
        <v>1292</v>
      </c>
      <c r="M563" s="28"/>
      <c r="N563" s="83" t="s">
        <v>1292</v>
      </c>
      <c r="P563" t="str">
        <f>VLOOKUP(B563,PTN!A:B,2,FALSE)</f>
        <v>UNIVERSITAS BENGKULU</v>
      </c>
      <c r="Q563" t="str">
        <f t="shared" si="8"/>
        <v>UNIVERSITAS BENGKULUPENDIDIKAN GURU PENDIDIKAN ANAK USIA DINI</v>
      </c>
    </row>
    <row r="564" spans="1:17" ht="15.75" thickBot="1" x14ac:dyDescent="0.3">
      <c r="A564" s="7">
        <v>563</v>
      </c>
      <c r="B564" s="6">
        <v>17</v>
      </c>
      <c r="C564" s="13">
        <v>1612127</v>
      </c>
      <c r="D564" t="s">
        <v>73</v>
      </c>
      <c r="E564" s="13">
        <v>16</v>
      </c>
      <c r="F564" s="10" t="s">
        <v>13</v>
      </c>
      <c r="I564" s="26"/>
      <c r="J564" s="138" t="s">
        <v>1292</v>
      </c>
      <c r="K564" s="138" t="s">
        <v>1292</v>
      </c>
      <c r="L564" s="138" t="s">
        <v>1292</v>
      </c>
      <c r="M564" s="27"/>
      <c r="N564" s="83" t="s">
        <v>1292</v>
      </c>
      <c r="P564" t="str">
        <f>VLOOKUP(B564,PTN!A:B,2,FALSE)</f>
        <v>UNIVERSITAS BENGKULU</v>
      </c>
      <c r="Q564" t="str">
        <f t="shared" si="8"/>
        <v>UNIVERSITAS BENGKULUPENDIDIKAN GURU SEKOLAH DASAR</v>
      </c>
    </row>
    <row r="565" spans="1:17" ht="15.75" thickBot="1" x14ac:dyDescent="0.3">
      <c r="A565" s="7">
        <v>564</v>
      </c>
      <c r="B565" s="6">
        <v>17</v>
      </c>
      <c r="C565" s="12">
        <v>1612143</v>
      </c>
      <c r="D565" t="s">
        <v>249</v>
      </c>
      <c r="E565" s="12">
        <v>16</v>
      </c>
      <c r="F565" s="10" t="s">
        <v>13</v>
      </c>
      <c r="I565" s="87"/>
      <c r="J565" s="138" t="s">
        <v>1292</v>
      </c>
      <c r="K565" s="138" t="s">
        <v>1292</v>
      </c>
      <c r="L565" s="138" t="s">
        <v>1292</v>
      </c>
      <c r="M565" s="28"/>
      <c r="N565" s="83" t="s">
        <v>1292</v>
      </c>
      <c r="P565" t="str">
        <f>VLOOKUP(B565,PTN!A:B,2,FALSE)</f>
        <v>UNIVERSITAS BENGKULU</v>
      </c>
      <c r="Q565" t="str">
        <f t="shared" si="8"/>
        <v>UNIVERSITAS BENGKULUPENDIDIKAN JASMANI DAN KESEHATAN</v>
      </c>
    </row>
    <row r="566" spans="1:17" ht="15.75" thickBot="1" x14ac:dyDescent="0.3">
      <c r="A566" s="7">
        <v>565</v>
      </c>
      <c r="B566" s="6">
        <v>17</v>
      </c>
      <c r="C566" s="13">
        <v>1612093</v>
      </c>
      <c r="D566" t="s">
        <v>201</v>
      </c>
      <c r="E566" s="13">
        <v>16</v>
      </c>
      <c r="F566" s="10" t="s">
        <v>13</v>
      </c>
      <c r="H566" s="21"/>
      <c r="I566" s="26"/>
      <c r="J566" s="138" t="s">
        <v>1292</v>
      </c>
      <c r="K566" s="138" t="s">
        <v>1292</v>
      </c>
      <c r="L566" s="138" t="s">
        <v>1292</v>
      </c>
      <c r="M566" s="27"/>
      <c r="N566" s="83" t="s">
        <v>1292</v>
      </c>
      <c r="P566" t="str">
        <f>VLOOKUP(B566,PTN!A:B,2,FALSE)</f>
        <v>UNIVERSITAS BENGKULU</v>
      </c>
      <c r="Q566" t="str">
        <f t="shared" si="8"/>
        <v>UNIVERSITAS BENGKULUPENDIDIKAN LUAR SEKOLAH</v>
      </c>
    </row>
    <row r="567" spans="1:17" ht="15.75" thickBot="1" x14ac:dyDescent="0.3">
      <c r="A567" s="7">
        <v>566</v>
      </c>
      <c r="B567" s="6">
        <v>17</v>
      </c>
      <c r="C567" s="14">
        <v>1612062</v>
      </c>
      <c r="D567" t="s">
        <v>63</v>
      </c>
      <c r="E567" s="14">
        <v>12</v>
      </c>
      <c r="F567" s="10" t="s">
        <v>13</v>
      </c>
      <c r="H567" s="21"/>
      <c r="I567" s="20"/>
      <c r="J567" s="138" t="s">
        <v>1292</v>
      </c>
      <c r="K567" s="138" t="s">
        <v>1292</v>
      </c>
      <c r="L567" s="138" t="s">
        <v>1292</v>
      </c>
      <c r="M567" s="21"/>
      <c r="N567" s="83" t="s">
        <v>1292</v>
      </c>
      <c r="P567" t="str">
        <f>VLOOKUP(B567,PTN!A:B,2,FALSE)</f>
        <v>UNIVERSITAS BENGKULU</v>
      </c>
      <c r="Q567" t="str">
        <f t="shared" si="8"/>
        <v>UNIVERSITAS BENGKULUSOSIOLOGI</v>
      </c>
    </row>
    <row r="568" spans="1:17" ht="16.5" thickTop="1" thickBot="1" x14ac:dyDescent="0.3">
      <c r="A568" s="7">
        <v>567</v>
      </c>
      <c r="B568" s="6">
        <v>19</v>
      </c>
      <c r="C568" s="17">
        <v>1721054</v>
      </c>
      <c r="D568" t="s">
        <v>21</v>
      </c>
      <c r="E568" s="17">
        <v>11</v>
      </c>
      <c r="F568" s="10" t="s">
        <v>20</v>
      </c>
      <c r="H568" s="21"/>
      <c r="I568" s="22"/>
      <c r="J568" s="138" t="s">
        <v>1292</v>
      </c>
      <c r="K568" s="138" t="s">
        <v>1292</v>
      </c>
      <c r="L568" s="138" t="s">
        <v>1292</v>
      </c>
      <c r="M568" s="21"/>
      <c r="N568" s="83" t="s">
        <v>1292</v>
      </c>
      <c r="P568" t="str">
        <f>VLOOKUP(B568,PTN!A:B,2,FALSE)</f>
        <v>UIN RADEN FATAH</v>
      </c>
      <c r="Q568" t="str">
        <f t="shared" si="8"/>
        <v>UIN RADEN FATAHBIOLOGI</v>
      </c>
    </row>
    <row r="569" spans="1:17" ht="16.5" thickTop="1" thickBot="1" x14ac:dyDescent="0.3">
      <c r="A569" s="7">
        <v>568</v>
      </c>
      <c r="B569" s="6">
        <v>19</v>
      </c>
      <c r="C569" s="18">
        <v>1721046</v>
      </c>
      <c r="D569" t="s">
        <v>22</v>
      </c>
      <c r="E569" s="18">
        <v>11</v>
      </c>
      <c r="F569" s="10" t="s">
        <v>20</v>
      </c>
      <c r="H569" s="21"/>
      <c r="I569" s="36"/>
      <c r="J569" s="138" t="s">
        <v>1292</v>
      </c>
      <c r="K569" s="138" t="s">
        <v>1292</v>
      </c>
      <c r="L569" s="138" t="s">
        <v>1292</v>
      </c>
      <c r="M569" s="31"/>
      <c r="N569" s="83" t="s">
        <v>1292</v>
      </c>
      <c r="P569" t="str">
        <f>VLOOKUP(B569,PTN!A:B,2,FALSE)</f>
        <v>UIN RADEN FATAH</v>
      </c>
      <c r="Q569" t="str">
        <f t="shared" si="8"/>
        <v>UIN RADEN FATAHKIMIA</v>
      </c>
    </row>
    <row r="570" spans="1:17" ht="16.5" thickTop="1" thickBot="1" x14ac:dyDescent="0.3">
      <c r="A570" s="7">
        <v>569</v>
      </c>
      <c r="B570" s="6">
        <v>19</v>
      </c>
      <c r="C570" s="17">
        <v>1721023</v>
      </c>
      <c r="D570" t="s">
        <v>67</v>
      </c>
      <c r="E570" s="17">
        <v>36</v>
      </c>
      <c r="F570" s="10" t="s">
        <v>20</v>
      </c>
      <c r="H570" s="21"/>
      <c r="I570" s="38"/>
      <c r="J570" s="138" t="s">
        <v>1292</v>
      </c>
      <c r="K570" s="138" t="s">
        <v>1292</v>
      </c>
      <c r="L570" s="138" t="s">
        <v>1292</v>
      </c>
      <c r="M570" s="32"/>
      <c r="N570" s="83" t="s">
        <v>1292</v>
      </c>
      <c r="P570" t="str">
        <f>VLOOKUP(B570,PTN!A:B,2,FALSE)</f>
        <v>UIN RADEN FATAH</v>
      </c>
      <c r="Q570" t="str">
        <f t="shared" si="8"/>
        <v>UIN RADEN FATAHPENDIDIKAN BIOLOGI</v>
      </c>
    </row>
    <row r="571" spans="1:17" ht="15.75" thickBot="1" x14ac:dyDescent="0.3">
      <c r="A571" s="7">
        <v>570</v>
      </c>
      <c r="B571" s="6">
        <v>19</v>
      </c>
      <c r="C571" s="18">
        <v>1721062</v>
      </c>
      <c r="D571" t="s">
        <v>42</v>
      </c>
      <c r="E571" s="18">
        <v>18</v>
      </c>
      <c r="F571" s="10" t="s">
        <v>20</v>
      </c>
      <c r="H571" s="21"/>
      <c r="I571" s="39"/>
      <c r="J571" s="138" t="s">
        <v>1292</v>
      </c>
      <c r="K571" s="138" t="s">
        <v>1292</v>
      </c>
      <c r="L571" s="138" t="s">
        <v>1292</v>
      </c>
      <c r="M571" s="33"/>
      <c r="N571" s="83" t="s">
        <v>1292</v>
      </c>
      <c r="P571" t="str">
        <f>VLOOKUP(B571,PTN!A:B,2,FALSE)</f>
        <v>UIN RADEN FATAH</v>
      </c>
      <c r="Q571" t="str">
        <f t="shared" si="8"/>
        <v>UIN RADEN FATAHPENDIDIKAN FISIKA</v>
      </c>
    </row>
    <row r="572" spans="1:17" ht="15.75" thickBot="1" x14ac:dyDescent="0.3">
      <c r="A572" s="7">
        <v>571</v>
      </c>
      <c r="B572" s="6">
        <v>19</v>
      </c>
      <c r="C572" s="17">
        <v>1721077</v>
      </c>
      <c r="D572" t="s">
        <v>43</v>
      </c>
      <c r="E572" s="17">
        <v>18</v>
      </c>
      <c r="F572" s="10" t="s">
        <v>20</v>
      </c>
      <c r="H572" s="21"/>
      <c r="I572" s="38"/>
      <c r="J572" s="138" t="s">
        <v>1292</v>
      </c>
      <c r="K572" s="138" t="s">
        <v>1292</v>
      </c>
      <c r="L572" s="138" t="s">
        <v>1292</v>
      </c>
      <c r="M572" s="32"/>
      <c r="N572" s="83" t="s">
        <v>1292</v>
      </c>
      <c r="P572" t="str">
        <f>VLOOKUP(B572,PTN!A:B,2,FALSE)</f>
        <v>UIN RADEN FATAH</v>
      </c>
      <c r="Q572" t="str">
        <f t="shared" si="8"/>
        <v>UIN RADEN FATAHPENDIDIKAN KIMIA</v>
      </c>
    </row>
    <row r="573" spans="1:17" ht="15.75" thickBot="1" x14ac:dyDescent="0.3">
      <c r="A573" s="7">
        <v>572</v>
      </c>
      <c r="B573" s="6">
        <v>19</v>
      </c>
      <c r="C573" s="35">
        <v>1721015</v>
      </c>
      <c r="D573" t="s">
        <v>44</v>
      </c>
      <c r="E573" s="35">
        <v>27</v>
      </c>
      <c r="F573" s="10" t="s">
        <v>20</v>
      </c>
      <c r="H573" s="21"/>
      <c r="I573" s="39"/>
      <c r="J573" s="138" t="s">
        <v>1292</v>
      </c>
      <c r="K573" s="138" t="s">
        <v>1292</v>
      </c>
      <c r="L573" s="138" t="s">
        <v>1292</v>
      </c>
      <c r="M573" s="33"/>
      <c r="N573" s="83" t="s">
        <v>1292</v>
      </c>
      <c r="P573" t="str">
        <f>VLOOKUP(B573,PTN!A:B,2,FALSE)</f>
        <v>UIN RADEN FATAH</v>
      </c>
      <c r="Q573" t="str">
        <f t="shared" si="8"/>
        <v>UIN RADEN FATAHPENDIDIKAN MATEMATIKA</v>
      </c>
    </row>
    <row r="574" spans="1:17" ht="16.5" thickTop="1" thickBot="1" x14ac:dyDescent="0.3">
      <c r="A574" s="7">
        <v>573</v>
      </c>
      <c r="B574" s="6">
        <v>19</v>
      </c>
      <c r="C574" s="12">
        <v>1722227</v>
      </c>
      <c r="D574" t="s">
        <v>60</v>
      </c>
      <c r="E574" s="12">
        <v>18</v>
      </c>
      <c r="F574" s="10" t="s">
        <v>13</v>
      </c>
      <c r="H574" s="21"/>
      <c r="I574" s="20"/>
      <c r="J574" s="138" t="s">
        <v>1292</v>
      </c>
      <c r="K574" s="138" t="s">
        <v>1292</v>
      </c>
      <c r="L574" s="138" t="s">
        <v>1292</v>
      </c>
      <c r="M574" s="21"/>
      <c r="N574" s="83" t="s">
        <v>1292</v>
      </c>
      <c r="P574" t="str">
        <f>VLOOKUP(B574,PTN!A:B,2,FALSE)</f>
        <v>UIN RADEN FATAH</v>
      </c>
      <c r="Q574" t="str">
        <f t="shared" si="8"/>
        <v>UIN RADEN FATAHILMU KOMUNIKASI</v>
      </c>
    </row>
    <row r="575" spans="1:17" ht="15.75" thickBot="1" x14ac:dyDescent="0.3">
      <c r="A575" s="7">
        <v>574</v>
      </c>
      <c r="B575" s="6">
        <v>19</v>
      </c>
      <c r="C575" s="13">
        <v>1722212</v>
      </c>
      <c r="D575" t="s">
        <v>32</v>
      </c>
      <c r="E575" s="13">
        <v>30</v>
      </c>
      <c r="F575" s="10" t="s">
        <v>13</v>
      </c>
      <c r="H575" s="21"/>
      <c r="I575" s="22"/>
      <c r="J575" s="138" t="s">
        <v>1292</v>
      </c>
      <c r="K575" s="138" t="s">
        <v>1292</v>
      </c>
      <c r="L575" s="138" t="s">
        <v>1292</v>
      </c>
      <c r="M575" s="21"/>
      <c r="N575" s="83" t="s">
        <v>1292</v>
      </c>
      <c r="P575" t="str">
        <f>VLOOKUP(B575,PTN!A:B,2,FALSE)</f>
        <v>UIN RADEN FATAH</v>
      </c>
      <c r="Q575" t="str">
        <f t="shared" si="8"/>
        <v>UIN RADEN FATAHILMU PERPUSTAKAAN</v>
      </c>
    </row>
    <row r="576" spans="1:17" ht="16.5" thickTop="1" thickBot="1" x14ac:dyDescent="0.3">
      <c r="A576" s="7">
        <v>575</v>
      </c>
      <c r="B576" s="6">
        <v>19</v>
      </c>
      <c r="C576" s="14">
        <v>1722204</v>
      </c>
      <c r="D576" t="s">
        <v>33</v>
      </c>
      <c r="E576" s="14">
        <v>18</v>
      </c>
      <c r="F576" s="10" t="s">
        <v>13</v>
      </c>
      <c r="I576" s="23"/>
      <c r="J576" s="138" t="s">
        <v>1292</v>
      </c>
      <c r="K576" s="138" t="s">
        <v>1292</v>
      </c>
      <c r="L576" s="138" t="s">
        <v>1292</v>
      </c>
      <c r="M576" s="25"/>
      <c r="N576" s="83" t="s">
        <v>1292</v>
      </c>
      <c r="P576" t="str">
        <f>VLOOKUP(B576,PTN!A:B,2,FALSE)</f>
        <v>UIN RADEN FATAH</v>
      </c>
      <c r="Q576" t="str">
        <f t="shared" si="8"/>
        <v>UIN RADEN FATAHILMU POLITIK</v>
      </c>
    </row>
    <row r="577" spans="1:17" ht="16.5" thickTop="1" thickBot="1" x14ac:dyDescent="0.3">
      <c r="A577" s="7">
        <v>576</v>
      </c>
      <c r="B577" s="6">
        <v>18</v>
      </c>
      <c r="C577" s="12">
        <v>1711125</v>
      </c>
      <c r="D577" t="s">
        <v>37</v>
      </c>
      <c r="E577" s="12">
        <v>40</v>
      </c>
      <c r="F577" s="10" t="s">
        <v>20</v>
      </c>
      <c r="I577" s="20"/>
      <c r="J577" s="138" t="s">
        <v>1292</v>
      </c>
      <c r="K577" s="138" t="s">
        <v>1292</v>
      </c>
      <c r="L577" s="138" t="s">
        <v>1292</v>
      </c>
      <c r="M577" s="21"/>
      <c r="N577" s="83" t="s">
        <v>1292</v>
      </c>
      <c r="P577" t="str">
        <f>VLOOKUP(B577,PTN!A:B,2,FALSE)</f>
        <v>UNIVERSITAS SRIWIJAYA</v>
      </c>
      <c r="Q577" t="str">
        <f t="shared" si="8"/>
        <v>UNIVERSITAS SRIWIJAYAAGRIBISNIS</v>
      </c>
    </row>
    <row r="578" spans="1:17" ht="15.75" thickBot="1" x14ac:dyDescent="0.3">
      <c r="A578" s="7">
        <v>577</v>
      </c>
      <c r="B578" s="6">
        <v>18</v>
      </c>
      <c r="C578" s="13">
        <v>1711303</v>
      </c>
      <c r="D578" t="s">
        <v>38</v>
      </c>
      <c r="E578" s="13">
        <v>20</v>
      </c>
      <c r="F578" s="10" t="s">
        <v>20</v>
      </c>
      <c r="J578" s="138" t="s">
        <v>1292</v>
      </c>
      <c r="K578" s="138" t="s">
        <v>1292</v>
      </c>
      <c r="L578" s="138" t="s">
        <v>1292</v>
      </c>
      <c r="M578" s="21"/>
      <c r="N578" s="83" t="s">
        <v>1292</v>
      </c>
      <c r="P578" t="str">
        <f>VLOOKUP(B578,PTN!A:B,2,FALSE)</f>
        <v>UNIVERSITAS SRIWIJAYA</v>
      </c>
      <c r="Q578" t="str">
        <f t="shared" si="8"/>
        <v>UNIVERSITAS SRIWIJAYAAGROEKOTEKNOLOGI</v>
      </c>
    </row>
    <row r="579" spans="1:17" ht="16.5" thickTop="1" thickBot="1" x14ac:dyDescent="0.3">
      <c r="A579" s="7">
        <v>578</v>
      </c>
      <c r="B579" s="6">
        <v>18</v>
      </c>
      <c r="C579" s="12">
        <v>1711365</v>
      </c>
      <c r="D579" t="s">
        <v>250</v>
      </c>
      <c r="E579" s="12">
        <v>20</v>
      </c>
      <c r="F579" s="10" t="s">
        <v>20</v>
      </c>
      <c r="I579" s="23"/>
      <c r="J579" s="138" t="s">
        <v>1292</v>
      </c>
      <c r="K579" s="138" t="s">
        <v>1292</v>
      </c>
      <c r="L579" s="138" t="s">
        <v>1292</v>
      </c>
      <c r="M579" s="25"/>
      <c r="N579" s="83" t="s">
        <v>1292</v>
      </c>
      <c r="P579" t="str">
        <f>VLOOKUP(B579,PTN!A:B,2,FALSE)</f>
        <v>UNIVERSITAS SRIWIJAYA</v>
      </c>
      <c r="Q579" t="str">
        <f t="shared" ref="Q579:Q642" si="9">P579&amp;D579</f>
        <v>UNIVERSITAS SRIWIJAYAAGRONOMI</v>
      </c>
    </row>
    <row r="580" spans="1:17" ht="16.5" thickTop="1" thickBot="1" x14ac:dyDescent="0.3">
      <c r="A580" s="7">
        <v>579</v>
      </c>
      <c r="B580" s="6">
        <v>18</v>
      </c>
      <c r="C580" s="13">
        <v>1711214</v>
      </c>
      <c r="D580" t="s">
        <v>19</v>
      </c>
      <c r="E580" s="13">
        <v>18</v>
      </c>
      <c r="F580" s="10" t="s">
        <v>20</v>
      </c>
      <c r="I580" s="26"/>
      <c r="J580" s="138">
        <v>614.66</v>
      </c>
      <c r="K580" s="138">
        <v>623.88499999999999</v>
      </c>
      <c r="L580" s="138">
        <v>605.43499999999995</v>
      </c>
      <c r="M580" s="27"/>
      <c r="N580" s="83">
        <v>614.66</v>
      </c>
      <c r="P580" t="str">
        <f>VLOOKUP(B580,PTN!A:B,2,FALSE)</f>
        <v>UNIVERSITAS SRIWIJAYA</v>
      </c>
      <c r="Q580" t="str">
        <f t="shared" si="9"/>
        <v>UNIVERSITAS SRIWIJAYAARSITEKTUR</v>
      </c>
    </row>
    <row r="581" spans="1:17" ht="15.75" thickBot="1" x14ac:dyDescent="0.3">
      <c r="A581" s="7">
        <v>580</v>
      </c>
      <c r="B581" s="6">
        <v>18</v>
      </c>
      <c r="C581" s="12">
        <v>1711117</v>
      </c>
      <c r="D581" t="s">
        <v>21</v>
      </c>
      <c r="E581" s="12">
        <v>24</v>
      </c>
      <c r="F581" s="10" t="s">
        <v>20</v>
      </c>
      <c r="I581" s="87"/>
      <c r="J581" s="138" t="s">
        <v>1292</v>
      </c>
      <c r="K581" s="138" t="s">
        <v>1292</v>
      </c>
      <c r="L581" s="138" t="s">
        <v>1292</v>
      </c>
      <c r="M581" s="28"/>
      <c r="N581" s="83" t="s">
        <v>1292</v>
      </c>
      <c r="P581" t="str">
        <f>VLOOKUP(B581,PTN!A:B,2,FALSE)</f>
        <v>UNIVERSITAS SRIWIJAYA</v>
      </c>
      <c r="Q581" t="str">
        <f t="shared" si="9"/>
        <v>UNIVERSITAS SRIWIJAYABIOLOGI</v>
      </c>
    </row>
    <row r="582" spans="1:17" ht="15.75" thickBot="1" x14ac:dyDescent="0.3">
      <c r="A582" s="7">
        <v>581</v>
      </c>
      <c r="B582" s="6">
        <v>18</v>
      </c>
      <c r="C582" s="13">
        <v>1711237</v>
      </c>
      <c r="D582" t="s">
        <v>39</v>
      </c>
      <c r="E582" s="13">
        <v>20</v>
      </c>
      <c r="F582" s="10" t="s">
        <v>20</v>
      </c>
      <c r="I582" s="26"/>
      <c r="J582" s="138" t="s">
        <v>1292</v>
      </c>
      <c r="K582" s="138" t="s">
        <v>1292</v>
      </c>
      <c r="L582" s="138" t="s">
        <v>1292</v>
      </c>
      <c r="M582" s="27"/>
      <c r="N582" s="83" t="s">
        <v>1292</v>
      </c>
      <c r="P582" t="str">
        <f>VLOOKUP(B582,PTN!A:B,2,FALSE)</f>
        <v>UNIVERSITAS SRIWIJAYA</v>
      </c>
      <c r="Q582" t="str">
        <f t="shared" si="9"/>
        <v>UNIVERSITAS SRIWIJAYABUDIDAYA PERAIRAN</v>
      </c>
    </row>
    <row r="583" spans="1:17" ht="15.75" thickBot="1" x14ac:dyDescent="0.3">
      <c r="A583" s="7">
        <v>582</v>
      </c>
      <c r="B583" s="6">
        <v>18</v>
      </c>
      <c r="C583" s="12">
        <v>1711326</v>
      </c>
      <c r="D583" t="s">
        <v>77</v>
      </c>
      <c r="E583" s="12">
        <v>24</v>
      </c>
      <c r="F583" s="10" t="s">
        <v>20</v>
      </c>
      <c r="I583" s="87"/>
      <c r="J583" s="138">
        <v>610.08000000000004</v>
      </c>
      <c r="K583" s="138">
        <v>618.96500000000003</v>
      </c>
      <c r="L583" s="138">
        <v>601.19500000000005</v>
      </c>
      <c r="M583" s="28"/>
      <c r="N583" s="83">
        <v>610.08000000000004</v>
      </c>
      <c r="P583" t="str">
        <f>VLOOKUP(B583,PTN!A:B,2,FALSE)</f>
        <v>UNIVERSITAS SRIWIJAYA</v>
      </c>
      <c r="Q583" t="str">
        <f t="shared" si="9"/>
        <v>UNIVERSITAS SRIWIJAYAFARMASI</v>
      </c>
    </row>
    <row r="584" spans="1:17" ht="15.75" thickBot="1" x14ac:dyDescent="0.3">
      <c r="A584" s="7">
        <v>583</v>
      </c>
      <c r="B584" s="6">
        <v>18</v>
      </c>
      <c r="C584" s="13">
        <v>1711091</v>
      </c>
      <c r="D584" t="s">
        <v>65</v>
      </c>
      <c r="E584" s="13">
        <v>24</v>
      </c>
      <c r="F584" s="10" t="s">
        <v>20</v>
      </c>
      <c r="I584" s="26"/>
      <c r="J584" s="138" t="s">
        <v>1292</v>
      </c>
      <c r="K584" s="138" t="s">
        <v>1292</v>
      </c>
      <c r="L584" s="138" t="s">
        <v>1292</v>
      </c>
      <c r="M584" s="27"/>
      <c r="N584" s="83" t="s">
        <v>1292</v>
      </c>
      <c r="P584" t="str">
        <f>VLOOKUP(B584,PTN!A:B,2,FALSE)</f>
        <v>UNIVERSITAS SRIWIJAYA</v>
      </c>
      <c r="Q584" t="str">
        <f t="shared" si="9"/>
        <v>UNIVERSITAS SRIWIJAYAFISIKA</v>
      </c>
    </row>
    <row r="585" spans="1:17" ht="15.75" thickBot="1" x14ac:dyDescent="0.3">
      <c r="A585" s="7">
        <v>584</v>
      </c>
      <c r="B585" s="6">
        <v>18</v>
      </c>
      <c r="C585" s="12">
        <v>1711381</v>
      </c>
      <c r="D585" t="s">
        <v>113</v>
      </c>
      <c r="E585" s="12">
        <v>20</v>
      </c>
      <c r="F585" s="10" t="s">
        <v>20</v>
      </c>
      <c r="I585" s="87"/>
      <c r="J585" s="138">
        <v>600</v>
      </c>
      <c r="K585" s="138" t="s">
        <v>1292</v>
      </c>
      <c r="L585" s="138" t="s">
        <v>1292</v>
      </c>
      <c r="M585" s="28"/>
      <c r="N585" s="83">
        <v>600</v>
      </c>
      <c r="P585" t="str">
        <f>VLOOKUP(B585,PTN!A:B,2,FALSE)</f>
        <v>UNIVERSITAS SRIWIJAYA</v>
      </c>
      <c r="Q585" t="str">
        <f t="shared" si="9"/>
        <v>UNIVERSITAS SRIWIJAYAGIZI</v>
      </c>
    </row>
    <row r="586" spans="1:17" ht="15.75" thickBot="1" x14ac:dyDescent="0.3">
      <c r="A586" s="7">
        <v>585</v>
      </c>
      <c r="B586" s="6">
        <v>18</v>
      </c>
      <c r="C586" s="13">
        <v>1711222</v>
      </c>
      <c r="D586" t="s">
        <v>40</v>
      </c>
      <c r="E586" s="13">
        <v>24</v>
      </c>
      <c r="F586" s="10" t="s">
        <v>20</v>
      </c>
      <c r="I586" s="26"/>
      <c r="J586" s="138" t="s">
        <v>1292</v>
      </c>
      <c r="K586" s="138" t="s">
        <v>1292</v>
      </c>
      <c r="L586" s="138" t="s">
        <v>1292</v>
      </c>
      <c r="M586" s="27"/>
      <c r="N586" s="83" t="s">
        <v>1292</v>
      </c>
      <c r="P586" t="str">
        <f>VLOOKUP(B586,PTN!A:B,2,FALSE)</f>
        <v>UNIVERSITAS SRIWIJAYA</v>
      </c>
      <c r="Q586" t="str">
        <f t="shared" si="9"/>
        <v>UNIVERSITAS SRIWIJAYAILMU KELAUTAN</v>
      </c>
    </row>
    <row r="587" spans="1:17" ht="15.75" thickBot="1" x14ac:dyDescent="0.3">
      <c r="A587" s="7">
        <v>586</v>
      </c>
      <c r="B587" s="6">
        <v>18</v>
      </c>
      <c r="C587" s="12">
        <v>1711253</v>
      </c>
      <c r="D587" t="s">
        <v>78</v>
      </c>
      <c r="E587" s="12">
        <v>24</v>
      </c>
      <c r="F587" s="10" t="s">
        <v>20</v>
      </c>
      <c r="I587" s="87"/>
      <c r="J587" s="138">
        <v>610</v>
      </c>
      <c r="K587" s="138" t="s">
        <v>1292</v>
      </c>
      <c r="L587" s="138" t="s">
        <v>1292</v>
      </c>
      <c r="M587" s="28"/>
      <c r="N587" s="83">
        <v>610</v>
      </c>
      <c r="P587" t="str">
        <f>VLOOKUP(B587,PTN!A:B,2,FALSE)</f>
        <v>UNIVERSITAS SRIWIJAYA</v>
      </c>
      <c r="Q587" t="str">
        <f t="shared" si="9"/>
        <v>UNIVERSITAS SRIWIJAYAILMU KEPERAWATAN</v>
      </c>
    </row>
    <row r="588" spans="1:17" ht="15.75" thickBot="1" x14ac:dyDescent="0.3">
      <c r="A588" s="7">
        <v>587</v>
      </c>
      <c r="B588" s="6">
        <v>18</v>
      </c>
      <c r="C588" s="13">
        <v>1711206</v>
      </c>
      <c r="D588" t="s">
        <v>110</v>
      </c>
      <c r="E588" s="13">
        <v>44</v>
      </c>
      <c r="F588" s="10" t="s">
        <v>20</v>
      </c>
      <c r="I588" s="26"/>
      <c r="J588" s="138" t="s">
        <v>1292</v>
      </c>
      <c r="K588" s="138" t="s">
        <v>1292</v>
      </c>
      <c r="L588" s="138" t="s">
        <v>1292</v>
      </c>
      <c r="M588" s="27"/>
      <c r="N588" s="83" t="s">
        <v>1292</v>
      </c>
      <c r="P588" t="str">
        <f>VLOOKUP(B588,PTN!A:B,2,FALSE)</f>
        <v>UNIVERSITAS SRIWIJAYA</v>
      </c>
      <c r="Q588" t="str">
        <f t="shared" si="9"/>
        <v>UNIVERSITAS SRIWIJAYAILMU KESEHATAN MASYARAKAT</v>
      </c>
    </row>
    <row r="589" spans="1:17" ht="15.75" thickBot="1" x14ac:dyDescent="0.3">
      <c r="A589" s="7">
        <v>588</v>
      </c>
      <c r="B589" s="6">
        <v>18</v>
      </c>
      <c r="C589" s="12">
        <v>1711357</v>
      </c>
      <c r="D589" t="s">
        <v>79</v>
      </c>
      <c r="E589" s="12">
        <v>20</v>
      </c>
      <c r="F589" s="10" t="s">
        <v>20</v>
      </c>
      <c r="I589" s="87"/>
      <c r="J589" s="138" t="s">
        <v>1292</v>
      </c>
      <c r="K589" s="138" t="s">
        <v>1292</v>
      </c>
      <c r="L589" s="138" t="s">
        <v>1292</v>
      </c>
      <c r="M589" s="28"/>
      <c r="N589" s="83" t="s">
        <v>1292</v>
      </c>
      <c r="P589" t="str">
        <f>VLOOKUP(B589,PTN!A:B,2,FALSE)</f>
        <v>UNIVERSITAS SRIWIJAYA</v>
      </c>
      <c r="Q589" t="str">
        <f t="shared" si="9"/>
        <v>UNIVERSITAS SRIWIJAYAILMU TANAH</v>
      </c>
    </row>
    <row r="590" spans="1:17" ht="15.75" thickBot="1" x14ac:dyDescent="0.3">
      <c r="A590" s="7">
        <v>589</v>
      </c>
      <c r="B590" s="6">
        <v>18</v>
      </c>
      <c r="C590" s="13">
        <v>1711396</v>
      </c>
      <c r="D590" t="s">
        <v>251</v>
      </c>
      <c r="E590" s="13">
        <v>20</v>
      </c>
      <c r="F590" s="10" t="s">
        <v>20</v>
      </c>
      <c r="I590" s="26"/>
      <c r="J590" s="138" t="s">
        <v>1292</v>
      </c>
      <c r="K590" s="138" t="s">
        <v>1292</v>
      </c>
      <c r="L590" s="138" t="s">
        <v>1292</v>
      </c>
      <c r="M590" s="27"/>
      <c r="N590" s="83" t="s">
        <v>1292</v>
      </c>
      <c r="P590" t="str">
        <f>VLOOKUP(B590,PTN!A:B,2,FALSE)</f>
        <v>UNIVERSITAS SRIWIJAYA</v>
      </c>
      <c r="Q590" t="str">
        <f t="shared" si="9"/>
        <v>UNIVERSITAS SRIWIJAYAKESEHATAN LINGKUNGAN</v>
      </c>
    </row>
    <row r="591" spans="1:17" ht="15.75" thickBot="1" x14ac:dyDescent="0.3">
      <c r="A591" s="7">
        <v>590</v>
      </c>
      <c r="B591" s="6">
        <v>18</v>
      </c>
      <c r="C591" s="12">
        <v>1711102</v>
      </c>
      <c r="D591" t="s">
        <v>22</v>
      </c>
      <c r="E591" s="12">
        <v>24</v>
      </c>
      <c r="F591" s="10" t="s">
        <v>20</v>
      </c>
      <c r="I591" s="87"/>
      <c r="J591" s="138" t="s">
        <v>1292</v>
      </c>
      <c r="K591" s="138" t="s">
        <v>1292</v>
      </c>
      <c r="L591" s="138" t="s">
        <v>1292</v>
      </c>
      <c r="M591" s="28"/>
      <c r="N591" s="83" t="s">
        <v>1292</v>
      </c>
      <c r="P591" t="str">
        <f>VLOOKUP(B591,PTN!A:B,2,FALSE)</f>
        <v>UNIVERSITAS SRIWIJAYA</v>
      </c>
      <c r="Q591" t="str">
        <f t="shared" si="9"/>
        <v>UNIVERSITAS SRIWIJAYAKIMIA</v>
      </c>
    </row>
    <row r="592" spans="1:17" ht="15.75" thickBot="1" x14ac:dyDescent="0.3">
      <c r="A592" s="7">
        <v>591</v>
      </c>
      <c r="B592" s="6">
        <v>18</v>
      </c>
      <c r="C592" s="13">
        <v>1711083</v>
      </c>
      <c r="D592" t="s">
        <v>66</v>
      </c>
      <c r="E592" s="13">
        <v>24</v>
      </c>
      <c r="F592" s="10" t="s">
        <v>20</v>
      </c>
      <c r="I592" s="26"/>
      <c r="J592" s="138" t="s">
        <v>1292</v>
      </c>
      <c r="K592" s="138" t="s">
        <v>1292</v>
      </c>
      <c r="L592" s="138" t="s">
        <v>1292</v>
      </c>
      <c r="M592" s="27"/>
      <c r="N592" s="83" t="s">
        <v>1292</v>
      </c>
      <c r="P592" t="str">
        <f>VLOOKUP(B592,PTN!A:B,2,FALSE)</f>
        <v>UNIVERSITAS SRIWIJAYA</v>
      </c>
      <c r="Q592" t="str">
        <f t="shared" si="9"/>
        <v>UNIVERSITAS SRIWIJAYAMATEMATIKA</v>
      </c>
    </row>
    <row r="593" spans="1:17" ht="15.75" thickBot="1" x14ac:dyDescent="0.3">
      <c r="A593" s="7">
        <v>592</v>
      </c>
      <c r="B593" s="6">
        <v>18</v>
      </c>
      <c r="C593" s="12">
        <v>1711172</v>
      </c>
      <c r="D593" t="s">
        <v>252</v>
      </c>
      <c r="E593" s="12">
        <v>16</v>
      </c>
      <c r="F593" s="10" t="s">
        <v>20</v>
      </c>
      <c r="I593" s="87"/>
      <c r="J593" s="138" t="s">
        <v>1292</v>
      </c>
      <c r="K593" s="138" t="s">
        <v>1292</v>
      </c>
      <c r="L593" s="138" t="s">
        <v>1292</v>
      </c>
      <c r="M593" s="28"/>
      <c r="N593" s="83" t="s">
        <v>1292</v>
      </c>
      <c r="P593" t="str">
        <f>VLOOKUP(B593,PTN!A:B,2,FALSE)</f>
        <v>UNIVERSITAS SRIWIJAYA</v>
      </c>
      <c r="Q593" t="str">
        <f t="shared" si="9"/>
        <v>UNIVERSITAS SRIWIJAYAPEND BIOLOGI</v>
      </c>
    </row>
    <row r="594" spans="1:17" ht="15.75" thickBot="1" x14ac:dyDescent="0.3">
      <c r="A594" s="7">
        <v>593</v>
      </c>
      <c r="B594" s="6">
        <v>18</v>
      </c>
      <c r="C594" s="13">
        <v>1711195</v>
      </c>
      <c r="D594" t="s">
        <v>253</v>
      </c>
      <c r="E594" s="13">
        <v>16</v>
      </c>
      <c r="F594" s="10" t="s">
        <v>20</v>
      </c>
      <c r="I594" s="26"/>
      <c r="J594" s="138" t="s">
        <v>1292</v>
      </c>
      <c r="K594" s="138" t="s">
        <v>1292</v>
      </c>
      <c r="L594" s="138" t="s">
        <v>1292</v>
      </c>
      <c r="M594" s="27"/>
      <c r="N594" s="83" t="s">
        <v>1292</v>
      </c>
      <c r="P594" t="str">
        <f>VLOOKUP(B594,PTN!A:B,2,FALSE)</f>
        <v>UNIVERSITAS SRIWIJAYA</v>
      </c>
      <c r="Q594" t="str">
        <f t="shared" si="9"/>
        <v>UNIVERSITAS SRIWIJAYAPEND FISIKA</v>
      </c>
    </row>
    <row r="595" spans="1:17" ht="15.75" thickBot="1" x14ac:dyDescent="0.3">
      <c r="A595" s="7">
        <v>594</v>
      </c>
      <c r="B595" s="6">
        <v>18</v>
      </c>
      <c r="C595" s="12">
        <v>1711067</v>
      </c>
      <c r="D595" t="s">
        <v>41</v>
      </c>
      <c r="E595" s="12">
        <v>50</v>
      </c>
      <c r="F595" s="10" t="s">
        <v>20</v>
      </c>
      <c r="I595" s="87"/>
      <c r="J595" s="138">
        <v>676.76</v>
      </c>
      <c r="K595" s="138">
        <v>683.4</v>
      </c>
      <c r="L595" s="138">
        <v>670.12</v>
      </c>
      <c r="M595" s="28"/>
      <c r="N595" s="83">
        <v>676.76</v>
      </c>
      <c r="P595" t="str">
        <f>VLOOKUP(B595,PTN!A:B,2,FALSE)</f>
        <v>UNIVERSITAS SRIWIJAYA</v>
      </c>
      <c r="Q595" t="str">
        <f t="shared" si="9"/>
        <v>UNIVERSITAS SRIWIJAYAPENDIDIKAN DOKTER</v>
      </c>
    </row>
    <row r="596" spans="1:17" ht="15.75" thickBot="1" x14ac:dyDescent="0.3">
      <c r="A596" s="7">
        <v>595</v>
      </c>
      <c r="B596" s="6">
        <v>18</v>
      </c>
      <c r="C596" s="13">
        <v>1711075</v>
      </c>
      <c r="D596" t="s">
        <v>85</v>
      </c>
      <c r="E596" s="13">
        <v>16</v>
      </c>
      <c r="F596" s="10" t="s">
        <v>20</v>
      </c>
      <c r="I596" s="26"/>
      <c r="J596" s="138">
        <v>636.55999999999995</v>
      </c>
      <c r="K596" s="138">
        <v>642.79999999999995</v>
      </c>
      <c r="L596" s="138">
        <v>630.31999999999994</v>
      </c>
      <c r="M596" s="27"/>
      <c r="N596" s="83">
        <v>636.55999999999995</v>
      </c>
      <c r="P596" t="str">
        <f>VLOOKUP(B596,PTN!A:B,2,FALSE)</f>
        <v>UNIVERSITAS SRIWIJAYA</v>
      </c>
      <c r="Q596" t="str">
        <f t="shared" si="9"/>
        <v>UNIVERSITAS SRIWIJAYAPENDIDIKAN DOKTER GIGI</v>
      </c>
    </row>
    <row r="597" spans="1:17" ht="15.75" thickBot="1" x14ac:dyDescent="0.3">
      <c r="A597" s="7">
        <v>596</v>
      </c>
      <c r="B597" s="6">
        <v>18</v>
      </c>
      <c r="C597" s="12">
        <v>1711187</v>
      </c>
      <c r="D597" t="s">
        <v>217</v>
      </c>
      <c r="E597" s="12">
        <v>16</v>
      </c>
      <c r="F597" s="10" t="s">
        <v>20</v>
      </c>
      <c r="I597" s="87"/>
      <c r="J597" s="138" t="s">
        <v>1292</v>
      </c>
      <c r="K597" s="138" t="s">
        <v>1292</v>
      </c>
      <c r="L597" s="138" t="s">
        <v>1292</v>
      </c>
      <c r="M597" s="28"/>
      <c r="N597" s="83" t="s">
        <v>1292</v>
      </c>
      <c r="P597" t="str">
        <f>VLOOKUP(B597,PTN!A:B,2,FALSE)</f>
        <v>UNIVERSITAS SRIWIJAYA</v>
      </c>
      <c r="Q597" t="str">
        <f t="shared" si="9"/>
        <v>UNIVERSITAS SRIWIJAYAPEND. KIMIA</v>
      </c>
    </row>
    <row r="598" spans="1:17" ht="15.75" thickBot="1" x14ac:dyDescent="0.3">
      <c r="A598" s="7">
        <v>597</v>
      </c>
      <c r="B598" s="6">
        <v>18</v>
      </c>
      <c r="C598" s="13">
        <v>1711164</v>
      </c>
      <c r="D598" t="s">
        <v>218</v>
      </c>
      <c r="E598" s="13">
        <v>16</v>
      </c>
      <c r="F598" s="10" t="s">
        <v>20</v>
      </c>
      <c r="I598" s="26"/>
      <c r="J598" s="138" t="s">
        <v>1292</v>
      </c>
      <c r="K598" s="138" t="s">
        <v>1292</v>
      </c>
      <c r="L598" s="138" t="s">
        <v>1292</v>
      </c>
      <c r="M598" s="27"/>
      <c r="N598" s="83" t="s">
        <v>1292</v>
      </c>
      <c r="P598" t="str">
        <f>VLOOKUP(B598,PTN!A:B,2,FALSE)</f>
        <v>UNIVERSITAS SRIWIJAYA</v>
      </c>
      <c r="Q598" t="str">
        <f t="shared" si="9"/>
        <v>UNIVERSITAS SRIWIJAYAPEND. MATEMATIKA</v>
      </c>
    </row>
    <row r="599" spans="1:17" ht="15.75" thickBot="1" x14ac:dyDescent="0.3">
      <c r="A599" s="7">
        <v>598</v>
      </c>
      <c r="B599" s="6">
        <v>18</v>
      </c>
      <c r="C599" s="12">
        <v>1711261</v>
      </c>
      <c r="D599" t="s">
        <v>254</v>
      </c>
      <c r="E599" s="12">
        <v>19</v>
      </c>
      <c r="F599" s="10" t="s">
        <v>20</v>
      </c>
      <c r="I599" s="87"/>
      <c r="J599" s="138" t="s">
        <v>1292</v>
      </c>
      <c r="K599" s="138" t="s">
        <v>1292</v>
      </c>
      <c r="L599" s="138" t="s">
        <v>1292</v>
      </c>
      <c r="M599" s="28"/>
      <c r="N599" s="83" t="s">
        <v>1292</v>
      </c>
      <c r="P599" t="str">
        <f>VLOOKUP(B599,PTN!A:B,2,FALSE)</f>
        <v>UNIVERSITAS SRIWIJAYA</v>
      </c>
      <c r="Q599" t="str">
        <f t="shared" si="9"/>
        <v>UNIVERSITAS SRIWIJAYAPEND TEKNIK MESIN</v>
      </c>
    </row>
    <row r="600" spans="1:17" ht="15.75" thickBot="1" x14ac:dyDescent="0.3">
      <c r="A600" s="7">
        <v>599</v>
      </c>
      <c r="B600" s="6">
        <v>18</v>
      </c>
      <c r="C600" s="13">
        <v>1711311</v>
      </c>
      <c r="D600" t="s">
        <v>88</v>
      </c>
      <c r="E600" s="13">
        <v>20</v>
      </c>
      <c r="F600" s="10" t="s">
        <v>20</v>
      </c>
      <c r="I600" s="26"/>
      <c r="J600" s="138" t="s">
        <v>1292</v>
      </c>
      <c r="K600" s="138" t="s">
        <v>1292</v>
      </c>
      <c r="L600" s="138" t="s">
        <v>1292</v>
      </c>
      <c r="M600" s="27"/>
      <c r="N600" s="83" t="s">
        <v>1292</v>
      </c>
      <c r="P600" t="str">
        <f>VLOOKUP(B600,PTN!A:B,2,FALSE)</f>
        <v>UNIVERSITAS SRIWIJAYA</v>
      </c>
      <c r="Q600" t="str">
        <f t="shared" si="9"/>
        <v>UNIVERSITAS SRIWIJAYAPETERNAKAN</v>
      </c>
    </row>
    <row r="601" spans="1:17" ht="15.75" thickBot="1" x14ac:dyDescent="0.3">
      <c r="A601" s="7">
        <v>600</v>
      </c>
      <c r="B601" s="6">
        <v>18</v>
      </c>
      <c r="C601" s="12">
        <v>1711373</v>
      </c>
      <c r="D601" t="s">
        <v>89</v>
      </c>
      <c r="E601" s="12">
        <v>20</v>
      </c>
      <c r="F601" s="10" t="s">
        <v>20</v>
      </c>
      <c r="I601" s="87"/>
      <c r="J601" s="138" t="s">
        <v>1292</v>
      </c>
      <c r="K601" s="138" t="s">
        <v>1292</v>
      </c>
      <c r="L601" s="138" t="s">
        <v>1292</v>
      </c>
      <c r="M601" s="28"/>
      <c r="N601" s="83" t="s">
        <v>1292</v>
      </c>
      <c r="P601" t="str">
        <f>VLOOKUP(B601,PTN!A:B,2,FALSE)</f>
        <v>UNIVERSITAS SRIWIJAYA</v>
      </c>
      <c r="Q601" t="str">
        <f t="shared" si="9"/>
        <v>UNIVERSITAS SRIWIJAYAPROTEKSI TANAMAN</v>
      </c>
    </row>
    <row r="602" spans="1:17" ht="15.75" thickBot="1" x14ac:dyDescent="0.3">
      <c r="A602" s="7">
        <v>601</v>
      </c>
      <c r="B602" s="6">
        <v>18</v>
      </c>
      <c r="C602" s="13">
        <v>1711342</v>
      </c>
      <c r="D602" t="s">
        <v>36</v>
      </c>
      <c r="E602" s="13">
        <v>16</v>
      </c>
      <c r="F602" s="10" t="s">
        <v>20</v>
      </c>
      <c r="I602" s="26"/>
      <c r="J602" s="138">
        <v>612.53</v>
      </c>
      <c r="K602" s="138">
        <v>620.91</v>
      </c>
      <c r="L602" s="138">
        <v>604.15</v>
      </c>
      <c r="M602" s="27"/>
      <c r="N602" s="83">
        <v>612.53</v>
      </c>
      <c r="P602" t="str">
        <f>VLOOKUP(B602,PTN!A:B,2,FALSE)</f>
        <v>UNIVERSITAS SRIWIJAYA</v>
      </c>
      <c r="Q602" t="str">
        <f t="shared" si="9"/>
        <v>UNIVERSITAS SRIWIJAYAPSIKOLOGI</v>
      </c>
    </row>
    <row r="603" spans="1:17" ht="15.75" thickBot="1" x14ac:dyDescent="0.3">
      <c r="A603" s="7">
        <v>602</v>
      </c>
      <c r="B603" s="6">
        <v>18</v>
      </c>
      <c r="C603" s="12">
        <v>1711292</v>
      </c>
      <c r="D603" t="s">
        <v>46</v>
      </c>
      <c r="E603" s="12">
        <v>33</v>
      </c>
      <c r="F603" s="10" t="s">
        <v>20</v>
      </c>
      <c r="I603" s="87"/>
      <c r="J603" s="138" t="s">
        <v>1292</v>
      </c>
      <c r="K603" s="138" t="s">
        <v>1292</v>
      </c>
      <c r="L603" s="138" t="s">
        <v>1292</v>
      </c>
      <c r="M603" s="28"/>
      <c r="N603" s="83" t="s">
        <v>1292</v>
      </c>
      <c r="P603" t="str">
        <f>VLOOKUP(B603,PTN!A:B,2,FALSE)</f>
        <v>UNIVERSITAS SRIWIJAYA</v>
      </c>
      <c r="Q603" t="str">
        <f t="shared" si="9"/>
        <v>UNIVERSITAS SRIWIJAYASISTEM INFORMASI</v>
      </c>
    </row>
    <row r="604" spans="1:17" ht="15.75" thickBot="1" x14ac:dyDescent="0.3">
      <c r="A604" s="7">
        <v>603</v>
      </c>
      <c r="B604" s="6">
        <v>18</v>
      </c>
      <c r="C604" s="13">
        <v>1711276</v>
      </c>
      <c r="D604" t="s">
        <v>165</v>
      </c>
      <c r="E604" s="13">
        <v>33</v>
      </c>
      <c r="F604" s="10" t="s">
        <v>20</v>
      </c>
      <c r="I604" s="26"/>
      <c r="J604" s="138" t="s">
        <v>1292</v>
      </c>
      <c r="K604" s="138" t="s">
        <v>1292</v>
      </c>
      <c r="L604" s="138" t="s">
        <v>1292</v>
      </c>
      <c r="M604" s="27"/>
      <c r="N604" s="83" t="s">
        <v>1292</v>
      </c>
      <c r="P604" t="str">
        <f>VLOOKUP(B604,PTN!A:B,2,FALSE)</f>
        <v>UNIVERSITAS SRIWIJAYA</v>
      </c>
      <c r="Q604" t="str">
        <f t="shared" si="9"/>
        <v>UNIVERSITAS SRIWIJAYASISTEM KOMPUTER</v>
      </c>
    </row>
    <row r="605" spans="1:17" ht="15.75" thickBot="1" x14ac:dyDescent="0.3">
      <c r="A605" s="7">
        <v>604</v>
      </c>
      <c r="B605" s="6">
        <v>18</v>
      </c>
      <c r="C605" s="12">
        <v>1711052</v>
      </c>
      <c r="D605" t="s">
        <v>48</v>
      </c>
      <c r="E605" s="12">
        <v>28</v>
      </c>
      <c r="F605" s="10" t="s">
        <v>20</v>
      </c>
      <c r="I605" s="87"/>
      <c r="J605" s="138" t="s">
        <v>1292</v>
      </c>
      <c r="K605" s="138" t="s">
        <v>1292</v>
      </c>
      <c r="L605" s="138" t="s">
        <v>1292</v>
      </c>
      <c r="M605" s="28"/>
      <c r="N605" s="83" t="s">
        <v>1292</v>
      </c>
      <c r="P605" t="str">
        <f>VLOOKUP(B605,PTN!A:B,2,FALSE)</f>
        <v>UNIVERSITAS SRIWIJAYA</v>
      </c>
      <c r="Q605" t="str">
        <f t="shared" si="9"/>
        <v>UNIVERSITAS SRIWIJAYATEKNIK ELEKTRO</v>
      </c>
    </row>
    <row r="606" spans="1:17" ht="15.75" thickBot="1" x14ac:dyDescent="0.3">
      <c r="A606" s="7">
        <v>605</v>
      </c>
      <c r="B606" s="6">
        <v>18</v>
      </c>
      <c r="C606" s="13">
        <v>1711334</v>
      </c>
      <c r="D606" t="s">
        <v>92</v>
      </c>
      <c r="E606" s="13">
        <v>16</v>
      </c>
      <c r="F606" s="10" t="s">
        <v>20</v>
      </c>
      <c r="I606" s="26"/>
      <c r="J606" s="138" t="s">
        <v>1292</v>
      </c>
      <c r="K606" s="138" t="s">
        <v>1292</v>
      </c>
      <c r="L606" s="138" t="s">
        <v>1292</v>
      </c>
      <c r="M606" s="27"/>
      <c r="N606" s="83" t="s">
        <v>1292</v>
      </c>
      <c r="P606" t="str">
        <f>VLOOKUP(B606,PTN!A:B,2,FALSE)</f>
        <v>UNIVERSITAS SRIWIJAYA</v>
      </c>
      <c r="Q606" t="str">
        <f t="shared" si="9"/>
        <v>UNIVERSITAS SRIWIJAYATEKNIK GEOLOGI</v>
      </c>
    </row>
    <row r="607" spans="1:17" ht="15.75" thickBot="1" x14ac:dyDescent="0.3">
      <c r="A607" s="7">
        <v>606</v>
      </c>
      <c r="B607" s="6">
        <v>18</v>
      </c>
      <c r="C607" s="12">
        <v>1711284</v>
      </c>
      <c r="D607" t="s">
        <v>50</v>
      </c>
      <c r="E607" s="12">
        <v>33</v>
      </c>
      <c r="F607" s="10" t="s">
        <v>20</v>
      </c>
      <c r="I607" s="87"/>
      <c r="J607" s="138">
        <v>607.65</v>
      </c>
      <c r="K607" s="138">
        <v>619.48</v>
      </c>
      <c r="L607" s="138">
        <v>595.81999999999994</v>
      </c>
      <c r="M607" s="28"/>
      <c r="N607" s="83">
        <v>607.65</v>
      </c>
      <c r="P607" t="str">
        <f>VLOOKUP(B607,PTN!A:B,2,FALSE)</f>
        <v>UNIVERSITAS SRIWIJAYA</v>
      </c>
      <c r="Q607" t="str">
        <f t="shared" si="9"/>
        <v>UNIVERSITAS SRIWIJAYATEKNIK INFORMATIKA</v>
      </c>
    </row>
    <row r="608" spans="1:17" ht="15.75" thickBot="1" x14ac:dyDescent="0.3">
      <c r="A608" s="7">
        <v>607</v>
      </c>
      <c r="B608" s="6">
        <v>18</v>
      </c>
      <c r="C608" s="13">
        <v>1711036</v>
      </c>
      <c r="D608" t="s">
        <v>51</v>
      </c>
      <c r="E608" s="13">
        <v>28</v>
      </c>
      <c r="F608" s="10" t="s">
        <v>20</v>
      </c>
      <c r="I608" s="26"/>
      <c r="J608" s="138">
        <v>614.55999999999995</v>
      </c>
      <c r="K608" s="138">
        <v>623.33499999999992</v>
      </c>
      <c r="L608" s="138">
        <v>605.78499999999997</v>
      </c>
      <c r="M608" s="27"/>
      <c r="N608" s="83">
        <v>614.55999999999995</v>
      </c>
      <c r="P608" t="str">
        <f>VLOOKUP(B608,PTN!A:B,2,FALSE)</f>
        <v>UNIVERSITAS SRIWIJAYA</v>
      </c>
      <c r="Q608" t="str">
        <f t="shared" si="9"/>
        <v>UNIVERSITAS SRIWIJAYATEKNIK KIMIA</v>
      </c>
    </row>
    <row r="609" spans="1:17" ht="15.75" thickBot="1" x14ac:dyDescent="0.3">
      <c r="A609" s="7">
        <v>608</v>
      </c>
      <c r="B609" s="6">
        <v>18</v>
      </c>
      <c r="C609" s="12">
        <v>1711044</v>
      </c>
      <c r="D609" t="s">
        <v>53</v>
      </c>
      <c r="E609" s="12">
        <v>28</v>
      </c>
      <c r="F609" s="10" t="s">
        <v>20</v>
      </c>
      <c r="I609" s="87"/>
      <c r="J609" s="138" t="s">
        <v>1292</v>
      </c>
      <c r="K609" s="138" t="s">
        <v>1292</v>
      </c>
      <c r="L609" s="138" t="s">
        <v>1292</v>
      </c>
      <c r="M609" s="28"/>
      <c r="N609" s="83" t="s">
        <v>1292</v>
      </c>
      <c r="P609" t="str">
        <f>VLOOKUP(B609,PTN!A:B,2,FALSE)</f>
        <v>UNIVERSITAS SRIWIJAYA</v>
      </c>
      <c r="Q609" t="str">
        <f t="shared" si="9"/>
        <v>UNIVERSITAS SRIWIJAYATEKNIK MESIN</v>
      </c>
    </row>
    <row r="610" spans="1:17" ht="15.75" thickBot="1" x14ac:dyDescent="0.3">
      <c r="A610" s="7">
        <v>609</v>
      </c>
      <c r="B610" s="6">
        <v>18</v>
      </c>
      <c r="C610" s="13">
        <v>1711021</v>
      </c>
      <c r="D610" t="s">
        <v>239</v>
      </c>
      <c r="E610" s="13">
        <v>24</v>
      </c>
      <c r="F610" s="10" t="s">
        <v>20</v>
      </c>
      <c r="I610" s="26"/>
      <c r="J610" s="138">
        <v>608.91999999999996</v>
      </c>
      <c r="K610" s="138">
        <v>616.53499999999997</v>
      </c>
      <c r="L610" s="138">
        <v>601.30499999999995</v>
      </c>
      <c r="M610" s="27"/>
      <c r="N610" s="83">
        <v>608.91999999999996</v>
      </c>
      <c r="P610" t="str">
        <f>VLOOKUP(B610,PTN!A:B,2,FALSE)</f>
        <v>UNIVERSITAS SRIWIJAYA</v>
      </c>
      <c r="Q610" t="str">
        <f t="shared" si="9"/>
        <v>UNIVERSITAS SRIWIJAYATEKNIK PERTAMBANGAN</v>
      </c>
    </row>
    <row r="611" spans="1:17" ht="15.75" thickBot="1" x14ac:dyDescent="0.3">
      <c r="A611" s="7">
        <v>610</v>
      </c>
      <c r="B611" s="6">
        <v>18</v>
      </c>
      <c r="C611" s="12">
        <v>1711141</v>
      </c>
      <c r="D611" t="s">
        <v>95</v>
      </c>
      <c r="E611" s="12">
        <v>20</v>
      </c>
      <c r="F611" s="10" t="s">
        <v>20</v>
      </c>
      <c r="I611" s="87"/>
      <c r="J611" s="138" t="s">
        <v>1292</v>
      </c>
      <c r="K611" s="138" t="s">
        <v>1292</v>
      </c>
      <c r="L611" s="138" t="s">
        <v>1292</v>
      </c>
      <c r="M611" s="28"/>
      <c r="N611" s="83" t="s">
        <v>1292</v>
      </c>
      <c r="P611" t="str">
        <f>VLOOKUP(B611,PTN!A:B,2,FALSE)</f>
        <v>UNIVERSITAS SRIWIJAYA</v>
      </c>
      <c r="Q611" t="str">
        <f t="shared" si="9"/>
        <v>UNIVERSITAS SRIWIJAYATEKNIK PERTANIAN</v>
      </c>
    </row>
    <row r="612" spans="1:17" ht="15.75" thickBot="1" x14ac:dyDescent="0.3">
      <c r="A612" s="7">
        <v>611</v>
      </c>
      <c r="B612" s="6">
        <v>18</v>
      </c>
      <c r="C612" s="13">
        <v>1711013</v>
      </c>
      <c r="D612" t="s">
        <v>54</v>
      </c>
      <c r="E612" s="13">
        <v>28</v>
      </c>
      <c r="F612" s="10" t="s">
        <v>20</v>
      </c>
      <c r="I612" s="26"/>
      <c r="J612" s="138">
        <v>617.74</v>
      </c>
      <c r="K612" s="138">
        <v>626.25</v>
      </c>
      <c r="L612" s="138">
        <v>609.23</v>
      </c>
      <c r="M612" s="27"/>
      <c r="N612" s="83">
        <v>617.74</v>
      </c>
      <c r="P612" t="str">
        <f>VLOOKUP(B612,PTN!A:B,2,FALSE)</f>
        <v>UNIVERSITAS SRIWIJAYA</v>
      </c>
      <c r="Q612" t="str">
        <f t="shared" si="9"/>
        <v>UNIVERSITAS SRIWIJAYATEKNIK SIPIL</v>
      </c>
    </row>
    <row r="613" spans="1:17" ht="15.75" thickBot="1" x14ac:dyDescent="0.3">
      <c r="A613" s="7">
        <v>612</v>
      </c>
      <c r="B613" s="6">
        <v>18</v>
      </c>
      <c r="C613" s="12">
        <v>1711245</v>
      </c>
      <c r="D613" t="s">
        <v>222</v>
      </c>
      <c r="E613" s="12">
        <v>20</v>
      </c>
      <c r="F613" s="10" t="s">
        <v>20</v>
      </c>
      <c r="I613" s="87"/>
      <c r="J613" s="138" t="s">
        <v>1292</v>
      </c>
      <c r="K613" s="138" t="s">
        <v>1292</v>
      </c>
      <c r="L613" s="138" t="s">
        <v>1292</v>
      </c>
      <c r="M613" s="28"/>
      <c r="N613" s="83" t="s">
        <v>1292</v>
      </c>
      <c r="P613" t="str">
        <f>VLOOKUP(B613,PTN!A:B,2,FALSE)</f>
        <v>UNIVERSITAS SRIWIJAYA</v>
      </c>
      <c r="Q613" t="str">
        <f t="shared" si="9"/>
        <v>UNIVERSITAS SRIWIJAYATEKNOLOGI HASIL PERIKANAN</v>
      </c>
    </row>
    <row r="614" spans="1:17" ht="15.75" thickBot="1" x14ac:dyDescent="0.3">
      <c r="A614" s="7">
        <v>613</v>
      </c>
      <c r="B614" s="6">
        <v>18</v>
      </c>
      <c r="C614" s="16">
        <v>1711133</v>
      </c>
      <c r="D614" t="s">
        <v>96</v>
      </c>
      <c r="E614" s="16">
        <v>20</v>
      </c>
      <c r="F614" s="10" t="s">
        <v>20</v>
      </c>
      <c r="I614" s="20"/>
      <c r="J614" s="138" t="s">
        <v>1292</v>
      </c>
      <c r="K614" s="138" t="s">
        <v>1292</v>
      </c>
      <c r="L614" s="138" t="s">
        <v>1292</v>
      </c>
      <c r="M614" s="21"/>
      <c r="N614" s="83" t="s">
        <v>1292</v>
      </c>
      <c r="P614" t="str">
        <f>VLOOKUP(B614,PTN!A:B,2,FALSE)</f>
        <v>UNIVERSITAS SRIWIJAYA</v>
      </c>
      <c r="Q614" t="str">
        <f t="shared" si="9"/>
        <v>UNIVERSITAS SRIWIJAYATEKNOLOGI HASIL PERTANIAN</v>
      </c>
    </row>
    <row r="615" spans="1:17" ht="16.5" thickTop="1" thickBot="1" x14ac:dyDescent="0.3">
      <c r="A615" s="7">
        <v>614</v>
      </c>
      <c r="B615" s="6">
        <v>18</v>
      </c>
      <c r="C615" s="12">
        <v>1712047</v>
      </c>
      <c r="D615" t="s">
        <v>55</v>
      </c>
      <c r="E615" s="12">
        <v>40</v>
      </c>
      <c r="F615" s="10" t="s">
        <v>13</v>
      </c>
      <c r="I615" s="22"/>
      <c r="J615" s="138">
        <v>582.57000000000005</v>
      </c>
      <c r="K615" s="138">
        <v>590.70773000000008</v>
      </c>
      <c r="L615" s="138">
        <v>574.43227000000002</v>
      </c>
      <c r="M615" s="21"/>
      <c r="N615" s="83">
        <v>582.57000000000005</v>
      </c>
      <c r="P615" t="str">
        <f>VLOOKUP(B615,PTN!A:B,2,FALSE)</f>
        <v>UNIVERSITAS SRIWIJAYA</v>
      </c>
      <c r="Q615" t="str">
        <f t="shared" si="9"/>
        <v>UNIVERSITAS SRIWIJAYAAKUNTANSI</v>
      </c>
    </row>
    <row r="616" spans="1:17" ht="16.5" thickTop="1" thickBot="1" x14ac:dyDescent="0.3">
      <c r="A616" s="7">
        <v>615</v>
      </c>
      <c r="B616" s="6">
        <v>18</v>
      </c>
      <c r="C616" s="13">
        <v>1712136</v>
      </c>
      <c r="D616" t="s">
        <v>255</v>
      </c>
      <c r="E616" s="13">
        <v>19</v>
      </c>
      <c r="F616" s="10" t="s">
        <v>13</v>
      </c>
      <c r="I616" s="23"/>
      <c r="J616" s="138" t="s">
        <v>1292</v>
      </c>
      <c r="K616" s="138" t="s">
        <v>1292</v>
      </c>
      <c r="L616" s="138" t="s">
        <v>1292</v>
      </c>
      <c r="M616" s="25"/>
      <c r="N616" s="83" t="s">
        <v>1292</v>
      </c>
      <c r="P616" t="str">
        <f>VLOOKUP(B616,PTN!A:B,2,FALSE)</f>
        <v>UNIVERSITAS SRIWIJAYA</v>
      </c>
      <c r="Q616" t="str">
        <f t="shared" si="9"/>
        <v>UNIVERSITAS SRIWIJAYABIMB &amp; KONSELING</v>
      </c>
    </row>
    <row r="617" spans="1:17" ht="16.5" thickTop="1" thickBot="1" x14ac:dyDescent="0.3">
      <c r="A617" s="7">
        <v>616</v>
      </c>
      <c r="B617" s="6">
        <v>18</v>
      </c>
      <c r="C617" s="12">
        <v>1712016</v>
      </c>
      <c r="D617" t="s">
        <v>69</v>
      </c>
      <c r="E617" s="12">
        <v>40</v>
      </c>
      <c r="F617" s="10" t="s">
        <v>13</v>
      </c>
      <c r="I617" s="26"/>
      <c r="J617" s="138" t="s">
        <v>1292</v>
      </c>
      <c r="K617" s="138" t="s">
        <v>1292</v>
      </c>
      <c r="L617" s="138" t="s">
        <v>1292</v>
      </c>
      <c r="M617" s="27"/>
      <c r="N617" s="83" t="s">
        <v>1292</v>
      </c>
      <c r="P617" t="str">
        <f>VLOOKUP(B617,PTN!A:B,2,FALSE)</f>
        <v>UNIVERSITAS SRIWIJAYA</v>
      </c>
      <c r="Q617" t="str">
        <f t="shared" si="9"/>
        <v>UNIVERSITAS SRIWIJAYAEKONOMI PEMBANGUNAN</v>
      </c>
    </row>
    <row r="618" spans="1:17" ht="15.75" thickBot="1" x14ac:dyDescent="0.3">
      <c r="A618" s="7">
        <v>617</v>
      </c>
      <c r="B618" s="6">
        <v>18</v>
      </c>
      <c r="C618" s="13">
        <v>1712055</v>
      </c>
      <c r="D618" t="s">
        <v>256</v>
      </c>
      <c r="E618" s="13">
        <v>50</v>
      </c>
      <c r="F618" s="10" t="s">
        <v>13</v>
      </c>
      <c r="I618" s="87"/>
      <c r="J618" s="138" t="s">
        <v>1292</v>
      </c>
      <c r="K618" s="138" t="s">
        <v>1292</v>
      </c>
      <c r="L618" s="138" t="s">
        <v>1292</v>
      </c>
      <c r="M618" s="28"/>
      <c r="N618" s="83" t="s">
        <v>1292</v>
      </c>
      <c r="P618" t="str">
        <f>VLOOKUP(B618,PTN!A:B,2,FALSE)</f>
        <v>UNIVERSITAS SRIWIJAYA</v>
      </c>
      <c r="Q618" t="str">
        <f t="shared" si="9"/>
        <v>UNIVERSITAS SRIWIJAYAILMU ADM NEGARA</v>
      </c>
    </row>
    <row r="619" spans="1:17" ht="15.75" thickBot="1" x14ac:dyDescent="0.3">
      <c r="A619" s="7">
        <v>618</v>
      </c>
      <c r="B619" s="6">
        <v>18</v>
      </c>
      <c r="C619" s="12">
        <v>1712183</v>
      </c>
      <c r="D619" t="s">
        <v>168</v>
      </c>
      <c r="E619" s="12">
        <v>50</v>
      </c>
      <c r="F619" s="10" t="s">
        <v>13</v>
      </c>
      <c r="I619" s="26"/>
      <c r="J619" s="138" t="s">
        <v>1292</v>
      </c>
      <c r="K619" s="138" t="s">
        <v>1292</v>
      </c>
      <c r="L619" s="138" t="s">
        <v>1292</v>
      </c>
      <c r="M619" s="27"/>
      <c r="N619" s="83" t="s">
        <v>1292</v>
      </c>
      <c r="P619" t="str">
        <f>VLOOKUP(B619,PTN!A:B,2,FALSE)</f>
        <v>UNIVERSITAS SRIWIJAYA</v>
      </c>
      <c r="Q619" t="str">
        <f t="shared" si="9"/>
        <v>UNIVERSITAS SRIWIJAYAILMU HUBUNGAN INTERNASIONAL</v>
      </c>
    </row>
    <row r="620" spans="1:17" ht="15.75" thickBot="1" x14ac:dyDescent="0.3">
      <c r="A620" s="7">
        <v>619</v>
      </c>
      <c r="B620" s="6">
        <v>18</v>
      </c>
      <c r="C620" s="13">
        <v>1712024</v>
      </c>
      <c r="D620" t="s">
        <v>31</v>
      </c>
      <c r="E620" s="13">
        <v>97</v>
      </c>
      <c r="F620" s="10" t="s">
        <v>13</v>
      </c>
      <c r="I620" s="87"/>
      <c r="J620" s="138">
        <v>580</v>
      </c>
      <c r="K620" s="138" t="s">
        <v>1292</v>
      </c>
      <c r="L620" s="138" t="s">
        <v>1292</v>
      </c>
      <c r="M620" s="28"/>
      <c r="N620" s="83">
        <v>580</v>
      </c>
      <c r="P620" t="str">
        <f>VLOOKUP(B620,PTN!A:B,2,FALSE)</f>
        <v>UNIVERSITAS SRIWIJAYA</v>
      </c>
      <c r="Q620" t="str">
        <f t="shared" si="9"/>
        <v>UNIVERSITAS SRIWIJAYAILMU HUKUM</v>
      </c>
    </row>
    <row r="621" spans="1:17" ht="15.75" thickBot="1" x14ac:dyDescent="0.3">
      <c r="A621" s="7">
        <v>620</v>
      </c>
      <c r="B621" s="6">
        <v>18</v>
      </c>
      <c r="C621" s="12">
        <v>1712167</v>
      </c>
      <c r="D621" t="s">
        <v>60</v>
      </c>
      <c r="E621" s="12">
        <v>50</v>
      </c>
      <c r="F621" s="10" t="s">
        <v>13</v>
      </c>
      <c r="I621" s="26"/>
      <c r="J621" s="138" t="s">
        <v>1292</v>
      </c>
      <c r="K621" s="138" t="s">
        <v>1292</v>
      </c>
      <c r="L621" s="138" t="s">
        <v>1292</v>
      </c>
      <c r="M621" s="27"/>
      <c r="N621" s="83" t="s">
        <v>1292</v>
      </c>
      <c r="P621" t="str">
        <f>VLOOKUP(B621,PTN!A:B,2,FALSE)</f>
        <v>UNIVERSITAS SRIWIJAYA</v>
      </c>
      <c r="Q621" t="str">
        <f t="shared" si="9"/>
        <v>UNIVERSITAS SRIWIJAYAILMU KOMUNIKASI</v>
      </c>
    </row>
    <row r="622" spans="1:17" ht="15.75" thickBot="1" x14ac:dyDescent="0.3">
      <c r="A622" s="7">
        <v>621</v>
      </c>
      <c r="B622" s="6">
        <v>18</v>
      </c>
      <c r="C622" s="13">
        <v>1712032</v>
      </c>
      <c r="D622" t="s">
        <v>61</v>
      </c>
      <c r="E622" s="13">
        <v>40</v>
      </c>
      <c r="F622" s="10" t="s">
        <v>13</v>
      </c>
      <c r="I622" s="87"/>
      <c r="J622" s="138">
        <v>571.61</v>
      </c>
      <c r="K622" s="138">
        <v>579.74773000000005</v>
      </c>
      <c r="L622" s="138">
        <v>563.47226999999998</v>
      </c>
      <c r="M622" s="28"/>
      <c r="N622" s="83">
        <v>571.61</v>
      </c>
      <c r="P622" t="str">
        <f>VLOOKUP(B622,PTN!A:B,2,FALSE)</f>
        <v>UNIVERSITAS SRIWIJAYA</v>
      </c>
      <c r="Q622" t="str">
        <f t="shared" si="9"/>
        <v>UNIVERSITAS SRIWIJAYAMANAJEMEN</v>
      </c>
    </row>
    <row r="623" spans="1:17" ht="15.75" thickBot="1" x14ac:dyDescent="0.3">
      <c r="A623" s="7">
        <v>622</v>
      </c>
      <c r="B623" s="6">
        <v>18</v>
      </c>
      <c r="C623" s="12">
        <v>1712152</v>
      </c>
      <c r="D623" t="s">
        <v>225</v>
      </c>
      <c r="E623" s="12">
        <v>19</v>
      </c>
      <c r="F623" s="10" t="s">
        <v>13</v>
      </c>
      <c r="I623" s="26"/>
      <c r="J623" s="138" t="s">
        <v>1292</v>
      </c>
      <c r="K623" s="138" t="s">
        <v>1292</v>
      </c>
      <c r="L623" s="138" t="s">
        <v>1292</v>
      </c>
      <c r="M623" s="27"/>
      <c r="N623" s="83" t="s">
        <v>1292</v>
      </c>
      <c r="P623" t="str">
        <f>VLOOKUP(B623,PTN!A:B,2,FALSE)</f>
        <v>UNIVERSITAS SRIWIJAYA</v>
      </c>
      <c r="Q623" t="str">
        <f t="shared" si="9"/>
        <v>UNIVERSITAS SRIWIJAYAPAUD</v>
      </c>
    </row>
    <row r="624" spans="1:17" ht="15.75" thickBot="1" x14ac:dyDescent="0.3">
      <c r="A624" s="7">
        <v>623</v>
      </c>
      <c r="B624" s="6">
        <v>18</v>
      </c>
      <c r="C624" s="13">
        <v>1712113</v>
      </c>
      <c r="D624" t="s">
        <v>257</v>
      </c>
      <c r="E624" s="13">
        <v>16</v>
      </c>
      <c r="F624" s="10" t="s">
        <v>13</v>
      </c>
      <c r="I624" s="87"/>
      <c r="J624" s="138" t="s">
        <v>1292</v>
      </c>
      <c r="K624" s="138" t="s">
        <v>1292</v>
      </c>
      <c r="L624" s="138" t="s">
        <v>1292</v>
      </c>
      <c r="M624" s="28"/>
      <c r="N624" s="83" t="s">
        <v>1292</v>
      </c>
      <c r="P624" t="str">
        <f>VLOOKUP(B624,PTN!A:B,2,FALSE)</f>
        <v>UNIVERSITAS SRIWIJAYA</v>
      </c>
      <c r="Q624" t="str">
        <f t="shared" si="9"/>
        <v>UNIVERSITAS SRIWIJAYAPEND BHS INGGRIS</v>
      </c>
    </row>
    <row r="625" spans="1:17" ht="15.75" thickBot="1" x14ac:dyDescent="0.3">
      <c r="A625" s="7">
        <v>624</v>
      </c>
      <c r="B625" s="6">
        <v>18</v>
      </c>
      <c r="C625" s="12">
        <v>1712105</v>
      </c>
      <c r="D625" t="s">
        <v>258</v>
      </c>
      <c r="E625" s="12">
        <v>16</v>
      </c>
      <c r="F625" s="10" t="s">
        <v>13</v>
      </c>
      <c r="I625" s="26"/>
      <c r="J625" s="138" t="s">
        <v>1292</v>
      </c>
      <c r="K625" s="138" t="s">
        <v>1292</v>
      </c>
      <c r="L625" s="138" t="s">
        <v>1292</v>
      </c>
      <c r="M625" s="27"/>
      <c r="N625" s="83" t="s">
        <v>1292</v>
      </c>
      <c r="P625" t="str">
        <f>VLOOKUP(B625,PTN!A:B,2,FALSE)</f>
        <v>UNIVERSITAS SRIWIJAYA</v>
      </c>
      <c r="Q625" t="str">
        <f t="shared" si="9"/>
        <v>UNIVERSITAS SRIWIJAYAPEND BHS, SATRA IND &amp; DAERAH</v>
      </c>
    </row>
    <row r="626" spans="1:17" ht="15.75" thickBot="1" x14ac:dyDescent="0.3">
      <c r="A626" s="7">
        <v>625</v>
      </c>
      <c r="B626" s="6">
        <v>18</v>
      </c>
      <c r="C626" s="13">
        <v>1712094</v>
      </c>
      <c r="D626" t="s">
        <v>259</v>
      </c>
      <c r="E626" s="13">
        <v>16</v>
      </c>
      <c r="F626" s="10" t="s">
        <v>13</v>
      </c>
      <c r="I626" s="87"/>
      <c r="J626" s="138" t="s">
        <v>1292</v>
      </c>
      <c r="K626" s="138" t="s">
        <v>1292</v>
      </c>
      <c r="L626" s="138" t="s">
        <v>1292</v>
      </c>
      <c r="M626" s="28"/>
      <c r="N626" s="83" t="s">
        <v>1292</v>
      </c>
      <c r="P626" t="str">
        <f>VLOOKUP(B626,PTN!A:B,2,FALSE)</f>
        <v>UNIVERSITAS SRIWIJAYA</v>
      </c>
      <c r="Q626" t="str">
        <f t="shared" si="9"/>
        <v>UNIVERSITAS SRIWIJAYAPEND EKONOMI</v>
      </c>
    </row>
    <row r="627" spans="1:17" ht="15.75" thickBot="1" x14ac:dyDescent="0.3">
      <c r="A627" s="7">
        <v>626</v>
      </c>
      <c r="B627" s="6">
        <v>18</v>
      </c>
      <c r="C627" s="12">
        <v>1712175</v>
      </c>
      <c r="D627" t="s">
        <v>201</v>
      </c>
      <c r="E627" s="12">
        <v>19</v>
      </c>
      <c r="F627" s="10" t="s">
        <v>13</v>
      </c>
      <c r="I627" s="26"/>
      <c r="J627" s="138" t="s">
        <v>1292</v>
      </c>
      <c r="K627" s="138" t="s">
        <v>1292</v>
      </c>
      <c r="L627" s="138" t="s">
        <v>1292</v>
      </c>
      <c r="M627" s="27"/>
      <c r="N627" s="83" t="s">
        <v>1292</v>
      </c>
      <c r="P627" t="str">
        <f>VLOOKUP(B627,PTN!A:B,2,FALSE)</f>
        <v>UNIVERSITAS SRIWIJAYA</v>
      </c>
      <c r="Q627" t="str">
        <f t="shared" si="9"/>
        <v>UNIVERSITAS SRIWIJAYAPENDIDIKAN LUAR SEKOLAH</v>
      </c>
    </row>
    <row r="628" spans="1:17" ht="15.75" thickBot="1" x14ac:dyDescent="0.3">
      <c r="A628" s="7">
        <v>627</v>
      </c>
      <c r="B628" s="6">
        <v>18</v>
      </c>
      <c r="C628" s="13">
        <v>1712086</v>
      </c>
      <c r="D628" t="s">
        <v>260</v>
      </c>
      <c r="E628" s="13">
        <v>16</v>
      </c>
      <c r="F628" s="10" t="s">
        <v>13</v>
      </c>
      <c r="I628" s="87"/>
      <c r="J628" s="138" t="s">
        <v>1292</v>
      </c>
      <c r="K628" s="138" t="s">
        <v>1292</v>
      </c>
      <c r="L628" s="138" t="s">
        <v>1292</v>
      </c>
      <c r="M628" s="28"/>
      <c r="N628" s="83" t="s">
        <v>1292</v>
      </c>
      <c r="P628" t="str">
        <f>VLOOKUP(B628,PTN!A:B,2,FALSE)</f>
        <v>UNIVERSITAS SRIWIJAYA</v>
      </c>
      <c r="Q628" t="str">
        <f t="shared" si="9"/>
        <v>UNIVERSITAS SRIWIJAYAPEND SEJARAH</v>
      </c>
    </row>
    <row r="629" spans="1:17" ht="15.75" thickBot="1" x14ac:dyDescent="0.3">
      <c r="A629" s="7">
        <v>628</v>
      </c>
      <c r="B629" s="6">
        <v>18</v>
      </c>
      <c r="C629" s="12">
        <v>1712121</v>
      </c>
      <c r="D629" t="s">
        <v>261</v>
      </c>
      <c r="E629" s="12">
        <v>16</v>
      </c>
      <c r="F629" s="10" t="s">
        <v>13</v>
      </c>
      <c r="I629" s="26"/>
      <c r="J629" s="138" t="s">
        <v>1292</v>
      </c>
      <c r="K629" s="138" t="s">
        <v>1292</v>
      </c>
      <c r="L629" s="138" t="s">
        <v>1292</v>
      </c>
      <c r="M629" s="27"/>
      <c r="N629" s="83" t="s">
        <v>1292</v>
      </c>
      <c r="P629" t="str">
        <f>VLOOKUP(B629,PTN!A:B,2,FALSE)</f>
        <v>UNIVERSITAS SRIWIJAYA</v>
      </c>
      <c r="Q629" t="str">
        <f t="shared" si="9"/>
        <v>UNIVERSITAS SRIWIJAYAPENJASKES</v>
      </c>
    </row>
    <row r="630" spans="1:17" ht="15.75" thickBot="1" x14ac:dyDescent="0.3">
      <c r="A630" s="7">
        <v>629</v>
      </c>
      <c r="B630" s="6">
        <v>18</v>
      </c>
      <c r="C630" s="13">
        <v>1712144</v>
      </c>
      <c r="D630" t="s">
        <v>234</v>
      </c>
      <c r="E630" s="13">
        <v>16</v>
      </c>
      <c r="F630" s="10" t="s">
        <v>13</v>
      </c>
      <c r="I630" s="87"/>
      <c r="J630" s="138" t="s">
        <v>1292</v>
      </c>
      <c r="K630" s="138" t="s">
        <v>1292</v>
      </c>
      <c r="L630" s="138" t="s">
        <v>1292</v>
      </c>
      <c r="M630" s="28"/>
      <c r="N630" s="83" t="s">
        <v>1292</v>
      </c>
      <c r="P630" t="str">
        <f>VLOOKUP(B630,PTN!A:B,2,FALSE)</f>
        <v>UNIVERSITAS SRIWIJAYA</v>
      </c>
      <c r="Q630" t="str">
        <f t="shared" si="9"/>
        <v>UNIVERSITAS SRIWIJAYAPGSD</v>
      </c>
    </row>
    <row r="631" spans="1:17" ht="15.75" thickBot="1" x14ac:dyDescent="0.3">
      <c r="A631" s="7">
        <v>630</v>
      </c>
      <c r="B631" s="6">
        <v>18</v>
      </c>
      <c r="C631" s="12">
        <v>1712071</v>
      </c>
      <c r="D631" t="s">
        <v>262</v>
      </c>
      <c r="E631" s="12">
        <v>16</v>
      </c>
      <c r="F631" s="10" t="s">
        <v>13</v>
      </c>
      <c r="I631" s="26"/>
      <c r="J631" s="138" t="s">
        <v>1292</v>
      </c>
      <c r="K631" s="138" t="s">
        <v>1292</v>
      </c>
      <c r="L631" s="138" t="s">
        <v>1292</v>
      </c>
      <c r="M631" s="27"/>
      <c r="N631" s="83" t="s">
        <v>1292</v>
      </c>
      <c r="P631" t="str">
        <f>VLOOKUP(B631,PTN!A:B,2,FALSE)</f>
        <v>UNIVERSITAS SRIWIJAYA</v>
      </c>
      <c r="Q631" t="str">
        <f t="shared" si="9"/>
        <v>UNIVERSITAS SRIWIJAYAPPKN</v>
      </c>
    </row>
    <row r="632" spans="1:17" ht="15.75" thickBot="1" x14ac:dyDescent="0.3">
      <c r="A632" s="7">
        <v>631</v>
      </c>
      <c r="B632" s="6">
        <v>18</v>
      </c>
      <c r="C632" s="16">
        <v>1712063</v>
      </c>
      <c r="D632" t="s">
        <v>63</v>
      </c>
      <c r="E632" s="16">
        <v>40</v>
      </c>
      <c r="F632" s="10" t="s">
        <v>13</v>
      </c>
      <c r="I632" s="87"/>
      <c r="J632" s="138" t="s">
        <v>1292</v>
      </c>
      <c r="K632" s="138" t="s">
        <v>1292</v>
      </c>
      <c r="L632" s="138" t="s">
        <v>1292</v>
      </c>
      <c r="M632" s="28"/>
      <c r="N632" s="83" t="s">
        <v>1292</v>
      </c>
      <c r="P632" t="str">
        <f>VLOOKUP(B632,PTN!A:B,2,FALSE)</f>
        <v>UNIVERSITAS SRIWIJAYA</v>
      </c>
      <c r="Q632" t="str">
        <f t="shared" si="9"/>
        <v>UNIVERSITAS SRIWIJAYASOSIOLOGI</v>
      </c>
    </row>
    <row r="633" spans="1:17" ht="16.5" thickTop="1" thickBot="1" x14ac:dyDescent="0.3">
      <c r="A633" s="7">
        <v>632</v>
      </c>
      <c r="B633" s="6">
        <v>20</v>
      </c>
      <c r="C633" s="12">
        <v>1811084</v>
      </c>
      <c r="D633" t="s">
        <v>37</v>
      </c>
      <c r="E633" s="12">
        <v>21</v>
      </c>
      <c r="F633" s="10" t="s">
        <v>20</v>
      </c>
      <c r="I633" s="20"/>
      <c r="J633" s="138" t="s">
        <v>1292</v>
      </c>
      <c r="K633" s="138" t="s">
        <v>1292</v>
      </c>
      <c r="L633" s="138" t="s">
        <v>1292</v>
      </c>
      <c r="M633" s="21"/>
      <c r="N633" s="83" t="s">
        <v>1292</v>
      </c>
      <c r="P633" t="str">
        <f>VLOOKUP(B633,PTN!A:B,2,FALSE)</f>
        <v>UNIVERSITAS BANGKA BELITUNG</v>
      </c>
      <c r="Q633" t="str">
        <f t="shared" si="9"/>
        <v>UNIVERSITAS BANGKA BELITUNGAGRIBISNIS</v>
      </c>
    </row>
    <row r="634" spans="1:17" ht="15.75" thickBot="1" x14ac:dyDescent="0.3">
      <c r="A634" s="7">
        <v>633</v>
      </c>
      <c r="B634" s="6">
        <v>20</v>
      </c>
      <c r="C634" s="13">
        <v>1811053</v>
      </c>
      <c r="D634" t="s">
        <v>64</v>
      </c>
      <c r="E634" s="13">
        <v>21</v>
      </c>
      <c r="F634" s="10" t="s">
        <v>20</v>
      </c>
      <c r="I634" s="22"/>
      <c r="J634" s="138" t="s">
        <v>1292</v>
      </c>
      <c r="K634" s="138" t="s">
        <v>1292</v>
      </c>
      <c r="L634" s="138" t="s">
        <v>1292</v>
      </c>
      <c r="M634" s="21"/>
      <c r="N634" s="83" t="s">
        <v>1292</v>
      </c>
      <c r="P634" t="str">
        <f>VLOOKUP(B634,PTN!A:B,2,FALSE)</f>
        <v>UNIVERSITAS BANGKA BELITUNG</v>
      </c>
      <c r="Q634" t="str">
        <f t="shared" si="9"/>
        <v>UNIVERSITAS BANGKA BELITUNGAGROTEKNOLOGI</v>
      </c>
    </row>
    <row r="635" spans="1:17" ht="16.5" thickTop="1" thickBot="1" x14ac:dyDescent="0.3">
      <c r="A635" s="7">
        <v>634</v>
      </c>
      <c r="B635" s="6">
        <v>20</v>
      </c>
      <c r="C635" s="12">
        <v>1811076</v>
      </c>
      <c r="D635" t="s">
        <v>21</v>
      </c>
      <c r="E635" s="12">
        <v>16</v>
      </c>
      <c r="F635" s="10" t="s">
        <v>20</v>
      </c>
      <c r="I635" s="23"/>
      <c r="J635" s="138" t="s">
        <v>1292</v>
      </c>
      <c r="K635" s="138" t="s">
        <v>1292</v>
      </c>
      <c r="L635" s="138" t="s">
        <v>1292</v>
      </c>
      <c r="M635" s="25"/>
      <c r="N635" s="83" t="s">
        <v>1292</v>
      </c>
      <c r="P635" t="str">
        <f>VLOOKUP(B635,PTN!A:B,2,FALSE)</f>
        <v>UNIVERSITAS BANGKA BELITUNG</v>
      </c>
      <c r="Q635" t="str">
        <f t="shared" si="9"/>
        <v>UNIVERSITAS BANGKA BELITUNGBIOLOGI</v>
      </c>
    </row>
    <row r="636" spans="1:17" ht="16.5" thickTop="1" thickBot="1" x14ac:dyDescent="0.3">
      <c r="A636" s="7">
        <v>635</v>
      </c>
      <c r="B636" s="6">
        <v>20</v>
      </c>
      <c r="C636" s="13">
        <v>1811092</v>
      </c>
      <c r="D636" t="s">
        <v>39</v>
      </c>
      <c r="E636" s="13">
        <v>12</v>
      </c>
      <c r="F636" s="10" t="s">
        <v>20</v>
      </c>
      <c r="I636" s="26"/>
      <c r="J636" s="138" t="s">
        <v>1292</v>
      </c>
      <c r="K636" s="138" t="s">
        <v>1292</v>
      </c>
      <c r="L636" s="138" t="s">
        <v>1292</v>
      </c>
      <c r="M636" s="27"/>
      <c r="N636" s="83" t="s">
        <v>1292</v>
      </c>
      <c r="P636" t="str">
        <f>VLOOKUP(B636,PTN!A:B,2,FALSE)</f>
        <v>UNIVERSITAS BANGKA BELITUNG</v>
      </c>
      <c r="Q636" t="str">
        <f t="shared" si="9"/>
        <v>UNIVERSITAS BANGKA BELITUNGBUDIDAYA PERAIRAN</v>
      </c>
    </row>
    <row r="637" spans="1:17" ht="15.75" thickBot="1" x14ac:dyDescent="0.3">
      <c r="A637" s="7">
        <v>636</v>
      </c>
      <c r="B637" s="6">
        <v>20</v>
      </c>
      <c r="C637" s="12">
        <v>1811126</v>
      </c>
      <c r="D637" t="s">
        <v>65</v>
      </c>
      <c r="E637" s="12">
        <v>14</v>
      </c>
      <c r="F637" s="10" t="s">
        <v>20</v>
      </c>
      <c r="I637" s="87"/>
      <c r="J637" s="138" t="s">
        <v>1292</v>
      </c>
      <c r="K637" s="138" t="s">
        <v>1292</v>
      </c>
      <c r="L637" s="138" t="s">
        <v>1292</v>
      </c>
      <c r="M637" s="28"/>
      <c r="N637" s="83" t="s">
        <v>1292</v>
      </c>
      <c r="P637" t="str">
        <f>VLOOKUP(B637,PTN!A:B,2,FALSE)</f>
        <v>UNIVERSITAS BANGKA BELITUNG</v>
      </c>
      <c r="Q637" t="str">
        <f t="shared" si="9"/>
        <v>UNIVERSITAS BANGKA BELITUNGFISIKA</v>
      </c>
    </row>
    <row r="638" spans="1:17" ht="15.75" thickBot="1" x14ac:dyDescent="0.3">
      <c r="A638" s="7">
        <v>637</v>
      </c>
      <c r="B638" s="6">
        <v>20</v>
      </c>
      <c r="C638" s="13">
        <v>1811103</v>
      </c>
      <c r="D638" t="s">
        <v>40</v>
      </c>
      <c r="E638" s="13">
        <v>11</v>
      </c>
      <c r="F638" s="10" t="s">
        <v>20</v>
      </c>
      <c r="I638" s="26"/>
      <c r="J638" s="138" t="s">
        <v>1292</v>
      </c>
      <c r="K638" s="138" t="s">
        <v>1292</v>
      </c>
      <c r="L638" s="138" t="s">
        <v>1292</v>
      </c>
      <c r="M638" s="27"/>
      <c r="N638" s="83" t="s">
        <v>1292</v>
      </c>
      <c r="P638" t="str">
        <f>VLOOKUP(B638,PTN!A:B,2,FALSE)</f>
        <v>UNIVERSITAS BANGKA BELITUNG</v>
      </c>
      <c r="Q638" t="str">
        <f t="shared" si="9"/>
        <v>UNIVERSITAS BANGKA BELITUNGILMU KELAUTAN</v>
      </c>
    </row>
    <row r="639" spans="1:17" ht="15.75" thickBot="1" x14ac:dyDescent="0.3">
      <c r="A639" s="7">
        <v>638</v>
      </c>
      <c r="B639" s="6">
        <v>20</v>
      </c>
      <c r="C639" s="12">
        <v>1811111</v>
      </c>
      <c r="D639" t="s">
        <v>22</v>
      </c>
      <c r="E639" s="12">
        <v>14</v>
      </c>
      <c r="F639" s="10" t="s">
        <v>20</v>
      </c>
      <c r="I639" s="87"/>
      <c r="J639" s="138" t="s">
        <v>1292</v>
      </c>
      <c r="K639" s="138" t="s">
        <v>1292</v>
      </c>
      <c r="L639" s="138" t="s">
        <v>1292</v>
      </c>
      <c r="M639" s="28"/>
      <c r="N639" s="83" t="s">
        <v>1292</v>
      </c>
      <c r="P639" t="str">
        <f>VLOOKUP(B639,PTN!A:B,2,FALSE)</f>
        <v>UNIVERSITAS BANGKA BELITUNG</v>
      </c>
      <c r="Q639" t="str">
        <f t="shared" si="9"/>
        <v>UNIVERSITAS BANGKA BELITUNGKIMIA</v>
      </c>
    </row>
    <row r="640" spans="1:17" ht="15.75" thickBot="1" x14ac:dyDescent="0.3">
      <c r="A640" s="7">
        <v>639</v>
      </c>
      <c r="B640" s="6">
        <v>20</v>
      </c>
      <c r="C640" s="13">
        <v>1811061</v>
      </c>
      <c r="D640" t="s">
        <v>213</v>
      </c>
      <c r="E640" s="13">
        <v>20</v>
      </c>
      <c r="F640" s="10" t="s">
        <v>20</v>
      </c>
      <c r="I640" s="26"/>
      <c r="J640" s="138" t="s">
        <v>1292</v>
      </c>
      <c r="K640" s="138" t="s">
        <v>1292</v>
      </c>
      <c r="L640" s="138" t="s">
        <v>1292</v>
      </c>
      <c r="M640" s="27"/>
      <c r="N640" s="83" t="s">
        <v>1292</v>
      </c>
      <c r="P640" t="str">
        <f>VLOOKUP(B640,PTN!A:B,2,FALSE)</f>
        <v>UNIVERSITAS BANGKA BELITUNG</v>
      </c>
      <c r="Q640" t="str">
        <f t="shared" si="9"/>
        <v>UNIVERSITAS BANGKA BELITUNGMANAJEMEN SUMBERDAYA PERAIRAN</v>
      </c>
    </row>
    <row r="641" spans="1:17" ht="15.75" thickBot="1" x14ac:dyDescent="0.3">
      <c r="A641" s="7">
        <v>640</v>
      </c>
      <c r="B641" s="6">
        <v>20</v>
      </c>
      <c r="C641" s="12">
        <v>1811134</v>
      </c>
      <c r="D641" t="s">
        <v>66</v>
      </c>
      <c r="E641" s="12">
        <v>9</v>
      </c>
      <c r="F641" s="10" t="s">
        <v>20</v>
      </c>
      <c r="I641" s="87"/>
      <c r="J641" s="138" t="s">
        <v>1292</v>
      </c>
      <c r="K641" s="138" t="s">
        <v>1292</v>
      </c>
      <c r="L641" s="138" t="s">
        <v>1292</v>
      </c>
      <c r="M641" s="28"/>
      <c r="N641" s="83" t="s">
        <v>1292</v>
      </c>
      <c r="P641" t="str">
        <f>VLOOKUP(B641,PTN!A:B,2,FALSE)</f>
        <v>UNIVERSITAS BANGKA BELITUNG</v>
      </c>
      <c r="Q641" t="str">
        <f t="shared" si="9"/>
        <v>UNIVERSITAS BANGKA BELITUNGMATEMATIKA</v>
      </c>
    </row>
    <row r="642" spans="1:17" ht="15.75" thickBot="1" x14ac:dyDescent="0.3">
      <c r="A642" s="7">
        <v>641</v>
      </c>
      <c r="B642" s="6">
        <v>20</v>
      </c>
      <c r="C642" s="13">
        <v>1811022</v>
      </c>
      <c r="D642" t="s">
        <v>48</v>
      </c>
      <c r="E642" s="13">
        <v>24</v>
      </c>
      <c r="F642" s="10" t="s">
        <v>20</v>
      </c>
      <c r="I642" s="26"/>
      <c r="J642" s="138" t="s">
        <v>1292</v>
      </c>
      <c r="K642" s="138" t="s">
        <v>1292</v>
      </c>
      <c r="L642" s="138" t="s">
        <v>1292</v>
      </c>
      <c r="M642" s="27"/>
      <c r="N642" s="83" t="s">
        <v>1292</v>
      </c>
      <c r="P642" t="str">
        <f>VLOOKUP(B642,PTN!A:B,2,FALSE)</f>
        <v>UNIVERSITAS BANGKA BELITUNG</v>
      </c>
      <c r="Q642" t="str">
        <f t="shared" si="9"/>
        <v>UNIVERSITAS BANGKA BELITUNGTEKNIK ELEKTRO</v>
      </c>
    </row>
    <row r="643" spans="1:17" ht="15.75" thickBot="1" x14ac:dyDescent="0.3">
      <c r="A643" s="7">
        <v>642</v>
      </c>
      <c r="B643" s="6">
        <v>20</v>
      </c>
      <c r="C643" s="12">
        <v>1811014</v>
      </c>
      <c r="D643" t="s">
        <v>53</v>
      </c>
      <c r="E643" s="12">
        <v>11</v>
      </c>
      <c r="F643" s="10" t="s">
        <v>20</v>
      </c>
      <c r="I643" s="87"/>
      <c r="J643" s="138" t="s">
        <v>1292</v>
      </c>
      <c r="K643" s="138" t="s">
        <v>1292</v>
      </c>
      <c r="L643" s="138" t="s">
        <v>1292</v>
      </c>
      <c r="M643" s="28"/>
      <c r="N643" s="83" t="s">
        <v>1292</v>
      </c>
      <c r="P643" t="str">
        <f>VLOOKUP(B643,PTN!A:B,2,FALSE)</f>
        <v>UNIVERSITAS BANGKA BELITUNG</v>
      </c>
      <c r="Q643" t="str">
        <f t="shared" ref="Q643:Q706" si="10">P643&amp;D643</f>
        <v>UNIVERSITAS BANGKA BELITUNGTEKNIK MESIN</v>
      </c>
    </row>
    <row r="644" spans="1:17" ht="15.75" thickBot="1" x14ac:dyDescent="0.3">
      <c r="A644" s="7">
        <v>643</v>
      </c>
      <c r="B644" s="6">
        <v>20</v>
      </c>
      <c r="C644" s="13">
        <v>1811037</v>
      </c>
      <c r="D644" t="s">
        <v>239</v>
      </c>
      <c r="E644" s="13">
        <v>11</v>
      </c>
      <c r="F644" s="10" t="s">
        <v>20</v>
      </c>
      <c r="I644" s="26"/>
      <c r="J644" s="138" t="s">
        <v>1292</v>
      </c>
      <c r="K644" s="138" t="s">
        <v>1292</v>
      </c>
      <c r="L644" s="138" t="s">
        <v>1292</v>
      </c>
      <c r="M644" s="27"/>
      <c r="N644" s="83" t="s">
        <v>1292</v>
      </c>
      <c r="P644" t="str">
        <f>VLOOKUP(B644,PTN!A:B,2,FALSE)</f>
        <v>UNIVERSITAS BANGKA BELITUNG</v>
      </c>
      <c r="Q644" t="str">
        <f t="shared" si="10"/>
        <v>UNIVERSITAS BANGKA BELITUNGTEKNIK PERTAMBANGAN</v>
      </c>
    </row>
    <row r="645" spans="1:17" ht="15.75" thickBot="1" x14ac:dyDescent="0.3">
      <c r="A645" s="7">
        <v>644</v>
      </c>
      <c r="B645" s="6">
        <v>20</v>
      </c>
      <c r="C645" s="14">
        <v>1811045</v>
      </c>
      <c r="D645" t="s">
        <v>54</v>
      </c>
      <c r="E645" s="14">
        <v>21</v>
      </c>
      <c r="F645" s="10" t="s">
        <v>20</v>
      </c>
      <c r="I645" s="20"/>
      <c r="J645" s="138" t="s">
        <v>1292</v>
      </c>
      <c r="K645" s="138" t="s">
        <v>1292</v>
      </c>
      <c r="L645" s="138" t="s">
        <v>1292</v>
      </c>
      <c r="M645" s="21"/>
      <c r="N645" s="83" t="s">
        <v>1292</v>
      </c>
      <c r="P645" t="str">
        <f>VLOOKUP(B645,PTN!A:B,2,FALSE)</f>
        <v>UNIVERSITAS BANGKA BELITUNG</v>
      </c>
      <c r="Q645" t="str">
        <f t="shared" si="10"/>
        <v>UNIVERSITAS BANGKA BELITUNGTEKNIK SIPIL</v>
      </c>
    </row>
    <row r="646" spans="1:17" ht="16.5" thickTop="1" thickBot="1" x14ac:dyDescent="0.3">
      <c r="A646" s="7">
        <v>645</v>
      </c>
      <c r="B646" s="6">
        <v>20</v>
      </c>
      <c r="C646" s="12">
        <v>1812017</v>
      </c>
      <c r="D646" t="s">
        <v>55</v>
      </c>
      <c r="E646" s="12">
        <v>21</v>
      </c>
      <c r="F646" s="10" t="s">
        <v>13</v>
      </c>
      <c r="I646" s="22"/>
      <c r="J646" s="138" t="s">
        <v>1292</v>
      </c>
      <c r="K646" s="138" t="s">
        <v>1292</v>
      </c>
      <c r="L646" s="138" t="s">
        <v>1292</v>
      </c>
      <c r="M646" s="21"/>
      <c r="N646" s="83" t="s">
        <v>1292</v>
      </c>
      <c r="P646" t="str">
        <f>VLOOKUP(B646,PTN!A:B,2,FALSE)</f>
        <v>UNIVERSITAS BANGKA BELITUNG</v>
      </c>
      <c r="Q646" t="str">
        <f t="shared" si="10"/>
        <v>UNIVERSITAS BANGKA BELITUNGAKUNTANSI</v>
      </c>
    </row>
    <row r="647" spans="1:17" ht="16.5" thickTop="1" thickBot="1" x14ac:dyDescent="0.3">
      <c r="A647" s="7">
        <v>646</v>
      </c>
      <c r="B647" s="6">
        <v>20</v>
      </c>
      <c r="C647" s="13">
        <v>1812072</v>
      </c>
      <c r="D647" t="s">
        <v>263</v>
      </c>
      <c r="E647" s="13">
        <v>21</v>
      </c>
      <c r="F647" s="10" t="s">
        <v>13</v>
      </c>
      <c r="I647" s="23"/>
      <c r="J647" s="138" t="s">
        <v>1292</v>
      </c>
      <c r="K647" s="138" t="s">
        <v>1292</v>
      </c>
      <c r="L647" s="138" t="s">
        <v>1292</v>
      </c>
      <c r="M647" s="25"/>
      <c r="N647" s="83" t="s">
        <v>1292</v>
      </c>
      <c r="P647" t="str">
        <f>VLOOKUP(B647,PTN!A:B,2,FALSE)</f>
        <v>UNIVERSITAS BANGKA BELITUNG</v>
      </c>
      <c r="Q647" t="str">
        <f t="shared" si="10"/>
        <v>UNIVERSITAS BANGKA BELITUNGEKONOMI</v>
      </c>
    </row>
    <row r="648" spans="1:17" ht="16.5" thickTop="1" thickBot="1" x14ac:dyDescent="0.3">
      <c r="A648" s="7">
        <v>647</v>
      </c>
      <c r="B648" s="6">
        <v>20</v>
      </c>
      <c r="C648" s="12">
        <v>1812033</v>
      </c>
      <c r="D648" t="s">
        <v>31</v>
      </c>
      <c r="E648" s="12">
        <v>36</v>
      </c>
      <c r="F648" s="10" t="s">
        <v>13</v>
      </c>
      <c r="I648" s="26"/>
      <c r="J648" s="138" t="s">
        <v>1292</v>
      </c>
      <c r="K648" s="138" t="s">
        <v>1292</v>
      </c>
      <c r="L648" s="138" t="s">
        <v>1292</v>
      </c>
      <c r="M648" s="27"/>
      <c r="N648" s="83" t="s">
        <v>1292</v>
      </c>
      <c r="P648" t="str">
        <f>VLOOKUP(B648,PTN!A:B,2,FALSE)</f>
        <v>UNIVERSITAS BANGKA BELITUNG</v>
      </c>
      <c r="Q648" t="str">
        <f t="shared" si="10"/>
        <v>UNIVERSITAS BANGKA BELITUNGILMU HUKUM</v>
      </c>
    </row>
    <row r="649" spans="1:17" ht="15.75" thickBot="1" x14ac:dyDescent="0.3">
      <c r="A649" s="7">
        <v>648</v>
      </c>
      <c r="B649" s="6">
        <v>20</v>
      </c>
      <c r="C649" s="13">
        <v>1812064</v>
      </c>
      <c r="D649" t="s">
        <v>33</v>
      </c>
      <c r="E649" s="13">
        <v>20</v>
      </c>
      <c r="F649" s="10" t="s">
        <v>13</v>
      </c>
      <c r="I649" s="87"/>
      <c r="J649" s="138" t="s">
        <v>1292</v>
      </c>
      <c r="K649" s="138" t="s">
        <v>1292</v>
      </c>
      <c r="L649" s="138" t="s">
        <v>1292</v>
      </c>
      <c r="M649" s="28"/>
      <c r="N649" s="83" t="s">
        <v>1292</v>
      </c>
      <c r="P649" t="str">
        <f>VLOOKUP(B649,PTN!A:B,2,FALSE)</f>
        <v>UNIVERSITAS BANGKA BELITUNG</v>
      </c>
      <c r="Q649" t="str">
        <f t="shared" si="10"/>
        <v>UNIVERSITAS BANGKA BELITUNGILMU POLITIK</v>
      </c>
    </row>
    <row r="650" spans="1:17" ht="15.75" thickBot="1" x14ac:dyDescent="0.3">
      <c r="A650" s="7">
        <v>649</v>
      </c>
      <c r="B650" s="6">
        <v>20</v>
      </c>
      <c r="C650" s="12">
        <v>1812025</v>
      </c>
      <c r="D650" t="s">
        <v>61</v>
      </c>
      <c r="E650" s="12">
        <v>38</v>
      </c>
      <c r="F650" s="10" t="s">
        <v>13</v>
      </c>
      <c r="I650" s="26"/>
      <c r="J650" s="138" t="s">
        <v>1292</v>
      </c>
      <c r="K650" s="138" t="s">
        <v>1292</v>
      </c>
      <c r="L650" s="138" t="s">
        <v>1292</v>
      </c>
      <c r="M650" s="27"/>
      <c r="N650" s="83" t="s">
        <v>1292</v>
      </c>
      <c r="P650" t="str">
        <f>VLOOKUP(B650,PTN!A:B,2,FALSE)</f>
        <v>UNIVERSITAS BANGKA BELITUNG</v>
      </c>
      <c r="Q650" t="str">
        <f t="shared" si="10"/>
        <v>UNIVERSITAS BANGKA BELITUNGMANAJEMEN</v>
      </c>
    </row>
    <row r="651" spans="1:17" ht="15.75" thickBot="1" x14ac:dyDescent="0.3">
      <c r="A651" s="7">
        <v>650</v>
      </c>
      <c r="B651" s="6">
        <v>20</v>
      </c>
      <c r="C651" s="13">
        <v>1812056</v>
      </c>
      <c r="D651" t="s">
        <v>139</v>
      </c>
      <c r="E651" s="13">
        <v>20</v>
      </c>
      <c r="F651" s="10" t="s">
        <v>13</v>
      </c>
      <c r="I651" s="87"/>
      <c r="J651" s="138" t="s">
        <v>1292</v>
      </c>
      <c r="K651" s="138" t="s">
        <v>1292</v>
      </c>
      <c r="L651" s="138" t="s">
        <v>1292</v>
      </c>
      <c r="M651" s="28"/>
      <c r="N651" s="83" t="s">
        <v>1292</v>
      </c>
      <c r="P651" t="str">
        <f>VLOOKUP(B651,PTN!A:B,2,FALSE)</f>
        <v>UNIVERSITAS BANGKA BELITUNG</v>
      </c>
      <c r="Q651" t="str">
        <f t="shared" si="10"/>
        <v>UNIVERSITAS BANGKA BELITUNGSASTRA INGGRIS</v>
      </c>
    </row>
    <row r="652" spans="1:17" ht="15.75" thickBot="1" x14ac:dyDescent="0.3">
      <c r="A652" s="7">
        <v>651</v>
      </c>
      <c r="B652" s="6">
        <v>20</v>
      </c>
      <c r="C652" s="14">
        <v>1812041</v>
      </c>
      <c r="D652" t="s">
        <v>63</v>
      </c>
      <c r="E652" s="14">
        <v>20</v>
      </c>
      <c r="F652" s="10" t="s">
        <v>13</v>
      </c>
      <c r="I652" s="26"/>
      <c r="J652" s="138" t="s">
        <v>1292</v>
      </c>
      <c r="K652" s="138" t="s">
        <v>1292</v>
      </c>
      <c r="L652" s="138" t="s">
        <v>1292</v>
      </c>
      <c r="M652" s="27"/>
      <c r="N652" s="83" t="s">
        <v>1292</v>
      </c>
      <c r="P652" t="str">
        <f>VLOOKUP(B652,PTN!A:B,2,FALSE)</f>
        <v>UNIVERSITAS BANGKA BELITUNG</v>
      </c>
      <c r="Q652" t="str">
        <f t="shared" si="10"/>
        <v>UNIVERSITAS BANGKA BELITUNGSOSIOLOGI</v>
      </c>
    </row>
    <row r="653" spans="1:17" ht="16.5" thickTop="1" thickBot="1" x14ac:dyDescent="0.3">
      <c r="A653" s="7">
        <v>652</v>
      </c>
      <c r="B653" s="6">
        <v>22</v>
      </c>
      <c r="C653" s="17">
        <v>1921087</v>
      </c>
      <c r="D653" t="s">
        <v>19</v>
      </c>
      <c r="E653" s="17">
        <v>88</v>
      </c>
      <c r="F653" s="10" t="s">
        <v>20</v>
      </c>
      <c r="I653" s="22"/>
      <c r="J653" s="138" t="s">
        <v>1292</v>
      </c>
      <c r="K653" s="138" t="s">
        <v>1292</v>
      </c>
      <c r="L653" s="138" t="s">
        <v>1292</v>
      </c>
      <c r="M653" s="21"/>
      <c r="N653" s="83" t="s">
        <v>1292</v>
      </c>
      <c r="P653" t="str">
        <f>VLOOKUP(B653,PTN!A:B,2,FALSE)</f>
        <v>INSTITUT TEKNOLOGI SUMATERA</v>
      </c>
      <c r="Q653" t="str">
        <f t="shared" si="10"/>
        <v>INSTITUT TEKNOLOGI SUMATERAARSITEKTUR</v>
      </c>
    </row>
    <row r="654" spans="1:17" ht="16.5" thickTop="1" thickBot="1" x14ac:dyDescent="0.3">
      <c r="A654" s="7">
        <v>653</v>
      </c>
      <c r="B654" s="6">
        <v>22</v>
      </c>
      <c r="C654" s="18">
        <v>1921281</v>
      </c>
      <c r="D654" t="s">
        <v>264</v>
      </c>
      <c r="E654" s="18">
        <v>59</v>
      </c>
      <c r="F654" s="10" t="s">
        <v>20</v>
      </c>
      <c r="I654" s="36"/>
      <c r="J654" s="138" t="s">
        <v>1292</v>
      </c>
      <c r="K654" s="138" t="s">
        <v>1292</v>
      </c>
      <c r="L654" s="138" t="s">
        <v>1292</v>
      </c>
      <c r="M654" s="31"/>
      <c r="N654" s="83" t="s">
        <v>1292</v>
      </c>
      <c r="P654" t="str">
        <f>VLOOKUP(B654,PTN!A:B,2,FALSE)</f>
        <v>INSTITUT TEKNOLOGI SUMATERA</v>
      </c>
      <c r="Q654" t="str">
        <f t="shared" si="10"/>
        <v>INSTITUT TEKNOLOGI SUMATERAARSITEKTUR LANSKAP</v>
      </c>
    </row>
    <row r="655" spans="1:17" ht="16.5" thickTop="1" thickBot="1" x14ac:dyDescent="0.3">
      <c r="A655" s="7">
        <v>654</v>
      </c>
      <c r="B655" s="6">
        <v>22</v>
      </c>
      <c r="C655" s="17">
        <v>1921145</v>
      </c>
      <c r="D655" t="s">
        <v>21</v>
      </c>
      <c r="E655" s="17">
        <v>44</v>
      </c>
      <c r="F655" s="10" t="s">
        <v>20</v>
      </c>
      <c r="I655" s="38"/>
      <c r="J655" s="138" t="s">
        <v>1292</v>
      </c>
      <c r="K655" s="138" t="s">
        <v>1292</v>
      </c>
      <c r="L655" s="138" t="s">
        <v>1292</v>
      </c>
      <c r="M655" s="32"/>
      <c r="N655" s="83" t="s">
        <v>1292</v>
      </c>
      <c r="P655" t="str">
        <f>VLOOKUP(B655,PTN!A:B,2,FALSE)</f>
        <v>INSTITUT TEKNOLOGI SUMATERA</v>
      </c>
      <c r="Q655" t="str">
        <f t="shared" si="10"/>
        <v>INSTITUT TEKNOLOGI SUMATERABIOLOGI</v>
      </c>
    </row>
    <row r="656" spans="1:17" ht="15.75" thickBot="1" x14ac:dyDescent="0.3">
      <c r="A656" s="7">
        <v>655</v>
      </c>
      <c r="B656" s="6">
        <v>22</v>
      </c>
      <c r="C656" s="18">
        <v>1921296</v>
      </c>
      <c r="D656" t="s">
        <v>12</v>
      </c>
      <c r="E656" s="18">
        <v>59</v>
      </c>
      <c r="F656" s="10" t="s">
        <v>20</v>
      </c>
      <c r="I656" s="39"/>
      <c r="J656" s="138" t="s">
        <v>1292</v>
      </c>
      <c r="K656" s="138" t="s">
        <v>1292</v>
      </c>
      <c r="L656" s="138" t="s">
        <v>1292</v>
      </c>
      <c r="M656" s="33"/>
      <c r="N656" s="83" t="s">
        <v>1292</v>
      </c>
      <c r="P656" t="str">
        <f>VLOOKUP(B656,PTN!A:B,2,FALSE)</f>
        <v>INSTITUT TEKNOLOGI SUMATERA</v>
      </c>
      <c r="Q656" t="str">
        <f t="shared" si="10"/>
        <v>INSTITUT TEKNOLOGI SUMATERADESAIN KOMUNIKASI VISUAL</v>
      </c>
    </row>
    <row r="657" spans="1:17" ht="15.75" thickBot="1" x14ac:dyDescent="0.3">
      <c r="A657" s="7">
        <v>656</v>
      </c>
      <c r="B657" s="6">
        <v>22</v>
      </c>
      <c r="C657" s="17">
        <v>1921161</v>
      </c>
      <c r="D657" t="s">
        <v>77</v>
      </c>
      <c r="E657" s="17">
        <v>73</v>
      </c>
      <c r="F657" s="10" t="s">
        <v>20</v>
      </c>
      <c r="I657" s="38"/>
      <c r="J657" s="138" t="s">
        <v>1292</v>
      </c>
      <c r="K657" s="138" t="s">
        <v>1292</v>
      </c>
      <c r="L657" s="138" t="s">
        <v>1292</v>
      </c>
      <c r="M657" s="32"/>
      <c r="N657" s="83" t="s">
        <v>1292</v>
      </c>
      <c r="P657" t="str">
        <f>VLOOKUP(B657,PTN!A:B,2,FALSE)</f>
        <v>INSTITUT TEKNOLOGI SUMATERA</v>
      </c>
      <c r="Q657" t="str">
        <f t="shared" si="10"/>
        <v>INSTITUT TEKNOLOGI SUMATERAFARMASI</v>
      </c>
    </row>
    <row r="658" spans="1:17" ht="15.75" thickBot="1" x14ac:dyDescent="0.3">
      <c r="A658" s="7">
        <v>657</v>
      </c>
      <c r="B658" s="6">
        <v>22</v>
      </c>
      <c r="C658" s="18">
        <v>1921072</v>
      </c>
      <c r="D658" t="s">
        <v>65</v>
      </c>
      <c r="E658" s="18">
        <v>44</v>
      </c>
      <c r="F658" s="10" t="s">
        <v>20</v>
      </c>
      <c r="I658" s="39"/>
      <c r="J658" s="138" t="s">
        <v>1292</v>
      </c>
      <c r="K658" s="138" t="s">
        <v>1292</v>
      </c>
      <c r="L658" s="138" t="s">
        <v>1292</v>
      </c>
      <c r="M658" s="33"/>
      <c r="N658" s="83" t="s">
        <v>1292</v>
      </c>
      <c r="P658" t="str">
        <f>VLOOKUP(B658,PTN!A:B,2,FALSE)</f>
        <v>INSTITUT TEKNOLOGI SUMATERA</v>
      </c>
      <c r="Q658" t="str">
        <f t="shared" si="10"/>
        <v>INSTITUT TEKNOLOGI SUMATERAFISIKA</v>
      </c>
    </row>
    <row r="659" spans="1:17" ht="15.75" thickBot="1" x14ac:dyDescent="0.3">
      <c r="A659" s="7">
        <v>658</v>
      </c>
      <c r="B659" s="6">
        <v>22</v>
      </c>
      <c r="C659" s="17">
        <v>1921184</v>
      </c>
      <c r="D659" t="s">
        <v>22</v>
      </c>
      <c r="E659" s="17">
        <v>59</v>
      </c>
      <c r="F659" s="10" t="s">
        <v>20</v>
      </c>
      <c r="I659" s="38"/>
      <c r="J659" s="138" t="s">
        <v>1292</v>
      </c>
      <c r="K659" s="138" t="s">
        <v>1292</v>
      </c>
      <c r="L659" s="138" t="s">
        <v>1292</v>
      </c>
      <c r="M659" s="32"/>
      <c r="N659" s="83" t="s">
        <v>1292</v>
      </c>
      <c r="P659" t="str">
        <f>VLOOKUP(B659,PTN!A:B,2,FALSE)</f>
        <v>INSTITUT TEKNOLOGI SUMATERA</v>
      </c>
      <c r="Q659" t="str">
        <f t="shared" si="10"/>
        <v>INSTITUT TEKNOLOGI SUMATERAKIMIA</v>
      </c>
    </row>
    <row r="660" spans="1:17" ht="15.75" thickBot="1" x14ac:dyDescent="0.3">
      <c r="A660" s="7">
        <v>659</v>
      </c>
      <c r="B660" s="6">
        <v>22</v>
      </c>
      <c r="C660" s="18">
        <v>1921114</v>
      </c>
      <c r="D660" t="s">
        <v>66</v>
      </c>
      <c r="E660" s="18">
        <v>59</v>
      </c>
      <c r="F660" s="10" t="s">
        <v>20</v>
      </c>
      <c r="I660" s="39"/>
      <c r="J660" s="138" t="s">
        <v>1292</v>
      </c>
      <c r="K660" s="138" t="s">
        <v>1292</v>
      </c>
      <c r="L660" s="138" t="s">
        <v>1292</v>
      </c>
      <c r="M660" s="33"/>
      <c r="N660" s="83" t="s">
        <v>1292</v>
      </c>
      <c r="P660" t="str">
        <f>VLOOKUP(B660,PTN!A:B,2,FALSE)</f>
        <v>INSTITUT TEKNOLOGI SUMATERA</v>
      </c>
      <c r="Q660" t="str">
        <f t="shared" si="10"/>
        <v>INSTITUT TEKNOLOGI SUMATERAMATEMATIKA</v>
      </c>
    </row>
    <row r="661" spans="1:17" ht="15.75" thickBot="1" x14ac:dyDescent="0.3">
      <c r="A661" s="7">
        <v>660</v>
      </c>
      <c r="B661" s="6">
        <v>22</v>
      </c>
      <c r="C661" s="17">
        <v>1921033</v>
      </c>
      <c r="D661" t="s">
        <v>87</v>
      </c>
      <c r="E661" s="17">
        <v>117</v>
      </c>
      <c r="F661" s="10" t="s">
        <v>20</v>
      </c>
      <c r="I661" s="38"/>
      <c r="J661" s="138" t="s">
        <v>1292</v>
      </c>
      <c r="K661" s="138" t="s">
        <v>1292</v>
      </c>
      <c r="L661" s="138" t="s">
        <v>1292</v>
      </c>
      <c r="M661" s="32"/>
      <c r="N661" s="83" t="s">
        <v>1292</v>
      </c>
      <c r="P661" t="str">
        <f>VLOOKUP(B661,PTN!A:B,2,FALSE)</f>
        <v>INSTITUT TEKNOLOGI SUMATERA</v>
      </c>
      <c r="Q661" t="str">
        <f t="shared" si="10"/>
        <v>INSTITUT TEKNOLOGI SUMATERAPERENCANAAN WILAYAH DAN KOTA</v>
      </c>
    </row>
    <row r="662" spans="1:17" ht="15.75" thickBot="1" x14ac:dyDescent="0.3">
      <c r="A662" s="7">
        <v>661</v>
      </c>
      <c r="B662" s="6">
        <v>22</v>
      </c>
      <c r="C662" s="18">
        <v>1921211</v>
      </c>
      <c r="D662" t="s">
        <v>265</v>
      </c>
      <c r="E662" s="18">
        <v>59</v>
      </c>
      <c r="F662" s="10" t="s">
        <v>20</v>
      </c>
      <c r="I662" s="39"/>
      <c r="J662" s="138" t="s">
        <v>1292</v>
      </c>
      <c r="K662" s="138" t="s">
        <v>1292</v>
      </c>
      <c r="L662" s="138" t="s">
        <v>1292</v>
      </c>
      <c r="M662" s="33"/>
      <c r="N662" s="83" t="s">
        <v>1292</v>
      </c>
      <c r="P662" t="str">
        <f>VLOOKUP(B662,PTN!A:B,2,FALSE)</f>
        <v>INSTITUT TEKNOLOGI SUMATERA</v>
      </c>
      <c r="Q662" t="str">
        <f t="shared" si="10"/>
        <v>INSTITUT TEKNOLOGI SUMATERASAINS ATMOSFIR DAN KEPLANETAN</v>
      </c>
    </row>
    <row r="663" spans="1:17" ht="15.75" thickBot="1" x14ac:dyDescent="0.3">
      <c r="A663" s="7">
        <v>662</v>
      </c>
      <c r="B663" s="6">
        <v>22</v>
      </c>
      <c r="C663" s="17">
        <v>1921226</v>
      </c>
      <c r="D663" t="s">
        <v>266</v>
      </c>
      <c r="E663" s="17">
        <v>44</v>
      </c>
      <c r="F663" s="10" t="s">
        <v>20</v>
      </c>
      <c r="I663" s="38"/>
      <c r="J663" s="138" t="s">
        <v>1292</v>
      </c>
      <c r="K663" s="138" t="s">
        <v>1292</v>
      </c>
      <c r="L663" s="138" t="s">
        <v>1292</v>
      </c>
      <c r="M663" s="32"/>
      <c r="N663" s="83" t="s">
        <v>1292</v>
      </c>
      <c r="P663" t="str">
        <f>VLOOKUP(B663,PTN!A:B,2,FALSE)</f>
        <v>INSTITUT TEKNOLOGI SUMATERA</v>
      </c>
      <c r="Q663" t="str">
        <f t="shared" si="10"/>
        <v>INSTITUT TEKNOLOGI SUMATERATEKNIK BIOSISTEM</v>
      </c>
    </row>
    <row r="664" spans="1:17" ht="15.75" thickBot="1" x14ac:dyDescent="0.3">
      <c r="A664" s="7">
        <v>663</v>
      </c>
      <c r="B664" s="6">
        <v>22</v>
      </c>
      <c r="C664" s="18">
        <v>1921025</v>
      </c>
      <c r="D664" t="s">
        <v>48</v>
      </c>
      <c r="E664" s="18">
        <v>88</v>
      </c>
      <c r="F664" s="10" t="s">
        <v>20</v>
      </c>
      <c r="I664" s="39"/>
      <c r="J664" s="138" t="s">
        <v>1292</v>
      </c>
      <c r="K664" s="138" t="s">
        <v>1292</v>
      </c>
      <c r="L664" s="138" t="s">
        <v>1292</v>
      </c>
      <c r="M664" s="33"/>
      <c r="N664" s="83" t="s">
        <v>1292</v>
      </c>
      <c r="P664" t="str">
        <f>VLOOKUP(B664,PTN!A:B,2,FALSE)</f>
        <v>INSTITUT TEKNOLOGI SUMATERA</v>
      </c>
      <c r="Q664" t="str">
        <f t="shared" si="10"/>
        <v>INSTITUT TEKNOLOGI SUMATERATEKNIK ELEKTRO</v>
      </c>
    </row>
    <row r="665" spans="1:17" ht="15.75" thickBot="1" x14ac:dyDescent="0.3">
      <c r="A665" s="7">
        <v>664</v>
      </c>
      <c r="B665" s="6">
        <v>22</v>
      </c>
      <c r="C665" s="17">
        <v>1921192</v>
      </c>
      <c r="D665" t="s">
        <v>267</v>
      </c>
      <c r="E665" s="17">
        <v>59</v>
      </c>
      <c r="F665" s="10" t="s">
        <v>20</v>
      </c>
      <c r="I665" s="38"/>
      <c r="J665" s="138" t="s">
        <v>1292</v>
      </c>
      <c r="K665" s="138" t="s">
        <v>1292</v>
      </c>
      <c r="L665" s="138" t="s">
        <v>1292</v>
      </c>
      <c r="M665" s="32"/>
      <c r="N665" s="83" t="s">
        <v>1292</v>
      </c>
      <c r="P665" t="str">
        <f>VLOOKUP(B665,PTN!A:B,2,FALSE)</f>
        <v>INSTITUT TEKNOLOGI SUMATERA</v>
      </c>
      <c r="Q665" t="str">
        <f t="shared" si="10"/>
        <v>INSTITUT TEKNOLOGI SUMATERATEKNIK FISIKA</v>
      </c>
    </row>
    <row r="666" spans="1:17" ht="15.75" thickBot="1" x14ac:dyDescent="0.3">
      <c r="A666" s="7">
        <v>665</v>
      </c>
      <c r="B666" s="6">
        <v>22</v>
      </c>
      <c r="C666" s="18">
        <v>1921041</v>
      </c>
      <c r="D666" t="s">
        <v>91</v>
      </c>
      <c r="E666" s="18">
        <v>102</v>
      </c>
      <c r="F666" s="10" t="s">
        <v>20</v>
      </c>
      <c r="I666" s="39"/>
      <c r="J666" s="138" t="s">
        <v>1292</v>
      </c>
      <c r="K666" s="138" t="s">
        <v>1292</v>
      </c>
      <c r="L666" s="138" t="s">
        <v>1292</v>
      </c>
      <c r="M666" s="33"/>
      <c r="N666" s="83" t="s">
        <v>1292</v>
      </c>
      <c r="P666" t="str">
        <f>VLOOKUP(B666,PTN!A:B,2,FALSE)</f>
        <v>INSTITUT TEKNOLOGI SUMATERA</v>
      </c>
      <c r="Q666" t="str">
        <f t="shared" si="10"/>
        <v>INSTITUT TEKNOLOGI SUMATERATEKNIK GEOFISIKA</v>
      </c>
    </row>
    <row r="667" spans="1:17" ht="15.75" thickBot="1" x14ac:dyDescent="0.3">
      <c r="A667" s="7">
        <v>666</v>
      </c>
      <c r="B667" s="6">
        <v>22</v>
      </c>
      <c r="C667" s="17">
        <v>1921106</v>
      </c>
      <c r="D667" t="s">
        <v>92</v>
      </c>
      <c r="E667" s="17">
        <v>59</v>
      </c>
      <c r="F667" s="10" t="s">
        <v>20</v>
      </c>
      <c r="I667" s="38"/>
      <c r="J667" s="138" t="s">
        <v>1292</v>
      </c>
      <c r="K667" s="138" t="s">
        <v>1292</v>
      </c>
      <c r="L667" s="138" t="s">
        <v>1292</v>
      </c>
      <c r="M667" s="32"/>
      <c r="N667" s="83" t="s">
        <v>1292</v>
      </c>
      <c r="P667" t="str">
        <f>VLOOKUP(B667,PTN!A:B,2,FALSE)</f>
        <v>INSTITUT TEKNOLOGI SUMATERA</v>
      </c>
      <c r="Q667" t="str">
        <f t="shared" si="10"/>
        <v>INSTITUT TEKNOLOGI SUMATERATEKNIK GEOLOGI</v>
      </c>
    </row>
    <row r="668" spans="1:17" ht="15.75" thickBot="1" x14ac:dyDescent="0.3">
      <c r="A668" s="7">
        <v>667</v>
      </c>
      <c r="B668" s="6">
        <v>22</v>
      </c>
      <c r="C668" s="18">
        <v>1921017</v>
      </c>
      <c r="D668" t="s">
        <v>268</v>
      </c>
      <c r="E668" s="18">
        <v>73</v>
      </c>
      <c r="F668" s="10" t="s">
        <v>20</v>
      </c>
      <c r="I668" s="39"/>
      <c r="J668" s="138" t="s">
        <v>1292</v>
      </c>
      <c r="K668" s="138" t="s">
        <v>1292</v>
      </c>
      <c r="L668" s="138" t="s">
        <v>1292</v>
      </c>
      <c r="M668" s="33"/>
      <c r="N668" s="83" t="s">
        <v>1292</v>
      </c>
      <c r="P668" t="str">
        <f>VLOOKUP(B668,PTN!A:B,2,FALSE)</f>
        <v>INSTITUT TEKNOLOGI SUMATERA</v>
      </c>
      <c r="Q668" t="str">
        <f t="shared" si="10"/>
        <v>INSTITUT TEKNOLOGI SUMATERATEKNIK GEOMATIKA</v>
      </c>
    </row>
    <row r="669" spans="1:17" ht="15.75" thickBot="1" x14ac:dyDescent="0.3">
      <c r="A669" s="7">
        <v>668</v>
      </c>
      <c r="B669" s="6">
        <v>22</v>
      </c>
      <c r="C669" s="17">
        <v>1921153</v>
      </c>
      <c r="D669" t="s">
        <v>49</v>
      </c>
      <c r="E669" s="17">
        <v>88</v>
      </c>
      <c r="F669" s="10" t="s">
        <v>20</v>
      </c>
      <c r="I669" s="38"/>
      <c r="J669" s="138" t="s">
        <v>1292</v>
      </c>
      <c r="K669" s="138" t="s">
        <v>1292</v>
      </c>
      <c r="L669" s="138" t="s">
        <v>1292</v>
      </c>
      <c r="M669" s="32"/>
      <c r="N669" s="83" t="s">
        <v>1292</v>
      </c>
      <c r="P669" t="str">
        <f>VLOOKUP(B669,PTN!A:B,2,FALSE)</f>
        <v>INSTITUT TEKNOLOGI SUMATERA</v>
      </c>
      <c r="Q669" t="str">
        <f t="shared" si="10"/>
        <v>INSTITUT TEKNOLOGI SUMATERATEKNIK INDUSTRI</v>
      </c>
    </row>
    <row r="670" spans="1:17" ht="15.75" thickBot="1" x14ac:dyDescent="0.3">
      <c r="A670" s="7">
        <v>669</v>
      </c>
      <c r="B670" s="6">
        <v>22</v>
      </c>
      <c r="C670" s="18">
        <v>1921064</v>
      </c>
      <c r="D670" t="s">
        <v>50</v>
      </c>
      <c r="E670" s="18">
        <v>117</v>
      </c>
      <c r="F670" s="10" t="s">
        <v>20</v>
      </c>
      <c r="I670" s="39"/>
      <c r="J670" s="138" t="s">
        <v>1292</v>
      </c>
      <c r="K670" s="138" t="s">
        <v>1292</v>
      </c>
      <c r="L670" s="138" t="s">
        <v>1292</v>
      </c>
      <c r="M670" s="33"/>
      <c r="N670" s="83" t="s">
        <v>1292</v>
      </c>
      <c r="P670" t="str">
        <f>VLOOKUP(B670,PTN!A:B,2,FALSE)</f>
        <v>INSTITUT TEKNOLOGI SUMATERA</v>
      </c>
      <c r="Q670" t="str">
        <f t="shared" si="10"/>
        <v>INSTITUT TEKNOLOGI SUMATERATEKNIK INFORMATIKA</v>
      </c>
    </row>
    <row r="671" spans="1:17" ht="15.75" thickBot="1" x14ac:dyDescent="0.3">
      <c r="A671" s="7">
        <v>670</v>
      </c>
      <c r="B671" s="6">
        <v>22</v>
      </c>
      <c r="C671" s="17">
        <v>1921203</v>
      </c>
      <c r="D671" t="s">
        <v>269</v>
      </c>
      <c r="E671" s="17">
        <v>59</v>
      </c>
      <c r="F671" s="10" t="s">
        <v>20</v>
      </c>
      <c r="I671" s="38"/>
      <c r="J671" s="138" t="s">
        <v>1292</v>
      </c>
      <c r="K671" s="138" t="s">
        <v>1292</v>
      </c>
      <c r="L671" s="138" t="s">
        <v>1292</v>
      </c>
      <c r="M671" s="32"/>
      <c r="N671" s="83" t="s">
        <v>1292</v>
      </c>
      <c r="P671" t="str">
        <f>VLOOKUP(B671,PTN!A:B,2,FALSE)</f>
        <v>INSTITUT TEKNOLOGI SUMATERA</v>
      </c>
      <c r="Q671" t="str">
        <f t="shared" si="10"/>
        <v>INSTITUT TEKNOLOGI SUMATERATEKNIK KELAUTAN</v>
      </c>
    </row>
    <row r="672" spans="1:17" ht="15.75" thickBot="1" x14ac:dyDescent="0.3">
      <c r="A672" s="7">
        <v>671</v>
      </c>
      <c r="B672" s="6">
        <v>22</v>
      </c>
      <c r="C672" s="18">
        <v>1921176</v>
      </c>
      <c r="D672" t="s">
        <v>51</v>
      </c>
      <c r="E672" s="18">
        <v>59</v>
      </c>
      <c r="F672" s="10" t="s">
        <v>20</v>
      </c>
      <c r="I672" s="39"/>
      <c r="J672" s="138" t="s">
        <v>1292</v>
      </c>
      <c r="K672" s="138" t="s">
        <v>1292</v>
      </c>
      <c r="L672" s="138" t="s">
        <v>1292</v>
      </c>
      <c r="M672" s="33"/>
      <c r="N672" s="83" t="s">
        <v>1292</v>
      </c>
      <c r="P672" t="str">
        <f>VLOOKUP(B672,PTN!A:B,2,FALSE)</f>
        <v>INSTITUT TEKNOLOGI SUMATERA</v>
      </c>
      <c r="Q672" t="str">
        <f t="shared" si="10"/>
        <v>INSTITUT TEKNOLOGI SUMATERATEKNIK KIMIA</v>
      </c>
    </row>
    <row r="673" spans="1:17" ht="15.75" thickBot="1" x14ac:dyDescent="0.3">
      <c r="A673" s="7">
        <v>672</v>
      </c>
      <c r="B673" s="6">
        <v>22</v>
      </c>
      <c r="C673" s="17">
        <v>1921095</v>
      </c>
      <c r="D673" t="s">
        <v>25</v>
      </c>
      <c r="E673" s="17">
        <v>88</v>
      </c>
      <c r="F673" s="10" t="s">
        <v>20</v>
      </c>
      <c r="I673" s="38"/>
      <c r="J673" s="138" t="s">
        <v>1292</v>
      </c>
      <c r="K673" s="138" t="s">
        <v>1292</v>
      </c>
      <c r="L673" s="138" t="s">
        <v>1292</v>
      </c>
      <c r="M673" s="32"/>
      <c r="N673" s="83" t="s">
        <v>1292</v>
      </c>
      <c r="P673" t="str">
        <f>VLOOKUP(B673,PTN!A:B,2,FALSE)</f>
        <v>INSTITUT TEKNOLOGI SUMATERA</v>
      </c>
      <c r="Q673" t="str">
        <f t="shared" si="10"/>
        <v>INSTITUT TEKNOLOGI SUMATERATEKNIK LINGKUNGAN</v>
      </c>
    </row>
    <row r="674" spans="1:17" ht="15.75" thickBot="1" x14ac:dyDescent="0.3">
      <c r="A674" s="7">
        <v>673</v>
      </c>
      <c r="B674" s="6">
        <v>22</v>
      </c>
      <c r="C674" s="18">
        <v>1921265</v>
      </c>
      <c r="D674" t="s">
        <v>52</v>
      </c>
      <c r="E674" s="18">
        <v>59</v>
      </c>
      <c r="F674" s="10" t="s">
        <v>20</v>
      </c>
      <c r="I674" s="39"/>
      <c r="J674" s="138" t="s">
        <v>1292</v>
      </c>
      <c r="K674" s="138" t="s">
        <v>1292</v>
      </c>
      <c r="L674" s="138" t="s">
        <v>1292</v>
      </c>
      <c r="M674" s="33"/>
      <c r="N674" s="83" t="s">
        <v>1292</v>
      </c>
      <c r="P674" t="str">
        <f>VLOOKUP(B674,PTN!A:B,2,FALSE)</f>
        <v>INSTITUT TEKNOLOGI SUMATERA</v>
      </c>
      <c r="Q674" t="str">
        <f t="shared" si="10"/>
        <v>INSTITUT TEKNOLOGI SUMATERATEKNIK MATERIAL</v>
      </c>
    </row>
    <row r="675" spans="1:17" ht="15.75" thickBot="1" x14ac:dyDescent="0.3">
      <c r="A675" s="7">
        <v>674</v>
      </c>
      <c r="B675" s="6">
        <v>22</v>
      </c>
      <c r="C675" s="17">
        <v>1921122</v>
      </c>
      <c r="D675" t="s">
        <v>53</v>
      </c>
      <c r="E675" s="17">
        <v>59</v>
      </c>
      <c r="F675" s="10" t="s">
        <v>20</v>
      </c>
      <c r="I675" s="38"/>
      <c r="J675" s="138" t="s">
        <v>1292</v>
      </c>
      <c r="K675" s="138" t="s">
        <v>1292</v>
      </c>
      <c r="L675" s="138" t="s">
        <v>1292</v>
      </c>
      <c r="M675" s="32"/>
      <c r="N675" s="83" t="s">
        <v>1292</v>
      </c>
      <c r="P675" t="str">
        <f>VLOOKUP(B675,PTN!A:B,2,FALSE)</f>
        <v>INSTITUT TEKNOLOGI SUMATERA</v>
      </c>
      <c r="Q675" t="str">
        <f t="shared" si="10"/>
        <v>INSTITUT TEKNOLOGI SUMATERATEKNIK MESIN</v>
      </c>
    </row>
    <row r="676" spans="1:17" ht="15.75" thickBot="1" x14ac:dyDescent="0.3">
      <c r="A676" s="7">
        <v>675</v>
      </c>
      <c r="B676" s="6">
        <v>22</v>
      </c>
      <c r="C676" s="18">
        <v>1921273</v>
      </c>
      <c r="D676" t="s">
        <v>239</v>
      </c>
      <c r="E676" s="18">
        <v>59</v>
      </c>
      <c r="F676" s="10" t="s">
        <v>20</v>
      </c>
      <c r="I676" s="39"/>
      <c r="J676" s="138" t="s">
        <v>1292</v>
      </c>
      <c r="K676" s="138" t="s">
        <v>1292</v>
      </c>
      <c r="L676" s="138" t="s">
        <v>1292</v>
      </c>
      <c r="M676" s="33"/>
      <c r="N676" s="83" t="s">
        <v>1292</v>
      </c>
      <c r="P676" t="str">
        <f>VLOOKUP(B676,PTN!A:B,2,FALSE)</f>
        <v>INSTITUT TEKNOLOGI SUMATERA</v>
      </c>
      <c r="Q676" t="str">
        <f t="shared" si="10"/>
        <v>INSTITUT TEKNOLOGI SUMATERATEKNIK PERTAMBANGAN</v>
      </c>
    </row>
    <row r="677" spans="1:17" ht="15.75" thickBot="1" x14ac:dyDescent="0.3">
      <c r="A677" s="7">
        <v>676</v>
      </c>
      <c r="B677" s="6">
        <v>22</v>
      </c>
      <c r="C677" s="17">
        <v>1921056</v>
      </c>
      <c r="D677" t="s">
        <v>54</v>
      </c>
      <c r="E677" s="17">
        <v>117</v>
      </c>
      <c r="F677" s="10" t="s">
        <v>20</v>
      </c>
      <c r="I677" s="38"/>
      <c r="J677" s="138">
        <v>600</v>
      </c>
      <c r="K677" s="138" t="s">
        <v>1292</v>
      </c>
      <c r="L677" s="138" t="s">
        <v>1292</v>
      </c>
      <c r="M677" s="32"/>
      <c r="N677" s="83">
        <v>600</v>
      </c>
      <c r="P677" t="str">
        <f>VLOOKUP(B677,PTN!A:B,2,FALSE)</f>
        <v>INSTITUT TEKNOLOGI SUMATERA</v>
      </c>
      <c r="Q677" t="str">
        <f t="shared" si="10"/>
        <v>INSTITUT TEKNOLOGI SUMATERATEKNIK SIPIL</v>
      </c>
    </row>
    <row r="678" spans="1:17" ht="15.75" thickBot="1" x14ac:dyDescent="0.3">
      <c r="A678" s="7">
        <v>677</v>
      </c>
      <c r="B678" s="6">
        <v>22</v>
      </c>
      <c r="C678" s="18">
        <v>1921242</v>
      </c>
      <c r="D678" t="s">
        <v>270</v>
      </c>
      <c r="E678" s="18">
        <v>59</v>
      </c>
      <c r="F678" s="10" t="s">
        <v>20</v>
      </c>
      <c r="I678" s="39"/>
      <c r="J678" s="138" t="s">
        <v>1292</v>
      </c>
      <c r="K678" s="138" t="s">
        <v>1292</v>
      </c>
      <c r="L678" s="138" t="s">
        <v>1292</v>
      </c>
      <c r="M678" s="33"/>
      <c r="N678" s="83" t="s">
        <v>1292</v>
      </c>
      <c r="P678" t="str">
        <f>VLOOKUP(B678,PTN!A:B,2,FALSE)</f>
        <v>INSTITUT TEKNOLOGI SUMATERA</v>
      </c>
      <c r="Q678" t="str">
        <f t="shared" si="10"/>
        <v>INSTITUT TEKNOLOGI SUMATERATEKNIK SISTEM ENERGI</v>
      </c>
    </row>
    <row r="679" spans="1:17" ht="15.75" thickBot="1" x14ac:dyDescent="0.3">
      <c r="A679" s="7">
        <v>678</v>
      </c>
      <c r="B679" s="6">
        <v>22</v>
      </c>
      <c r="C679" s="17">
        <v>1921234</v>
      </c>
      <c r="D679" t="s">
        <v>166</v>
      </c>
      <c r="E679" s="17">
        <v>59</v>
      </c>
      <c r="F679" s="10" t="s">
        <v>20</v>
      </c>
      <c r="I679" s="38"/>
      <c r="J679" s="138" t="s">
        <v>1292</v>
      </c>
      <c r="K679" s="138" t="s">
        <v>1292</v>
      </c>
      <c r="L679" s="138" t="s">
        <v>1292</v>
      </c>
      <c r="M679" s="32"/>
      <c r="N679" s="83" t="s">
        <v>1292</v>
      </c>
      <c r="P679" t="str">
        <f>VLOOKUP(B679,PTN!A:B,2,FALSE)</f>
        <v>INSTITUT TEKNOLOGI SUMATERA</v>
      </c>
      <c r="Q679" t="str">
        <f t="shared" si="10"/>
        <v>INSTITUT TEKNOLOGI SUMATERATEKNOLOGI INDUSTRI PERTANIAN</v>
      </c>
    </row>
    <row r="680" spans="1:17" ht="15.75" thickBot="1" x14ac:dyDescent="0.3">
      <c r="A680" s="7">
        <v>679</v>
      </c>
      <c r="B680" s="6">
        <v>22</v>
      </c>
      <c r="C680" s="35">
        <v>1921257</v>
      </c>
      <c r="D680" t="s">
        <v>271</v>
      </c>
      <c r="E680" s="35">
        <v>59</v>
      </c>
      <c r="F680" s="10" t="s">
        <v>20</v>
      </c>
      <c r="I680" s="39"/>
      <c r="J680" s="138" t="s">
        <v>1292</v>
      </c>
      <c r="K680" s="138" t="s">
        <v>1292</v>
      </c>
      <c r="L680" s="138" t="s">
        <v>1292</v>
      </c>
      <c r="M680" s="33"/>
      <c r="N680" s="83" t="s">
        <v>1292</v>
      </c>
      <c r="P680" t="str">
        <f>VLOOKUP(B680,PTN!A:B,2,FALSE)</f>
        <v>INSTITUT TEKNOLOGI SUMATERA</v>
      </c>
      <c r="Q680" t="str">
        <f t="shared" si="10"/>
        <v>INSTITUT TEKNOLOGI SUMATERATEKNOLOGI PANGAN</v>
      </c>
    </row>
    <row r="681" spans="1:17" ht="16.5" thickTop="1" thickBot="1" x14ac:dyDescent="0.3">
      <c r="A681" s="7">
        <v>680</v>
      </c>
      <c r="B681" s="6">
        <v>21</v>
      </c>
      <c r="C681" s="12">
        <v>1911023</v>
      </c>
      <c r="D681" t="s">
        <v>37</v>
      </c>
      <c r="E681" s="12">
        <v>30</v>
      </c>
      <c r="F681" s="10" t="s">
        <v>20</v>
      </c>
      <c r="I681" s="20"/>
      <c r="J681" s="138">
        <v>530</v>
      </c>
      <c r="K681" s="138" t="s">
        <v>1292</v>
      </c>
      <c r="L681" s="138" t="s">
        <v>1292</v>
      </c>
      <c r="M681" s="21"/>
      <c r="N681" s="83">
        <v>530</v>
      </c>
      <c r="P681" t="str">
        <f>VLOOKUP(B681,PTN!A:B,2,FALSE)</f>
        <v>UNIVERSITAS LAMPUNG</v>
      </c>
      <c r="Q681" t="str">
        <f t="shared" si="10"/>
        <v>UNIVERSITAS LAMPUNGAGRIBISNIS</v>
      </c>
    </row>
    <row r="682" spans="1:17" ht="15.75" thickBot="1" x14ac:dyDescent="0.3">
      <c r="A682" s="7">
        <v>681</v>
      </c>
      <c r="B682" s="6">
        <v>21</v>
      </c>
      <c r="C682" s="13">
        <v>1911286</v>
      </c>
      <c r="D682" t="s">
        <v>250</v>
      </c>
      <c r="E682" s="13">
        <v>25</v>
      </c>
      <c r="F682" s="10" t="s">
        <v>20</v>
      </c>
      <c r="I682" s="22"/>
      <c r="J682" s="138" t="s">
        <v>1292</v>
      </c>
      <c r="K682" s="138" t="s">
        <v>1292</v>
      </c>
      <c r="L682" s="138" t="s">
        <v>1292</v>
      </c>
      <c r="M682" s="21"/>
      <c r="N682" s="83" t="s">
        <v>1292</v>
      </c>
      <c r="P682" t="str">
        <f>VLOOKUP(B682,PTN!A:B,2,FALSE)</f>
        <v>UNIVERSITAS LAMPUNG</v>
      </c>
      <c r="Q682" t="str">
        <f t="shared" si="10"/>
        <v>UNIVERSITAS LAMPUNGAGRONOMI</v>
      </c>
    </row>
    <row r="683" spans="1:17" ht="16.5" thickTop="1" thickBot="1" x14ac:dyDescent="0.3">
      <c r="A683" s="7">
        <v>682</v>
      </c>
      <c r="B683" s="6">
        <v>21</v>
      </c>
      <c r="C683" s="12">
        <v>1911015</v>
      </c>
      <c r="D683" t="s">
        <v>64</v>
      </c>
      <c r="E683" s="12">
        <v>18</v>
      </c>
      <c r="F683" s="10" t="s">
        <v>20</v>
      </c>
      <c r="I683" s="23"/>
      <c r="J683" s="138" t="s">
        <v>1292</v>
      </c>
      <c r="K683" s="138" t="s">
        <v>1292</v>
      </c>
      <c r="L683" s="138" t="s">
        <v>1292</v>
      </c>
      <c r="M683" s="25"/>
      <c r="N683" s="83" t="s">
        <v>1292</v>
      </c>
      <c r="P683" t="str">
        <f>VLOOKUP(B683,PTN!A:B,2,FALSE)</f>
        <v>UNIVERSITAS LAMPUNG</v>
      </c>
      <c r="Q683" t="str">
        <f t="shared" si="10"/>
        <v>UNIVERSITAS LAMPUNGAGROTEKNOLOGI</v>
      </c>
    </row>
    <row r="684" spans="1:17" ht="16.5" thickTop="1" thickBot="1" x14ac:dyDescent="0.3">
      <c r="A684" s="7">
        <v>683</v>
      </c>
      <c r="B684" s="6">
        <v>21</v>
      </c>
      <c r="C684" s="13">
        <v>1911232</v>
      </c>
      <c r="D684" t="s">
        <v>19</v>
      </c>
      <c r="E684" s="13">
        <v>10</v>
      </c>
      <c r="F684" s="10" t="s">
        <v>20</v>
      </c>
      <c r="I684" s="26"/>
      <c r="J684" s="138" t="s">
        <v>1292</v>
      </c>
      <c r="K684" s="138" t="s">
        <v>1292</v>
      </c>
      <c r="L684" s="138" t="s">
        <v>1292</v>
      </c>
      <c r="M684" s="27"/>
      <c r="N684" s="83" t="s">
        <v>1292</v>
      </c>
      <c r="P684" t="str">
        <f>VLOOKUP(B684,PTN!A:B,2,FALSE)</f>
        <v>UNIVERSITAS LAMPUNG</v>
      </c>
      <c r="Q684" t="str">
        <f t="shared" si="10"/>
        <v>UNIVERSITAS LAMPUNGARSITEKTUR</v>
      </c>
    </row>
    <row r="685" spans="1:17" ht="15.75" thickBot="1" x14ac:dyDescent="0.3">
      <c r="A685" s="7">
        <v>684</v>
      </c>
      <c r="B685" s="6">
        <v>21</v>
      </c>
      <c r="C685" s="12">
        <v>1911062</v>
      </c>
      <c r="D685" t="s">
        <v>21</v>
      </c>
      <c r="E685" s="12">
        <v>30</v>
      </c>
      <c r="F685" s="10" t="s">
        <v>20</v>
      </c>
      <c r="I685" s="87"/>
      <c r="J685" s="138" t="s">
        <v>1292</v>
      </c>
      <c r="K685" s="138" t="s">
        <v>1292</v>
      </c>
      <c r="L685" s="138" t="s">
        <v>1292</v>
      </c>
      <c r="M685" s="28"/>
      <c r="N685" s="83" t="s">
        <v>1292</v>
      </c>
      <c r="P685" t="str">
        <f>VLOOKUP(B685,PTN!A:B,2,FALSE)</f>
        <v>UNIVERSITAS LAMPUNG</v>
      </c>
      <c r="Q685" t="str">
        <f t="shared" si="10"/>
        <v>UNIVERSITAS LAMPUNGBIOLOGI</v>
      </c>
    </row>
    <row r="686" spans="1:17" ht="15.75" thickBot="1" x14ac:dyDescent="0.3">
      <c r="A686" s="7">
        <v>685</v>
      </c>
      <c r="B686" s="6">
        <v>21</v>
      </c>
      <c r="C686" s="13">
        <v>1911367</v>
      </c>
      <c r="D686" t="s">
        <v>272</v>
      </c>
      <c r="E686" s="13">
        <v>12</v>
      </c>
      <c r="F686" s="10" t="s">
        <v>20</v>
      </c>
      <c r="I686" s="26"/>
      <c r="J686" s="138" t="s">
        <v>1292</v>
      </c>
      <c r="K686" s="138" t="s">
        <v>1292</v>
      </c>
      <c r="L686" s="138" t="s">
        <v>1292</v>
      </c>
      <c r="M686" s="27"/>
      <c r="N686" s="83" t="s">
        <v>1292</v>
      </c>
      <c r="P686" t="str">
        <f>VLOOKUP(B686,PTN!A:B,2,FALSE)</f>
        <v>UNIVERSITAS LAMPUNG</v>
      </c>
      <c r="Q686" t="str">
        <f t="shared" si="10"/>
        <v>UNIVERSITAS LAMPUNGBIOLOGI TERAPAN</v>
      </c>
    </row>
    <row r="687" spans="1:17" ht="15.75" thickBot="1" x14ac:dyDescent="0.3">
      <c r="A687" s="7">
        <v>686</v>
      </c>
      <c r="B687" s="6">
        <v>21</v>
      </c>
      <c r="C687" s="12">
        <v>1911216</v>
      </c>
      <c r="D687" t="s">
        <v>39</v>
      </c>
      <c r="E687" s="12">
        <v>18</v>
      </c>
      <c r="F687" s="10" t="s">
        <v>20</v>
      </c>
      <c r="I687" s="87"/>
      <c r="J687" s="138" t="s">
        <v>1292</v>
      </c>
      <c r="K687" s="138" t="s">
        <v>1292</v>
      </c>
      <c r="L687" s="138" t="s">
        <v>1292</v>
      </c>
      <c r="M687" s="28"/>
      <c r="N687" s="83" t="s">
        <v>1292</v>
      </c>
      <c r="P687" t="str">
        <f>VLOOKUP(B687,PTN!A:B,2,FALSE)</f>
        <v>UNIVERSITAS LAMPUNG</v>
      </c>
      <c r="Q687" t="str">
        <f t="shared" si="10"/>
        <v>UNIVERSITAS LAMPUNGBUDIDAYA PERAIRAN</v>
      </c>
    </row>
    <row r="688" spans="1:17" ht="15.75" thickBot="1" x14ac:dyDescent="0.3">
      <c r="A688" s="7">
        <v>687</v>
      </c>
      <c r="B688" s="6">
        <v>21</v>
      </c>
      <c r="C688" s="13">
        <v>1911352</v>
      </c>
      <c r="D688" t="s">
        <v>77</v>
      </c>
      <c r="E688" s="13">
        <v>8</v>
      </c>
      <c r="F688" s="10" t="s">
        <v>20</v>
      </c>
      <c r="I688" s="26"/>
      <c r="J688" s="138">
        <v>601.05999999999995</v>
      </c>
      <c r="K688" s="138">
        <v>607.755</v>
      </c>
      <c r="L688" s="138">
        <v>594.3649999999999</v>
      </c>
      <c r="M688" s="27"/>
      <c r="N688" s="83">
        <v>601.05999999999995</v>
      </c>
      <c r="P688" t="str">
        <f>VLOOKUP(B688,PTN!A:B,2,FALSE)</f>
        <v>UNIVERSITAS LAMPUNG</v>
      </c>
      <c r="Q688" t="str">
        <f t="shared" si="10"/>
        <v>UNIVERSITAS LAMPUNGFARMASI</v>
      </c>
    </row>
    <row r="689" spans="1:17" ht="15.75" thickBot="1" x14ac:dyDescent="0.3">
      <c r="A689" s="7">
        <v>688</v>
      </c>
      <c r="B689" s="6">
        <v>21</v>
      </c>
      <c r="C689" s="12">
        <v>1911127</v>
      </c>
      <c r="D689" t="s">
        <v>65</v>
      </c>
      <c r="E689" s="12">
        <v>42</v>
      </c>
      <c r="F689" s="10" t="s">
        <v>20</v>
      </c>
      <c r="I689" s="87"/>
      <c r="J689" s="138" t="s">
        <v>1292</v>
      </c>
      <c r="K689" s="138" t="s">
        <v>1292</v>
      </c>
      <c r="L689" s="138" t="s">
        <v>1292</v>
      </c>
      <c r="M689" s="28"/>
      <c r="N689" s="83" t="s">
        <v>1292</v>
      </c>
      <c r="P689" t="str">
        <f>VLOOKUP(B689,PTN!A:B,2,FALSE)</f>
        <v>UNIVERSITAS LAMPUNG</v>
      </c>
      <c r="Q689" t="str">
        <f t="shared" si="10"/>
        <v>UNIVERSITAS LAMPUNGFISIKA</v>
      </c>
    </row>
    <row r="690" spans="1:17" ht="15.75" thickBot="1" x14ac:dyDescent="0.3">
      <c r="A690" s="7">
        <v>689</v>
      </c>
      <c r="B690" s="6">
        <v>21</v>
      </c>
      <c r="C690" s="13">
        <v>1911313</v>
      </c>
      <c r="D690" t="s">
        <v>40</v>
      </c>
      <c r="E690" s="13">
        <v>15</v>
      </c>
      <c r="F690" s="10" t="s">
        <v>20</v>
      </c>
      <c r="I690" s="26"/>
      <c r="J690" s="138" t="s">
        <v>1292</v>
      </c>
      <c r="K690" s="138" t="s">
        <v>1292</v>
      </c>
      <c r="L690" s="138" t="s">
        <v>1292</v>
      </c>
      <c r="M690" s="27"/>
      <c r="N690" s="83" t="s">
        <v>1292</v>
      </c>
      <c r="P690" t="str">
        <f>VLOOKUP(B690,PTN!A:B,2,FALSE)</f>
        <v>UNIVERSITAS LAMPUNG</v>
      </c>
      <c r="Q690" t="str">
        <f t="shared" si="10"/>
        <v>UNIVERSITAS LAMPUNGILMU KELAUTAN</v>
      </c>
    </row>
    <row r="691" spans="1:17" ht="15.75" thickBot="1" x14ac:dyDescent="0.3">
      <c r="A691" s="7">
        <v>690</v>
      </c>
      <c r="B691" s="6">
        <v>21</v>
      </c>
      <c r="C691" s="12">
        <v>1911224</v>
      </c>
      <c r="D691" t="s">
        <v>111</v>
      </c>
      <c r="E691" s="12">
        <v>30</v>
      </c>
      <c r="F691" s="10" t="s">
        <v>20</v>
      </c>
      <c r="I691" s="87"/>
      <c r="J691" s="138" t="s">
        <v>1292</v>
      </c>
      <c r="K691" s="138" t="s">
        <v>1292</v>
      </c>
      <c r="L691" s="138" t="s">
        <v>1292</v>
      </c>
      <c r="M691" s="28"/>
      <c r="N691" s="83" t="s">
        <v>1292</v>
      </c>
      <c r="P691" t="str">
        <f>VLOOKUP(B691,PTN!A:B,2,FALSE)</f>
        <v>UNIVERSITAS LAMPUNG</v>
      </c>
      <c r="Q691" t="str">
        <f t="shared" si="10"/>
        <v>UNIVERSITAS LAMPUNGILMU KOMPUTER</v>
      </c>
    </row>
    <row r="692" spans="1:17" ht="15.75" thickBot="1" x14ac:dyDescent="0.3">
      <c r="A692" s="7">
        <v>691</v>
      </c>
      <c r="B692" s="6">
        <v>21</v>
      </c>
      <c r="C692" s="13">
        <v>1911271</v>
      </c>
      <c r="D692" t="s">
        <v>79</v>
      </c>
      <c r="E692" s="13">
        <v>15</v>
      </c>
      <c r="F692" s="10" t="s">
        <v>20</v>
      </c>
      <c r="I692" s="26"/>
      <c r="J692" s="138" t="s">
        <v>1292</v>
      </c>
      <c r="K692" s="138" t="s">
        <v>1292</v>
      </c>
      <c r="L692" s="138" t="s">
        <v>1292</v>
      </c>
      <c r="M692" s="27"/>
      <c r="N692" s="83" t="s">
        <v>1292</v>
      </c>
      <c r="P692" t="str">
        <f>VLOOKUP(B692,PTN!A:B,2,FALSE)</f>
        <v>UNIVERSITAS LAMPUNG</v>
      </c>
      <c r="Q692" t="str">
        <f t="shared" si="10"/>
        <v>UNIVERSITAS LAMPUNGILMU TANAH</v>
      </c>
    </row>
    <row r="693" spans="1:17" ht="15.75" thickBot="1" x14ac:dyDescent="0.3">
      <c r="A693" s="7">
        <v>692</v>
      </c>
      <c r="B693" s="6">
        <v>21</v>
      </c>
      <c r="C693" s="12">
        <v>1911093</v>
      </c>
      <c r="D693" t="s">
        <v>81</v>
      </c>
      <c r="E693" s="12">
        <v>38</v>
      </c>
      <c r="F693" s="10" t="s">
        <v>20</v>
      </c>
      <c r="I693" s="87"/>
      <c r="J693" s="138" t="s">
        <v>1292</v>
      </c>
      <c r="K693" s="138" t="s">
        <v>1292</v>
      </c>
      <c r="L693" s="138" t="s">
        <v>1292</v>
      </c>
      <c r="M693" s="28"/>
      <c r="N693" s="83" t="s">
        <v>1292</v>
      </c>
      <c r="P693" t="str">
        <f>VLOOKUP(B693,PTN!A:B,2,FALSE)</f>
        <v>UNIVERSITAS LAMPUNG</v>
      </c>
      <c r="Q693" t="str">
        <f t="shared" si="10"/>
        <v>UNIVERSITAS LAMPUNGKEHUTANAN</v>
      </c>
    </row>
    <row r="694" spans="1:17" ht="15.75" thickBot="1" x14ac:dyDescent="0.3">
      <c r="A694" s="7">
        <v>693</v>
      </c>
      <c r="B694" s="6">
        <v>21</v>
      </c>
      <c r="C694" s="13">
        <v>1911054</v>
      </c>
      <c r="D694" t="s">
        <v>22</v>
      </c>
      <c r="E694" s="13">
        <v>42</v>
      </c>
      <c r="F694" s="10" t="s">
        <v>20</v>
      </c>
      <c r="I694" s="26"/>
      <c r="J694" s="138" t="s">
        <v>1292</v>
      </c>
      <c r="K694" s="138" t="s">
        <v>1292</v>
      </c>
      <c r="L694" s="138" t="s">
        <v>1292</v>
      </c>
      <c r="M694" s="27"/>
      <c r="N694" s="83" t="s">
        <v>1292</v>
      </c>
      <c r="P694" t="str">
        <f>VLOOKUP(B694,PTN!A:B,2,FALSE)</f>
        <v>UNIVERSITAS LAMPUNG</v>
      </c>
      <c r="Q694" t="str">
        <f t="shared" si="10"/>
        <v>UNIVERSITAS LAMPUNGKIMIA</v>
      </c>
    </row>
    <row r="695" spans="1:17" ht="15.75" thickBot="1" x14ac:dyDescent="0.3">
      <c r="A695" s="7">
        <v>694</v>
      </c>
      <c r="B695" s="6">
        <v>21</v>
      </c>
      <c r="C695" s="12">
        <v>1911112</v>
      </c>
      <c r="D695" t="s">
        <v>66</v>
      </c>
      <c r="E695" s="12">
        <v>42</v>
      </c>
      <c r="F695" s="10" t="s">
        <v>20</v>
      </c>
      <c r="I695" s="87"/>
      <c r="J695" s="138" t="s">
        <v>1292</v>
      </c>
      <c r="K695" s="138" t="s">
        <v>1292</v>
      </c>
      <c r="L695" s="138" t="s">
        <v>1292</v>
      </c>
      <c r="M695" s="28"/>
      <c r="N695" s="83" t="s">
        <v>1292</v>
      </c>
      <c r="P695" t="str">
        <f>VLOOKUP(B695,PTN!A:B,2,FALSE)</f>
        <v>UNIVERSITAS LAMPUNG</v>
      </c>
      <c r="Q695" t="str">
        <f t="shared" si="10"/>
        <v>UNIVERSITAS LAMPUNGMATEMATIKA</v>
      </c>
    </row>
    <row r="696" spans="1:17" ht="15.75" thickBot="1" x14ac:dyDescent="0.3">
      <c r="A696" s="7">
        <v>695</v>
      </c>
      <c r="B696" s="6">
        <v>21</v>
      </c>
      <c r="C696" s="13">
        <v>1911336</v>
      </c>
      <c r="D696" t="s">
        <v>273</v>
      </c>
      <c r="E696" s="13">
        <v>18</v>
      </c>
      <c r="F696" s="10" t="s">
        <v>20</v>
      </c>
      <c r="I696" s="26"/>
      <c r="J696" s="138" t="s">
        <v>1292</v>
      </c>
      <c r="K696" s="138" t="s">
        <v>1292</v>
      </c>
      <c r="L696" s="138" t="s">
        <v>1292</v>
      </c>
      <c r="M696" s="27"/>
      <c r="N696" s="83" t="s">
        <v>1292</v>
      </c>
      <c r="P696" t="str">
        <f>VLOOKUP(B696,PTN!A:B,2,FALSE)</f>
        <v>UNIVERSITAS LAMPUNG</v>
      </c>
      <c r="Q696" t="str">
        <f t="shared" si="10"/>
        <v>UNIVERSITAS LAMPUNGNUTRISI DAN TEKNOLOGI PANGAN TERNAK</v>
      </c>
    </row>
    <row r="697" spans="1:17" ht="15.75" thickBot="1" x14ac:dyDescent="0.3">
      <c r="A697" s="7">
        <v>696</v>
      </c>
      <c r="B697" s="6">
        <v>21</v>
      </c>
      <c r="C697" s="12">
        <v>1911182</v>
      </c>
      <c r="D697" t="s">
        <v>214</v>
      </c>
      <c r="E697" s="12">
        <v>20</v>
      </c>
      <c r="F697" s="10" t="s">
        <v>20</v>
      </c>
      <c r="I697" s="87"/>
      <c r="J697" s="138" t="s">
        <v>1292</v>
      </c>
      <c r="K697" s="138" t="s">
        <v>1292</v>
      </c>
      <c r="L697" s="138" t="s">
        <v>1292</v>
      </c>
      <c r="M697" s="28"/>
      <c r="N697" s="83" t="s">
        <v>1292</v>
      </c>
      <c r="P697" t="str">
        <f>VLOOKUP(B697,PTN!A:B,2,FALSE)</f>
        <v>UNIVERSITAS LAMPUNG</v>
      </c>
      <c r="Q697" t="str">
        <f t="shared" si="10"/>
        <v>UNIVERSITAS LAMPUNGPEND. BIOLOGI</v>
      </c>
    </row>
    <row r="698" spans="1:17" ht="15.75" thickBot="1" x14ac:dyDescent="0.3">
      <c r="A698" s="7">
        <v>697</v>
      </c>
      <c r="B698" s="6">
        <v>21</v>
      </c>
      <c r="C698" s="13">
        <v>1911166</v>
      </c>
      <c r="D698" t="s">
        <v>216</v>
      </c>
      <c r="E698" s="13">
        <v>20</v>
      </c>
      <c r="F698" s="10" t="s">
        <v>20</v>
      </c>
      <c r="I698" s="26"/>
      <c r="J698" s="138" t="s">
        <v>1292</v>
      </c>
      <c r="K698" s="138" t="s">
        <v>1292</v>
      </c>
      <c r="L698" s="138" t="s">
        <v>1292</v>
      </c>
      <c r="M698" s="27"/>
      <c r="N698" s="83" t="s">
        <v>1292</v>
      </c>
      <c r="P698" t="str">
        <f>VLOOKUP(B698,PTN!A:B,2,FALSE)</f>
        <v>UNIVERSITAS LAMPUNG</v>
      </c>
      <c r="Q698" t="str">
        <f t="shared" si="10"/>
        <v>UNIVERSITAS LAMPUNGPEND. FISIKA</v>
      </c>
    </row>
    <row r="699" spans="1:17" ht="15.75" thickBot="1" x14ac:dyDescent="0.3">
      <c r="A699" s="7">
        <v>698</v>
      </c>
      <c r="B699" s="6">
        <v>21</v>
      </c>
      <c r="C699" s="12">
        <v>1911344</v>
      </c>
      <c r="D699" t="s">
        <v>274</v>
      </c>
      <c r="E699" s="12">
        <v>8</v>
      </c>
      <c r="F699" s="10" t="s">
        <v>20</v>
      </c>
      <c r="I699" s="87"/>
      <c r="J699" s="138" t="s">
        <v>1292</v>
      </c>
      <c r="K699" s="138" t="s">
        <v>1292</v>
      </c>
      <c r="L699" s="138" t="s">
        <v>1292</v>
      </c>
      <c r="M699" s="28"/>
      <c r="N699" s="83" t="s">
        <v>1292</v>
      </c>
      <c r="P699" t="str">
        <f>VLOOKUP(B699,PTN!A:B,2,FALSE)</f>
        <v>UNIVERSITAS LAMPUNG</v>
      </c>
      <c r="Q699" t="str">
        <f t="shared" si="10"/>
        <v>UNIVERSITAS LAMPUNGPENDIDIKAN VOKASIONAL TEKNOLOGI INFORMASI</v>
      </c>
    </row>
    <row r="700" spans="1:17" ht="15.75" thickBot="1" x14ac:dyDescent="0.3">
      <c r="A700" s="7">
        <v>699</v>
      </c>
      <c r="B700" s="6">
        <v>21</v>
      </c>
      <c r="C700" s="13">
        <v>1911201</v>
      </c>
      <c r="D700" t="s">
        <v>275</v>
      </c>
      <c r="E700" s="13">
        <v>48</v>
      </c>
      <c r="F700" s="10" t="s">
        <v>20</v>
      </c>
      <c r="I700" s="26"/>
      <c r="J700" s="138">
        <v>663.55</v>
      </c>
      <c r="K700" s="138">
        <v>670.78499999999997</v>
      </c>
      <c r="L700" s="138">
        <v>656.31499999999994</v>
      </c>
      <c r="M700" s="27"/>
      <c r="N700" s="83">
        <v>663.55</v>
      </c>
      <c r="P700" t="str">
        <f>VLOOKUP(B700,PTN!A:B,2,FALSE)</f>
        <v>UNIVERSITAS LAMPUNG</v>
      </c>
      <c r="Q700" t="str">
        <f t="shared" si="10"/>
        <v>UNIVERSITAS LAMPUNGPEND. KEDOKTERAN</v>
      </c>
    </row>
    <row r="701" spans="1:17" ht="15.75" thickBot="1" x14ac:dyDescent="0.3">
      <c r="A701" s="7">
        <v>700</v>
      </c>
      <c r="B701" s="6">
        <v>21</v>
      </c>
      <c r="C701" s="12">
        <v>1911174</v>
      </c>
      <c r="D701" t="s">
        <v>217</v>
      </c>
      <c r="E701" s="12">
        <v>20</v>
      </c>
      <c r="F701" s="10" t="s">
        <v>20</v>
      </c>
      <c r="I701" s="87"/>
      <c r="J701" s="138" t="s">
        <v>1292</v>
      </c>
      <c r="K701" s="138" t="s">
        <v>1292</v>
      </c>
      <c r="L701" s="138" t="s">
        <v>1292</v>
      </c>
      <c r="M701" s="28"/>
      <c r="N701" s="83" t="s">
        <v>1292</v>
      </c>
      <c r="P701" t="str">
        <f>VLOOKUP(B701,PTN!A:B,2,FALSE)</f>
        <v>UNIVERSITAS LAMPUNG</v>
      </c>
      <c r="Q701" t="str">
        <f t="shared" si="10"/>
        <v>UNIVERSITAS LAMPUNGPEND. KIMIA</v>
      </c>
    </row>
    <row r="702" spans="1:17" ht="15.75" thickBot="1" x14ac:dyDescent="0.3">
      <c r="A702" s="7">
        <v>701</v>
      </c>
      <c r="B702" s="6">
        <v>21</v>
      </c>
      <c r="C702" s="13">
        <v>1911151</v>
      </c>
      <c r="D702" t="s">
        <v>218</v>
      </c>
      <c r="E702" s="13">
        <v>20</v>
      </c>
      <c r="F702" s="10" t="s">
        <v>20</v>
      </c>
      <c r="I702" s="26"/>
      <c r="J702" s="138" t="s">
        <v>1292</v>
      </c>
      <c r="K702" s="138" t="s">
        <v>1292</v>
      </c>
      <c r="L702" s="138" t="s">
        <v>1292</v>
      </c>
      <c r="M702" s="27"/>
      <c r="N702" s="83" t="s">
        <v>1292</v>
      </c>
      <c r="P702" t="str">
        <f>VLOOKUP(B702,PTN!A:B,2,FALSE)</f>
        <v>UNIVERSITAS LAMPUNG</v>
      </c>
      <c r="Q702" t="str">
        <f t="shared" si="10"/>
        <v>UNIVERSITAS LAMPUNGPEND. MATEMATIKA</v>
      </c>
    </row>
    <row r="703" spans="1:17" ht="15.75" thickBot="1" x14ac:dyDescent="0.3">
      <c r="A703" s="7">
        <v>702</v>
      </c>
      <c r="B703" s="6">
        <v>21</v>
      </c>
      <c r="C703" s="12">
        <v>1911305</v>
      </c>
      <c r="D703" t="s">
        <v>163</v>
      </c>
      <c r="E703" s="12">
        <v>25</v>
      </c>
      <c r="F703" s="10" t="s">
        <v>20</v>
      </c>
      <c r="I703" s="87"/>
      <c r="J703" s="138" t="s">
        <v>1292</v>
      </c>
      <c r="K703" s="138" t="s">
        <v>1292</v>
      </c>
      <c r="L703" s="138" t="s">
        <v>1292</v>
      </c>
      <c r="M703" s="28"/>
      <c r="N703" s="83" t="s">
        <v>1292</v>
      </c>
      <c r="P703" t="str">
        <f>VLOOKUP(B703,PTN!A:B,2,FALSE)</f>
        <v>UNIVERSITAS LAMPUNG</v>
      </c>
      <c r="Q703" t="str">
        <f t="shared" si="10"/>
        <v>UNIVERSITAS LAMPUNGPENYULUHAN PERTANIAN</v>
      </c>
    </row>
    <row r="704" spans="1:17" ht="15.75" thickBot="1" x14ac:dyDescent="0.3">
      <c r="A704" s="7">
        <v>703</v>
      </c>
      <c r="B704" s="6">
        <v>21</v>
      </c>
      <c r="C704" s="13">
        <v>1911085</v>
      </c>
      <c r="D704" t="s">
        <v>88</v>
      </c>
      <c r="E704" s="13">
        <v>18</v>
      </c>
      <c r="F704" s="10" t="s">
        <v>20</v>
      </c>
      <c r="I704" s="26"/>
      <c r="J704" s="138" t="s">
        <v>1292</v>
      </c>
      <c r="K704" s="138" t="s">
        <v>1292</v>
      </c>
      <c r="L704" s="138" t="s">
        <v>1292</v>
      </c>
      <c r="M704" s="27"/>
      <c r="N704" s="83" t="s">
        <v>1292</v>
      </c>
      <c r="P704" t="str">
        <f>VLOOKUP(B704,PTN!A:B,2,FALSE)</f>
        <v>UNIVERSITAS LAMPUNG</v>
      </c>
      <c r="Q704" t="str">
        <f t="shared" si="10"/>
        <v>UNIVERSITAS LAMPUNGPETERNAKAN</v>
      </c>
    </row>
    <row r="705" spans="1:17" ht="15.75" thickBot="1" x14ac:dyDescent="0.3">
      <c r="A705" s="7">
        <v>704</v>
      </c>
      <c r="B705" s="6">
        <v>21</v>
      </c>
      <c r="C705" s="12">
        <v>1911294</v>
      </c>
      <c r="D705" t="s">
        <v>89</v>
      </c>
      <c r="E705" s="12">
        <v>15</v>
      </c>
      <c r="F705" s="10" t="s">
        <v>20</v>
      </c>
      <c r="I705" s="87"/>
      <c r="J705" s="138" t="s">
        <v>1292</v>
      </c>
      <c r="K705" s="138" t="s">
        <v>1292</v>
      </c>
      <c r="L705" s="138" t="s">
        <v>1292</v>
      </c>
      <c r="M705" s="28"/>
      <c r="N705" s="83" t="s">
        <v>1292</v>
      </c>
      <c r="P705" t="str">
        <f>VLOOKUP(B705,PTN!A:B,2,FALSE)</f>
        <v>UNIVERSITAS LAMPUNG</v>
      </c>
      <c r="Q705" t="str">
        <f t="shared" si="10"/>
        <v>UNIVERSITAS LAMPUNGPROTEKSI TANAMAN</v>
      </c>
    </row>
    <row r="706" spans="1:17" ht="15.75" thickBot="1" x14ac:dyDescent="0.3">
      <c r="A706" s="7">
        <v>705</v>
      </c>
      <c r="B706" s="6">
        <v>21</v>
      </c>
      <c r="C706" s="13">
        <v>1911263</v>
      </c>
      <c r="D706" t="s">
        <v>276</v>
      </c>
      <c r="E706" s="13">
        <v>18</v>
      </c>
      <c r="F706" s="10" t="s">
        <v>20</v>
      </c>
      <c r="I706" s="26"/>
      <c r="J706" s="138" t="s">
        <v>1292</v>
      </c>
      <c r="K706" s="138" t="s">
        <v>1292</v>
      </c>
      <c r="L706" s="138" t="s">
        <v>1292</v>
      </c>
      <c r="M706" s="27"/>
      <c r="N706" s="83" t="s">
        <v>1292</v>
      </c>
      <c r="P706" t="str">
        <f>VLOOKUP(B706,PTN!A:B,2,FALSE)</f>
        <v>UNIVERSITAS LAMPUNG</v>
      </c>
      <c r="Q706" t="str">
        <f t="shared" si="10"/>
        <v>UNIVERSITAS LAMPUNGSUMBERDAYA AKUATIK</v>
      </c>
    </row>
    <row r="707" spans="1:17" ht="15.75" thickBot="1" x14ac:dyDescent="0.3">
      <c r="A707" s="7">
        <v>706</v>
      </c>
      <c r="B707" s="6">
        <v>21</v>
      </c>
      <c r="C707" s="12">
        <v>1911143</v>
      </c>
      <c r="D707" t="s">
        <v>48</v>
      </c>
      <c r="E707" s="12">
        <v>24</v>
      </c>
      <c r="F707" s="10" t="s">
        <v>20</v>
      </c>
      <c r="I707" s="87"/>
      <c r="J707" s="138" t="s">
        <v>1292</v>
      </c>
      <c r="K707" s="138" t="s">
        <v>1292</v>
      </c>
      <c r="L707" s="138" t="s">
        <v>1292</v>
      </c>
      <c r="M707" s="28"/>
      <c r="N707" s="83" t="s">
        <v>1292</v>
      </c>
      <c r="P707" t="str">
        <f>VLOOKUP(B707,PTN!A:B,2,FALSE)</f>
        <v>UNIVERSITAS LAMPUNG</v>
      </c>
      <c r="Q707" t="str">
        <f t="shared" ref="Q707:Q770" si="11">P707&amp;D707</f>
        <v>UNIVERSITAS LAMPUNGTEKNIK ELEKTRO</v>
      </c>
    </row>
    <row r="708" spans="1:17" ht="15.75" thickBot="1" x14ac:dyDescent="0.3">
      <c r="A708" s="7">
        <v>707</v>
      </c>
      <c r="B708" s="6">
        <v>21</v>
      </c>
      <c r="C708" s="13">
        <v>1911247</v>
      </c>
      <c r="D708" t="s">
        <v>277</v>
      </c>
      <c r="E708" s="13">
        <v>10</v>
      </c>
      <c r="F708" s="10" t="s">
        <v>20</v>
      </c>
      <c r="I708" s="26"/>
      <c r="J708" s="138" t="s">
        <v>1292</v>
      </c>
      <c r="K708" s="138" t="s">
        <v>1292</v>
      </c>
      <c r="L708" s="138" t="s">
        <v>1292</v>
      </c>
      <c r="M708" s="27"/>
      <c r="N708" s="83" t="s">
        <v>1292</v>
      </c>
      <c r="P708" t="str">
        <f>VLOOKUP(B708,PTN!A:B,2,FALSE)</f>
        <v>UNIVERSITAS LAMPUNG</v>
      </c>
      <c r="Q708" t="str">
        <f t="shared" si="11"/>
        <v>UNIVERSITAS LAMPUNGTEKNIK GEODESI</v>
      </c>
    </row>
    <row r="709" spans="1:17" ht="15.75" thickBot="1" x14ac:dyDescent="0.3">
      <c r="A709" s="7">
        <v>708</v>
      </c>
      <c r="B709" s="6">
        <v>21</v>
      </c>
      <c r="C709" s="12">
        <v>1911031</v>
      </c>
      <c r="D709" t="s">
        <v>91</v>
      </c>
      <c r="E709" s="12">
        <v>16</v>
      </c>
      <c r="F709" s="10" t="s">
        <v>20</v>
      </c>
      <c r="I709" s="87"/>
      <c r="J709" s="138" t="s">
        <v>1292</v>
      </c>
      <c r="K709" s="138" t="s">
        <v>1292</v>
      </c>
      <c r="L709" s="138" t="s">
        <v>1292</v>
      </c>
      <c r="M709" s="28"/>
      <c r="N709" s="83" t="s">
        <v>1292</v>
      </c>
      <c r="P709" t="str">
        <f>VLOOKUP(B709,PTN!A:B,2,FALSE)</f>
        <v>UNIVERSITAS LAMPUNG</v>
      </c>
      <c r="Q709" t="str">
        <f t="shared" si="11"/>
        <v>UNIVERSITAS LAMPUNGTEKNIK GEOFISIKA</v>
      </c>
    </row>
    <row r="710" spans="1:17" ht="15.75" thickBot="1" x14ac:dyDescent="0.3">
      <c r="A710" s="7">
        <v>709</v>
      </c>
      <c r="B710" s="6">
        <v>21</v>
      </c>
      <c r="C710" s="13">
        <v>1911255</v>
      </c>
      <c r="D710" t="s">
        <v>50</v>
      </c>
      <c r="E710" s="13">
        <v>16</v>
      </c>
      <c r="F710" s="10" t="s">
        <v>20</v>
      </c>
      <c r="I710" s="26"/>
      <c r="J710" s="138" t="s">
        <v>1292</v>
      </c>
      <c r="K710" s="138" t="s">
        <v>1292</v>
      </c>
      <c r="L710" s="138" t="s">
        <v>1292</v>
      </c>
      <c r="M710" s="27"/>
      <c r="N710" s="83" t="s">
        <v>1292</v>
      </c>
      <c r="P710" t="str">
        <f>VLOOKUP(B710,PTN!A:B,2,FALSE)</f>
        <v>UNIVERSITAS LAMPUNG</v>
      </c>
      <c r="Q710" t="str">
        <f t="shared" si="11"/>
        <v>UNIVERSITAS LAMPUNGTEKNIK INFORMATIKA</v>
      </c>
    </row>
    <row r="711" spans="1:17" ht="15.75" thickBot="1" x14ac:dyDescent="0.3">
      <c r="A711" s="7">
        <v>710</v>
      </c>
      <c r="B711" s="6">
        <v>21</v>
      </c>
      <c r="C711" s="12">
        <v>1911197</v>
      </c>
      <c r="D711" t="s">
        <v>51</v>
      </c>
      <c r="E711" s="12">
        <v>24</v>
      </c>
      <c r="F711" s="10" t="s">
        <v>20</v>
      </c>
      <c r="I711" s="87"/>
      <c r="J711" s="138" t="s">
        <v>1292</v>
      </c>
      <c r="K711" s="138" t="s">
        <v>1292</v>
      </c>
      <c r="L711" s="138" t="s">
        <v>1292</v>
      </c>
      <c r="M711" s="28"/>
      <c r="N711" s="83" t="s">
        <v>1292</v>
      </c>
      <c r="P711" t="str">
        <f>VLOOKUP(B711,PTN!A:B,2,FALSE)</f>
        <v>UNIVERSITAS LAMPUNG</v>
      </c>
      <c r="Q711" t="str">
        <f t="shared" si="11"/>
        <v>UNIVERSITAS LAMPUNGTEKNIK KIMIA</v>
      </c>
    </row>
    <row r="712" spans="1:17" ht="15.75" thickBot="1" x14ac:dyDescent="0.3">
      <c r="A712" s="7">
        <v>711</v>
      </c>
      <c r="B712" s="6">
        <v>21</v>
      </c>
      <c r="C712" s="13">
        <v>1911135</v>
      </c>
      <c r="D712" t="s">
        <v>53</v>
      </c>
      <c r="E712" s="13">
        <v>16</v>
      </c>
      <c r="F712" s="10" t="s">
        <v>20</v>
      </c>
      <c r="I712" s="26"/>
      <c r="J712" s="138" t="s">
        <v>1292</v>
      </c>
      <c r="K712" s="138" t="s">
        <v>1292</v>
      </c>
      <c r="L712" s="138" t="s">
        <v>1292</v>
      </c>
      <c r="M712" s="27"/>
      <c r="N712" s="83" t="s">
        <v>1292</v>
      </c>
      <c r="P712" t="str">
        <f>VLOOKUP(B712,PTN!A:B,2,FALSE)</f>
        <v>UNIVERSITAS LAMPUNG</v>
      </c>
      <c r="Q712" t="str">
        <f t="shared" si="11"/>
        <v>UNIVERSITAS LAMPUNGTEKNIK MESIN</v>
      </c>
    </row>
    <row r="713" spans="1:17" ht="15.75" thickBot="1" x14ac:dyDescent="0.3">
      <c r="A713" s="7">
        <v>712</v>
      </c>
      <c r="B713" s="6">
        <v>21</v>
      </c>
      <c r="C713" s="12">
        <v>1911104</v>
      </c>
      <c r="D713" t="s">
        <v>95</v>
      </c>
      <c r="E713" s="12">
        <v>25</v>
      </c>
      <c r="F713" s="10" t="s">
        <v>20</v>
      </c>
      <c r="I713" s="87"/>
      <c r="J713" s="138" t="s">
        <v>1292</v>
      </c>
      <c r="K713" s="138" t="s">
        <v>1292</v>
      </c>
      <c r="L713" s="138" t="s">
        <v>1292</v>
      </c>
      <c r="M713" s="28"/>
      <c r="N713" s="83" t="s">
        <v>1292</v>
      </c>
      <c r="P713" t="str">
        <f>VLOOKUP(B713,PTN!A:B,2,FALSE)</f>
        <v>UNIVERSITAS LAMPUNG</v>
      </c>
      <c r="Q713" t="str">
        <f t="shared" si="11"/>
        <v>UNIVERSITAS LAMPUNGTEKNIK PERTANIAN</v>
      </c>
    </row>
    <row r="714" spans="1:17" ht="15.75" thickBot="1" x14ac:dyDescent="0.3">
      <c r="A714" s="7">
        <v>713</v>
      </c>
      <c r="B714" s="6">
        <v>21</v>
      </c>
      <c r="C714" s="13">
        <v>1911046</v>
      </c>
      <c r="D714" t="s">
        <v>54</v>
      </c>
      <c r="E714" s="13">
        <v>24</v>
      </c>
      <c r="F714" s="10" t="s">
        <v>20</v>
      </c>
      <c r="I714" s="26"/>
      <c r="J714" s="138" t="s">
        <v>1292</v>
      </c>
      <c r="K714" s="138" t="s">
        <v>1292</v>
      </c>
      <c r="L714" s="138" t="s">
        <v>1292</v>
      </c>
      <c r="M714" s="27"/>
      <c r="N714" s="83" t="s">
        <v>1292</v>
      </c>
      <c r="P714" t="str">
        <f>VLOOKUP(B714,PTN!A:B,2,FALSE)</f>
        <v>UNIVERSITAS LAMPUNG</v>
      </c>
      <c r="Q714" t="str">
        <f t="shared" si="11"/>
        <v>UNIVERSITAS LAMPUNGTEKNIK SIPIL</v>
      </c>
    </row>
    <row r="715" spans="1:17" ht="15.75" thickBot="1" x14ac:dyDescent="0.3">
      <c r="A715" s="7">
        <v>714</v>
      </c>
      <c r="B715" s="6">
        <v>21</v>
      </c>
      <c r="C715" s="12">
        <v>1911077</v>
      </c>
      <c r="D715" t="s">
        <v>96</v>
      </c>
      <c r="E715" s="12">
        <v>25</v>
      </c>
      <c r="F715" s="10" t="s">
        <v>20</v>
      </c>
      <c r="I715" s="87"/>
      <c r="J715" s="138" t="s">
        <v>1292</v>
      </c>
      <c r="K715" s="138" t="s">
        <v>1292</v>
      </c>
      <c r="L715" s="138" t="s">
        <v>1292</v>
      </c>
      <c r="M715" s="28"/>
      <c r="N715" s="83" t="s">
        <v>1292</v>
      </c>
      <c r="P715" t="str">
        <f>VLOOKUP(B715,PTN!A:B,2,FALSE)</f>
        <v>UNIVERSITAS LAMPUNG</v>
      </c>
      <c r="Q715" t="str">
        <f t="shared" si="11"/>
        <v>UNIVERSITAS LAMPUNGTEKNOLOGI HASIL PERTANIAN</v>
      </c>
    </row>
    <row r="716" spans="1:17" ht="15.75" thickBot="1" x14ac:dyDescent="0.3">
      <c r="A716" s="7">
        <v>715</v>
      </c>
      <c r="B716" s="6">
        <v>21</v>
      </c>
      <c r="C716" s="16">
        <v>1911321</v>
      </c>
      <c r="D716" t="s">
        <v>166</v>
      </c>
      <c r="E716" s="16">
        <v>15</v>
      </c>
      <c r="F716" s="10" t="s">
        <v>20</v>
      </c>
      <c r="I716" s="26"/>
      <c r="J716" s="138" t="s">
        <v>1292</v>
      </c>
      <c r="K716" s="138" t="s">
        <v>1292</v>
      </c>
      <c r="L716" s="138" t="s">
        <v>1292</v>
      </c>
      <c r="M716" s="27"/>
      <c r="N716" s="83" t="s">
        <v>1292</v>
      </c>
      <c r="P716" t="str">
        <f>VLOOKUP(B716,PTN!A:B,2,FALSE)</f>
        <v>UNIVERSITAS LAMPUNG</v>
      </c>
      <c r="Q716" t="str">
        <f t="shared" si="11"/>
        <v>UNIVERSITAS LAMPUNGTEKNOLOGI INDUSTRI PERTANIAN</v>
      </c>
    </row>
    <row r="717" spans="1:17" ht="16.5" thickTop="1" thickBot="1" x14ac:dyDescent="0.3">
      <c r="A717" s="7">
        <v>716</v>
      </c>
      <c r="B717" s="6">
        <v>21</v>
      </c>
      <c r="C717" s="12">
        <v>1912065</v>
      </c>
      <c r="D717" t="s">
        <v>55</v>
      </c>
      <c r="E717" s="12">
        <v>20</v>
      </c>
      <c r="F717" s="10" t="s">
        <v>13</v>
      </c>
      <c r="I717" s="20"/>
      <c r="J717" s="138">
        <v>605.71</v>
      </c>
      <c r="K717" s="138">
        <v>613.84773000000007</v>
      </c>
      <c r="L717" s="138">
        <v>597.57227</v>
      </c>
      <c r="M717" s="21"/>
      <c r="N717" s="83">
        <v>605.71</v>
      </c>
      <c r="P717" t="str">
        <f>VLOOKUP(B717,PTN!A:B,2,FALSE)</f>
        <v>UNIVERSITAS LAMPUNG</v>
      </c>
      <c r="Q717" t="str">
        <f t="shared" si="11"/>
        <v>UNIVERSITAS LAMPUNGAKUNTANSI</v>
      </c>
    </row>
    <row r="718" spans="1:17" ht="15.75" thickBot="1" x14ac:dyDescent="0.3">
      <c r="A718" s="7">
        <v>717</v>
      </c>
      <c r="B718" s="6">
        <v>21</v>
      </c>
      <c r="C718" s="13">
        <v>1912227</v>
      </c>
      <c r="D718" t="s">
        <v>278</v>
      </c>
      <c r="E718" s="13">
        <v>10</v>
      </c>
      <c r="F718" s="10" t="s">
        <v>13</v>
      </c>
      <c r="I718" s="22"/>
      <c r="J718" s="138" t="s">
        <v>1292</v>
      </c>
      <c r="K718" s="138" t="s">
        <v>1292</v>
      </c>
      <c r="L718" s="138" t="s">
        <v>1292</v>
      </c>
      <c r="M718" s="21"/>
      <c r="N718" s="83" t="s">
        <v>1292</v>
      </c>
      <c r="P718" t="str">
        <f>VLOOKUP(B718,PTN!A:B,2,FALSE)</f>
        <v>UNIVERSITAS LAMPUNG</v>
      </c>
      <c r="Q718" t="str">
        <f t="shared" si="11"/>
        <v>UNIVERSITAS LAMPUNGBAHASA PERANCIS</v>
      </c>
    </row>
    <row r="719" spans="1:17" ht="16.5" thickTop="1" thickBot="1" x14ac:dyDescent="0.3">
      <c r="A719" s="7">
        <v>718</v>
      </c>
      <c r="B719" s="6">
        <v>21</v>
      </c>
      <c r="C719" s="12">
        <v>1912154</v>
      </c>
      <c r="D719" t="s">
        <v>279</v>
      </c>
      <c r="E719" s="12">
        <v>20</v>
      </c>
      <c r="F719" s="10" t="s">
        <v>13</v>
      </c>
      <c r="I719" s="23"/>
      <c r="J719" s="138">
        <v>500</v>
      </c>
      <c r="K719" s="138" t="s">
        <v>1292</v>
      </c>
      <c r="L719" s="138" t="s">
        <v>1292</v>
      </c>
      <c r="M719" s="25"/>
      <c r="N719" s="83">
        <v>500</v>
      </c>
      <c r="P719" t="str">
        <f>VLOOKUP(B719,PTN!A:B,2,FALSE)</f>
        <v>UNIVERSITAS LAMPUNG</v>
      </c>
      <c r="Q719" t="str">
        <f t="shared" si="11"/>
        <v>UNIVERSITAS LAMPUNGBIMB. KONSELING</v>
      </c>
    </row>
    <row r="720" spans="1:17" ht="16.5" thickTop="1" thickBot="1" x14ac:dyDescent="0.3">
      <c r="A720" s="7">
        <v>719</v>
      </c>
      <c r="B720" s="6">
        <v>21</v>
      </c>
      <c r="C720" s="13">
        <v>1912212</v>
      </c>
      <c r="D720" t="s">
        <v>223</v>
      </c>
      <c r="E720" s="13">
        <v>25</v>
      </c>
      <c r="F720" s="10" t="s">
        <v>13</v>
      </c>
      <c r="I720" s="26"/>
      <c r="J720" s="138">
        <v>576.04</v>
      </c>
      <c r="K720" s="138">
        <v>584.17773</v>
      </c>
      <c r="L720" s="138">
        <v>567.90226999999993</v>
      </c>
      <c r="M720" s="27"/>
      <c r="N720" s="83">
        <v>576.04</v>
      </c>
      <c r="P720" t="str">
        <f>VLOOKUP(B720,PTN!A:B,2,FALSE)</f>
        <v>UNIVERSITAS LAMPUNG</v>
      </c>
      <c r="Q720" t="str">
        <f t="shared" si="11"/>
        <v>UNIVERSITAS LAMPUNGHUBUNGAN INTERNASIONAL</v>
      </c>
    </row>
    <row r="721" spans="1:17" ht="15.75" thickBot="1" x14ac:dyDescent="0.3">
      <c r="A721" s="7">
        <v>720</v>
      </c>
      <c r="B721" s="6">
        <v>21</v>
      </c>
      <c r="C721" s="12">
        <v>1912011</v>
      </c>
      <c r="D721" t="s">
        <v>112</v>
      </c>
      <c r="E721" s="12">
        <v>136</v>
      </c>
      <c r="F721" s="10" t="s">
        <v>13</v>
      </c>
      <c r="I721" s="87"/>
      <c r="J721" s="138" t="s">
        <v>1292</v>
      </c>
      <c r="K721" s="138" t="s">
        <v>1292</v>
      </c>
      <c r="L721" s="138" t="s">
        <v>1292</v>
      </c>
      <c r="M721" s="28"/>
      <c r="N721" s="83" t="s">
        <v>1292</v>
      </c>
      <c r="P721" t="str">
        <f>VLOOKUP(B721,PTN!A:B,2,FALSE)</f>
        <v>UNIVERSITAS LAMPUNG</v>
      </c>
      <c r="Q721" t="str">
        <f t="shared" si="11"/>
        <v>UNIVERSITAS LAMPUNGHUKUM</v>
      </c>
    </row>
    <row r="722" spans="1:17" ht="15.75" thickBot="1" x14ac:dyDescent="0.3">
      <c r="A722" s="7">
        <v>721</v>
      </c>
      <c r="B722" s="6">
        <v>21</v>
      </c>
      <c r="C722" s="13">
        <v>1912057</v>
      </c>
      <c r="D722" t="s">
        <v>280</v>
      </c>
      <c r="E722" s="13">
        <v>18</v>
      </c>
      <c r="F722" s="10" t="s">
        <v>13</v>
      </c>
      <c r="I722" s="26"/>
      <c r="J722" s="138">
        <v>575.99</v>
      </c>
      <c r="K722" s="138">
        <v>584.12773000000004</v>
      </c>
      <c r="L722" s="138">
        <v>567.85226999999998</v>
      </c>
      <c r="M722" s="27"/>
      <c r="N722" s="83">
        <v>575.99</v>
      </c>
      <c r="P722" t="str">
        <f>VLOOKUP(B722,PTN!A:B,2,FALSE)</f>
        <v>UNIVERSITAS LAMPUNG</v>
      </c>
      <c r="Q722" t="str">
        <f t="shared" si="11"/>
        <v>UNIVERSITAS LAMPUNGIESP</v>
      </c>
    </row>
    <row r="723" spans="1:17" ht="15.75" thickBot="1" x14ac:dyDescent="0.3">
      <c r="A723" s="7">
        <v>722</v>
      </c>
      <c r="B723" s="6">
        <v>21</v>
      </c>
      <c r="C723" s="12">
        <v>1912081</v>
      </c>
      <c r="D723" t="s">
        <v>281</v>
      </c>
      <c r="E723" s="12">
        <v>25</v>
      </c>
      <c r="F723" s="10" t="s">
        <v>13</v>
      </c>
      <c r="I723" s="87"/>
      <c r="J723" s="138" t="s">
        <v>1292</v>
      </c>
      <c r="K723" s="138" t="s">
        <v>1292</v>
      </c>
      <c r="L723" s="138" t="s">
        <v>1292</v>
      </c>
      <c r="M723" s="28"/>
      <c r="N723" s="83" t="s">
        <v>1292</v>
      </c>
      <c r="P723" t="str">
        <f>VLOOKUP(B723,PTN!A:B,2,FALSE)</f>
        <v>UNIVERSITAS LAMPUNG</v>
      </c>
      <c r="Q723" t="str">
        <f t="shared" si="11"/>
        <v>UNIVERSITAS LAMPUNGILMU ADM. NEGARA</v>
      </c>
    </row>
    <row r="724" spans="1:17" ht="15.75" thickBot="1" x14ac:dyDescent="0.3">
      <c r="A724" s="7">
        <v>723</v>
      </c>
      <c r="B724" s="6">
        <v>21</v>
      </c>
      <c r="C724" s="13">
        <v>1912096</v>
      </c>
      <c r="D724" t="s">
        <v>282</v>
      </c>
      <c r="E724" s="13">
        <v>25</v>
      </c>
      <c r="F724" s="10" t="s">
        <v>13</v>
      </c>
      <c r="I724" s="26"/>
      <c r="J724" s="138">
        <v>573.42999999999995</v>
      </c>
      <c r="K724" s="138">
        <v>581.56772999999998</v>
      </c>
      <c r="L724" s="138">
        <v>565.29226999999992</v>
      </c>
      <c r="M724" s="27"/>
      <c r="N724" s="83">
        <v>573.42999999999995</v>
      </c>
      <c r="P724" t="str">
        <f>VLOOKUP(B724,PTN!A:B,2,FALSE)</f>
        <v>UNIVERSITAS LAMPUNG</v>
      </c>
      <c r="Q724" t="str">
        <f t="shared" si="11"/>
        <v>UNIVERSITAS LAMPUNGILMU ADM. NIAGA/BISNIS</v>
      </c>
    </row>
    <row r="725" spans="1:17" ht="15.75" thickBot="1" x14ac:dyDescent="0.3">
      <c r="A725" s="7">
        <v>724</v>
      </c>
      <c r="B725" s="6">
        <v>21</v>
      </c>
      <c r="C725" s="12">
        <v>1912073</v>
      </c>
      <c r="D725" t="s">
        <v>60</v>
      </c>
      <c r="E725" s="12">
        <v>25</v>
      </c>
      <c r="F725" s="10" t="s">
        <v>13</v>
      </c>
      <c r="I725" s="87"/>
      <c r="J725" s="138">
        <v>579.6</v>
      </c>
      <c r="K725" s="138">
        <v>587.73773000000006</v>
      </c>
      <c r="L725" s="138">
        <v>571.46226999999999</v>
      </c>
      <c r="M725" s="28"/>
      <c r="N725" s="83">
        <v>579.6</v>
      </c>
      <c r="P725" t="str">
        <f>VLOOKUP(B725,PTN!A:B,2,FALSE)</f>
        <v>UNIVERSITAS LAMPUNG</v>
      </c>
      <c r="Q725" t="str">
        <f t="shared" si="11"/>
        <v>UNIVERSITAS LAMPUNGILMU KOMUNIKASI</v>
      </c>
    </row>
    <row r="726" spans="1:17" ht="15.75" thickBot="1" x14ac:dyDescent="0.3">
      <c r="A726" s="7">
        <v>725</v>
      </c>
      <c r="B726" s="6">
        <v>21</v>
      </c>
      <c r="C726" s="13">
        <v>1912034</v>
      </c>
      <c r="D726" t="s">
        <v>97</v>
      </c>
      <c r="E726" s="13">
        <v>25</v>
      </c>
      <c r="F726" s="10" t="s">
        <v>13</v>
      </c>
      <c r="I726" s="26"/>
      <c r="J726" s="138" t="s">
        <v>1292</v>
      </c>
      <c r="K726" s="138" t="s">
        <v>1292</v>
      </c>
      <c r="L726" s="138" t="s">
        <v>1292</v>
      </c>
      <c r="M726" s="27"/>
      <c r="N726" s="83" t="s">
        <v>1292</v>
      </c>
      <c r="P726" t="str">
        <f>VLOOKUP(B726,PTN!A:B,2,FALSE)</f>
        <v>UNIVERSITAS LAMPUNG</v>
      </c>
      <c r="Q726" t="str">
        <f t="shared" si="11"/>
        <v>UNIVERSITAS LAMPUNGILMU PEMERINTAHAN</v>
      </c>
    </row>
    <row r="727" spans="1:17" ht="15.75" thickBot="1" x14ac:dyDescent="0.3">
      <c r="A727" s="7">
        <v>726</v>
      </c>
      <c r="B727" s="6">
        <v>21</v>
      </c>
      <c r="C727" s="12">
        <v>1912042</v>
      </c>
      <c r="D727" t="s">
        <v>61</v>
      </c>
      <c r="E727" s="12">
        <v>24</v>
      </c>
      <c r="F727" s="10" t="s">
        <v>13</v>
      </c>
      <c r="I727" s="87"/>
      <c r="J727" s="138">
        <v>584.91999999999996</v>
      </c>
      <c r="K727" s="138">
        <v>593.05772999999999</v>
      </c>
      <c r="L727" s="138">
        <v>576.78226999999993</v>
      </c>
      <c r="M727" s="28"/>
      <c r="N727" s="83">
        <v>584.91999999999996</v>
      </c>
      <c r="P727" t="str">
        <f>VLOOKUP(B727,PTN!A:B,2,FALSE)</f>
        <v>UNIVERSITAS LAMPUNG</v>
      </c>
      <c r="Q727" t="str">
        <f t="shared" si="11"/>
        <v>UNIVERSITAS LAMPUNGMANAJEMEN</v>
      </c>
    </row>
    <row r="728" spans="1:17" ht="15.75" thickBot="1" x14ac:dyDescent="0.3">
      <c r="A728" s="7">
        <v>727</v>
      </c>
      <c r="B728" s="6">
        <v>21</v>
      </c>
      <c r="C728" s="13">
        <v>1912162</v>
      </c>
      <c r="D728" t="s">
        <v>283</v>
      </c>
      <c r="E728" s="13">
        <v>20</v>
      </c>
      <c r="F728" s="10" t="s">
        <v>13</v>
      </c>
      <c r="I728" s="26"/>
      <c r="J728" s="138" t="s">
        <v>1292</v>
      </c>
      <c r="K728" s="138" t="s">
        <v>1292</v>
      </c>
      <c r="L728" s="138" t="s">
        <v>1292</v>
      </c>
      <c r="M728" s="27"/>
      <c r="N728" s="83" t="s">
        <v>1292</v>
      </c>
      <c r="P728" t="str">
        <f>VLOOKUP(B728,PTN!A:B,2,FALSE)</f>
        <v>UNIVERSITAS LAMPUNG</v>
      </c>
      <c r="Q728" t="str">
        <f t="shared" si="11"/>
        <v>UNIVERSITAS LAMPUNGPEND. BAHASA INDONESIA</v>
      </c>
    </row>
    <row r="729" spans="1:17" ht="15.75" thickBot="1" x14ac:dyDescent="0.3">
      <c r="A729" s="7">
        <v>728</v>
      </c>
      <c r="B729" s="6">
        <v>21</v>
      </c>
      <c r="C729" s="12">
        <v>1912177</v>
      </c>
      <c r="D729" t="s">
        <v>284</v>
      </c>
      <c r="E729" s="12">
        <v>20</v>
      </c>
      <c r="F729" s="10" t="s">
        <v>13</v>
      </c>
      <c r="I729" s="87"/>
      <c r="J729" s="138" t="s">
        <v>1292</v>
      </c>
      <c r="K729" s="138" t="s">
        <v>1292</v>
      </c>
      <c r="L729" s="138" t="s">
        <v>1292</v>
      </c>
      <c r="M729" s="28"/>
      <c r="N729" s="83" t="s">
        <v>1292</v>
      </c>
      <c r="P729" t="str">
        <f>VLOOKUP(B729,PTN!A:B,2,FALSE)</f>
        <v>UNIVERSITAS LAMPUNG</v>
      </c>
      <c r="Q729" t="str">
        <f t="shared" si="11"/>
        <v>UNIVERSITAS LAMPUNGPEND. B. INGGRIS</v>
      </c>
    </row>
    <row r="730" spans="1:17" ht="15.75" thickBot="1" x14ac:dyDescent="0.3">
      <c r="A730" s="7">
        <v>729</v>
      </c>
      <c r="B730" s="6">
        <v>21</v>
      </c>
      <c r="C730" s="13">
        <v>1912131</v>
      </c>
      <c r="D730" t="s">
        <v>229</v>
      </c>
      <c r="E730" s="13">
        <v>20</v>
      </c>
      <c r="F730" s="10" t="s">
        <v>13</v>
      </c>
      <c r="I730" s="26"/>
      <c r="J730" s="138" t="s">
        <v>1292</v>
      </c>
      <c r="K730" s="138" t="s">
        <v>1292</v>
      </c>
      <c r="L730" s="138" t="s">
        <v>1292</v>
      </c>
      <c r="M730" s="27"/>
      <c r="N730" s="83" t="s">
        <v>1292</v>
      </c>
      <c r="P730" t="str">
        <f>VLOOKUP(B730,PTN!A:B,2,FALSE)</f>
        <v>UNIVERSITAS LAMPUNG</v>
      </c>
      <c r="Q730" t="str">
        <f t="shared" si="11"/>
        <v>UNIVERSITAS LAMPUNGPEND. EKONOMI</v>
      </c>
    </row>
    <row r="731" spans="1:17" ht="15.75" thickBot="1" x14ac:dyDescent="0.3">
      <c r="A731" s="7">
        <v>730</v>
      </c>
      <c r="B731" s="6">
        <v>21</v>
      </c>
      <c r="C731" s="12">
        <v>1912123</v>
      </c>
      <c r="D731" t="s">
        <v>285</v>
      </c>
      <c r="E731" s="12">
        <v>20</v>
      </c>
      <c r="F731" s="10" t="s">
        <v>13</v>
      </c>
      <c r="I731" s="87"/>
      <c r="J731" s="138" t="s">
        <v>1292</v>
      </c>
      <c r="K731" s="138" t="s">
        <v>1292</v>
      </c>
      <c r="L731" s="138" t="s">
        <v>1292</v>
      </c>
      <c r="M731" s="28"/>
      <c r="N731" s="83" t="s">
        <v>1292</v>
      </c>
      <c r="P731" t="str">
        <f>VLOOKUP(B731,PTN!A:B,2,FALSE)</f>
        <v>UNIVERSITAS LAMPUNG</v>
      </c>
      <c r="Q731" t="str">
        <f t="shared" si="11"/>
        <v>UNIVERSITAS LAMPUNGPEND. GEOGRAFI</v>
      </c>
    </row>
    <row r="732" spans="1:17" ht="15.75" thickBot="1" x14ac:dyDescent="0.3">
      <c r="A732" s="7">
        <v>731</v>
      </c>
      <c r="B732" s="6">
        <v>21</v>
      </c>
      <c r="C732" s="13">
        <v>1912204</v>
      </c>
      <c r="D732" t="s">
        <v>286</v>
      </c>
      <c r="E732" s="13">
        <v>20</v>
      </c>
      <c r="F732" s="10" t="s">
        <v>13</v>
      </c>
      <c r="I732" s="26"/>
      <c r="J732" s="138" t="s">
        <v>1292</v>
      </c>
      <c r="K732" s="138" t="s">
        <v>1292</v>
      </c>
      <c r="L732" s="138" t="s">
        <v>1292</v>
      </c>
      <c r="M732" s="27"/>
      <c r="N732" s="83" t="s">
        <v>1292</v>
      </c>
      <c r="P732" t="str">
        <f>VLOOKUP(B732,PTN!A:B,2,FALSE)</f>
        <v>UNIVERSITAS LAMPUNG</v>
      </c>
      <c r="Q732" t="str">
        <f t="shared" si="11"/>
        <v>UNIVERSITAS LAMPUNGPendidikan Anak Usia Dini</v>
      </c>
    </row>
    <row r="733" spans="1:17" ht="15.75" thickBot="1" x14ac:dyDescent="0.3">
      <c r="A733" s="7">
        <v>732</v>
      </c>
      <c r="B733" s="6">
        <v>21</v>
      </c>
      <c r="C733" s="12">
        <v>1912235</v>
      </c>
      <c r="D733" t="s">
        <v>202</v>
      </c>
      <c r="E733" s="12">
        <v>15</v>
      </c>
      <c r="F733" s="10" t="s">
        <v>13</v>
      </c>
      <c r="I733" s="87"/>
      <c r="J733" s="138" t="s">
        <v>1292</v>
      </c>
      <c r="K733" s="138" t="s">
        <v>1292</v>
      </c>
      <c r="L733" s="138" t="s">
        <v>1292</v>
      </c>
      <c r="M733" s="28"/>
      <c r="N733" s="83" t="s">
        <v>1292</v>
      </c>
      <c r="P733" t="str">
        <f>VLOOKUP(B733,PTN!A:B,2,FALSE)</f>
        <v>UNIVERSITAS LAMPUNG</v>
      </c>
      <c r="Q733" t="str">
        <f t="shared" si="11"/>
        <v>UNIVERSITAS LAMPUNGPENDIDIKAN MUSIK</v>
      </c>
    </row>
    <row r="734" spans="1:17" ht="15.75" thickBot="1" x14ac:dyDescent="0.3">
      <c r="A734" s="7">
        <v>733</v>
      </c>
      <c r="B734" s="6">
        <v>21</v>
      </c>
      <c r="C734" s="13">
        <v>1912115</v>
      </c>
      <c r="D734" t="s">
        <v>233</v>
      </c>
      <c r="E734" s="13">
        <v>20</v>
      </c>
      <c r="F734" s="10" t="s">
        <v>13</v>
      </c>
      <c r="I734" s="26"/>
      <c r="J734" s="138" t="s">
        <v>1292</v>
      </c>
      <c r="K734" s="138" t="s">
        <v>1292</v>
      </c>
      <c r="L734" s="138" t="s">
        <v>1292</v>
      </c>
      <c r="M734" s="27"/>
      <c r="N734" s="83" t="s">
        <v>1292</v>
      </c>
      <c r="P734" t="str">
        <f>VLOOKUP(B734,PTN!A:B,2,FALSE)</f>
        <v>UNIVERSITAS LAMPUNG</v>
      </c>
      <c r="Q734" t="str">
        <f t="shared" si="11"/>
        <v>UNIVERSITAS LAMPUNGPEND. SEJARAH</v>
      </c>
    </row>
    <row r="735" spans="1:17" ht="15.75" thickBot="1" x14ac:dyDescent="0.3">
      <c r="A735" s="7">
        <v>734</v>
      </c>
      <c r="B735" s="6">
        <v>21</v>
      </c>
      <c r="C735" s="12">
        <v>1912193</v>
      </c>
      <c r="D735" t="s">
        <v>287</v>
      </c>
      <c r="E735" s="12">
        <v>15</v>
      </c>
      <c r="F735" s="10" t="s">
        <v>13</v>
      </c>
      <c r="I735" s="87"/>
      <c r="J735" s="138" t="s">
        <v>1292</v>
      </c>
      <c r="K735" s="138" t="s">
        <v>1292</v>
      </c>
      <c r="L735" s="138" t="s">
        <v>1292</v>
      </c>
      <c r="M735" s="28"/>
      <c r="N735" s="83" t="s">
        <v>1292</v>
      </c>
      <c r="P735" t="str">
        <f>VLOOKUP(B735,PTN!A:B,2,FALSE)</f>
        <v>UNIVERSITAS LAMPUNG</v>
      </c>
      <c r="Q735" t="str">
        <f t="shared" si="11"/>
        <v>UNIVERSITAS LAMPUNGPEND. SENI DRAMA,TARI&amp;MUSIK</v>
      </c>
    </row>
    <row r="736" spans="1:17" ht="15.75" thickBot="1" x14ac:dyDescent="0.3">
      <c r="A736" s="7">
        <v>735</v>
      </c>
      <c r="B736" s="6">
        <v>21</v>
      </c>
      <c r="C736" s="13">
        <v>1912146</v>
      </c>
      <c r="D736" t="s">
        <v>206</v>
      </c>
      <c r="E736" s="13">
        <v>21</v>
      </c>
      <c r="F736" s="10" t="s">
        <v>13</v>
      </c>
      <c r="I736" s="26"/>
      <c r="J736" s="138" t="s">
        <v>1292</v>
      </c>
      <c r="K736" s="138" t="s">
        <v>1292</v>
      </c>
      <c r="L736" s="138" t="s">
        <v>1292</v>
      </c>
      <c r="M736" s="27"/>
      <c r="N736" s="83" t="s">
        <v>1292</v>
      </c>
      <c r="P736" t="str">
        <f>VLOOKUP(B736,PTN!A:B,2,FALSE)</f>
        <v>UNIVERSITAS LAMPUNG</v>
      </c>
      <c r="Q736" t="str">
        <f t="shared" si="11"/>
        <v>UNIVERSITAS LAMPUNGPENJASKESREK</v>
      </c>
    </row>
    <row r="737" spans="1:17" ht="15.75" thickBot="1" x14ac:dyDescent="0.3">
      <c r="A737" s="7">
        <v>736</v>
      </c>
      <c r="B737" s="6">
        <v>21</v>
      </c>
      <c r="C737" s="12">
        <v>1912185</v>
      </c>
      <c r="D737" t="s">
        <v>234</v>
      </c>
      <c r="E737" s="12">
        <v>50</v>
      </c>
      <c r="F737" s="10" t="s">
        <v>13</v>
      </c>
      <c r="I737" s="87"/>
      <c r="J737" s="138" t="s">
        <v>1292</v>
      </c>
      <c r="K737" s="138" t="s">
        <v>1292</v>
      </c>
      <c r="L737" s="138" t="s">
        <v>1292</v>
      </c>
      <c r="M737" s="28"/>
      <c r="N737" s="83" t="s">
        <v>1292</v>
      </c>
      <c r="P737" t="str">
        <f>VLOOKUP(B737,PTN!A:B,2,FALSE)</f>
        <v>UNIVERSITAS LAMPUNG</v>
      </c>
      <c r="Q737" t="str">
        <f t="shared" si="11"/>
        <v>UNIVERSITAS LAMPUNGPGSD</v>
      </c>
    </row>
    <row r="738" spans="1:17" ht="15.75" thickBot="1" x14ac:dyDescent="0.3">
      <c r="A738" s="7">
        <v>737</v>
      </c>
      <c r="B738" s="6">
        <v>21</v>
      </c>
      <c r="C738" s="13">
        <v>1912107</v>
      </c>
      <c r="D738" t="s">
        <v>262</v>
      </c>
      <c r="E738" s="13">
        <v>20</v>
      </c>
      <c r="F738" s="10" t="s">
        <v>13</v>
      </c>
      <c r="I738" s="26"/>
      <c r="J738" s="138" t="s">
        <v>1292</v>
      </c>
      <c r="K738" s="138" t="s">
        <v>1292</v>
      </c>
      <c r="L738" s="138" t="s">
        <v>1292</v>
      </c>
      <c r="M738" s="27"/>
      <c r="N738" s="83" t="s">
        <v>1292</v>
      </c>
      <c r="P738" t="str">
        <f>VLOOKUP(B738,PTN!A:B,2,FALSE)</f>
        <v>UNIVERSITAS LAMPUNG</v>
      </c>
      <c r="Q738" t="str">
        <f t="shared" si="11"/>
        <v>UNIVERSITAS LAMPUNGPPKN</v>
      </c>
    </row>
    <row r="739" spans="1:17" ht="15.75" thickBot="1" x14ac:dyDescent="0.3">
      <c r="A739" s="7">
        <v>738</v>
      </c>
      <c r="B739" s="6">
        <v>21</v>
      </c>
      <c r="C739" s="14">
        <v>1912026</v>
      </c>
      <c r="D739" t="s">
        <v>63</v>
      </c>
      <c r="E739" s="14">
        <v>25</v>
      </c>
      <c r="F739" s="10" t="s">
        <v>13</v>
      </c>
      <c r="I739" s="87"/>
      <c r="J739" s="138" t="s">
        <v>1292</v>
      </c>
      <c r="K739" s="138" t="s">
        <v>1292</v>
      </c>
      <c r="L739" s="138" t="s">
        <v>1292</v>
      </c>
      <c r="M739" s="28"/>
      <c r="N739" s="83" t="s">
        <v>1292</v>
      </c>
      <c r="P739" t="str">
        <f>VLOOKUP(B739,PTN!A:B,2,FALSE)</f>
        <v>UNIVERSITAS LAMPUNG</v>
      </c>
      <c r="Q739" t="str">
        <f t="shared" si="11"/>
        <v>UNIVERSITAS LAMPUNGSOSIOLOGI</v>
      </c>
    </row>
    <row r="740" spans="1:17" ht="16.5" thickTop="1" thickBot="1" x14ac:dyDescent="0.3">
      <c r="A740" s="7">
        <v>739</v>
      </c>
      <c r="B740" s="6">
        <v>24</v>
      </c>
      <c r="C740" s="12">
        <v>3211313</v>
      </c>
      <c r="D740" t="s">
        <v>288</v>
      </c>
      <c r="E740" s="12">
        <v>15</v>
      </c>
      <c r="F740" s="10" t="s">
        <v>20</v>
      </c>
      <c r="I740" s="20"/>
      <c r="J740" s="138">
        <v>716.32</v>
      </c>
      <c r="K740" s="138">
        <v>730.995</v>
      </c>
      <c r="L740" s="138">
        <v>701.6450000000001</v>
      </c>
      <c r="M740" s="21"/>
      <c r="N740" s="83">
        <v>716.32</v>
      </c>
      <c r="P740" t="str">
        <f>VLOOKUP(B740,PTN!A:B,2,FALSE)</f>
        <v>UNIVERSITAS INDONESIA</v>
      </c>
      <c r="Q740" t="str">
        <f t="shared" si="11"/>
        <v>UNIVERSITAS INDONESIAAKTUARIA</v>
      </c>
    </row>
    <row r="741" spans="1:17" ht="15.75" thickBot="1" x14ac:dyDescent="0.3">
      <c r="A741" s="7">
        <v>740</v>
      </c>
      <c r="B741" s="6">
        <v>24</v>
      </c>
      <c r="C741" s="13">
        <v>3211135</v>
      </c>
      <c r="D741" t="s">
        <v>19</v>
      </c>
      <c r="E741" s="13">
        <v>18</v>
      </c>
      <c r="F741" s="10" t="s">
        <v>20</v>
      </c>
      <c r="I741" s="22"/>
      <c r="J741" s="138">
        <v>679.35</v>
      </c>
      <c r="K741" s="138">
        <v>692.53499999999997</v>
      </c>
      <c r="L741" s="138">
        <v>666.16500000000008</v>
      </c>
      <c r="M741" s="21"/>
      <c r="N741" s="83">
        <v>679.35</v>
      </c>
      <c r="P741" t="str">
        <f>VLOOKUP(B741,PTN!A:B,2,FALSE)</f>
        <v>UNIVERSITAS INDONESIA</v>
      </c>
      <c r="Q741" t="str">
        <f t="shared" si="11"/>
        <v>UNIVERSITAS INDONESIAARSITEKTUR</v>
      </c>
    </row>
    <row r="742" spans="1:17" ht="16.5" thickTop="1" thickBot="1" x14ac:dyDescent="0.3">
      <c r="A742" s="7">
        <v>741</v>
      </c>
      <c r="B742" s="6">
        <v>24</v>
      </c>
      <c r="C742" s="12">
        <v>3211232</v>
      </c>
      <c r="D742" t="s">
        <v>289</v>
      </c>
      <c r="E742" s="12">
        <v>15</v>
      </c>
      <c r="F742" s="10" t="s">
        <v>20</v>
      </c>
      <c r="I742" s="23"/>
      <c r="J742" s="138">
        <v>681.69</v>
      </c>
      <c r="K742" s="138">
        <v>688.42000000000007</v>
      </c>
      <c r="L742" s="138">
        <v>674.96</v>
      </c>
      <c r="M742" s="25"/>
      <c r="N742" s="83">
        <v>681.69</v>
      </c>
      <c r="P742" t="str">
        <f>VLOOKUP(B742,PTN!A:B,2,FALSE)</f>
        <v>UNIVERSITAS INDONESIA</v>
      </c>
      <c r="Q742" t="str">
        <f t="shared" si="11"/>
        <v>UNIVERSITAS INDONESIAARSITEKTUR INTERIOR</v>
      </c>
    </row>
    <row r="743" spans="1:17" ht="16.5" thickTop="1" thickBot="1" x14ac:dyDescent="0.3">
      <c r="A743" s="7">
        <v>742</v>
      </c>
      <c r="B743" s="6">
        <v>24</v>
      </c>
      <c r="C743" s="13">
        <v>3211062</v>
      </c>
      <c r="D743" t="s">
        <v>21</v>
      </c>
      <c r="E743" s="13">
        <v>30</v>
      </c>
      <c r="F743" s="10" t="s">
        <v>20</v>
      </c>
      <c r="I743" s="26"/>
      <c r="J743" s="138">
        <v>657.97</v>
      </c>
      <c r="K743" s="138">
        <v>668.10500000000002</v>
      </c>
      <c r="L743" s="138">
        <v>647.83500000000004</v>
      </c>
      <c r="M743" s="27"/>
      <c r="N743" s="83">
        <v>657.97</v>
      </c>
      <c r="P743" t="str">
        <f>VLOOKUP(B743,PTN!A:B,2,FALSE)</f>
        <v>UNIVERSITAS INDONESIA</v>
      </c>
      <c r="Q743" t="str">
        <f t="shared" si="11"/>
        <v>UNIVERSITAS INDONESIABIOLOGI</v>
      </c>
    </row>
    <row r="744" spans="1:17" ht="15.75" thickBot="1" x14ac:dyDescent="0.3">
      <c r="A744" s="7">
        <v>743</v>
      </c>
      <c r="B744" s="6">
        <v>24</v>
      </c>
      <c r="C744" s="12">
        <v>3211077</v>
      </c>
      <c r="D744" t="s">
        <v>77</v>
      </c>
      <c r="E744" s="12">
        <v>39</v>
      </c>
      <c r="F744" s="10" t="s">
        <v>20</v>
      </c>
      <c r="I744" s="87"/>
      <c r="J744" s="138">
        <v>684.42</v>
      </c>
      <c r="K744" s="138">
        <v>696.02</v>
      </c>
      <c r="L744" s="138">
        <v>672.81999999999994</v>
      </c>
      <c r="M744" s="28"/>
      <c r="N744" s="83">
        <v>684.42</v>
      </c>
      <c r="P744" t="str">
        <f>VLOOKUP(B744,PTN!A:B,2,FALSE)</f>
        <v>UNIVERSITAS INDONESIA</v>
      </c>
      <c r="Q744" t="str">
        <f t="shared" si="11"/>
        <v>UNIVERSITAS INDONESIAFARMASI</v>
      </c>
    </row>
    <row r="745" spans="1:17" ht="15.75" thickBot="1" x14ac:dyDescent="0.3">
      <c r="A745" s="7">
        <v>744</v>
      </c>
      <c r="B745" s="6">
        <v>24</v>
      </c>
      <c r="C745" s="13">
        <v>3211046</v>
      </c>
      <c r="D745" t="s">
        <v>65</v>
      </c>
      <c r="E745" s="13">
        <v>30</v>
      </c>
      <c r="F745" s="10" t="s">
        <v>20</v>
      </c>
      <c r="I745" s="26"/>
      <c r="J745" s="138">
        <v>663.3</v>
      </c>
      <c r="K745" s="138">
        <v>670.27499999999998</v>
      </c>
      <c r="L745" s="138">
        <v>656.32499999999993</v>
      </c>
      <c r="M745" s="27"/>
      <c r="N745" s="83">
        <v>663.3</v>
      </c>
      <c r="P745" t="str">
        <f>VLOOKUP(B745,PTN!A:B,2,FALSE)</f>
        <v>UNIVERSITAS INDONESIA</v>
      </c>
      <c r="Q745" t="str">
        <f t="shared" si="11"/>
        <v>UNIVERSITAS INDONESIAFISIKA</v>
      </c>
    </row>
    <row r="746" spans="1:17" ht="15.75" thickBot="1" x14ac:dyDescent="0.3">
      <c r="A746" s="7">
        <v>745</v>
      </c>
      <c r="B746" s="6">
        <v>24</v>
      </c>
      <c r="C746" s="12">
        <v>3211286</v>
      </c>
      <c r="D746" t="s">
        <v>246</v>
      </c>
      <c r="E746" s="12">
        <v>21</v>
      </c>
      <c r="F746" s="10" t="s">
        <v>20</v>
      </c>
      <c r="I746" s="87"/>
      <c r="J746" s="138">
        <v>656</v>
      </c>
      <c r="K746" s="138">
        <v>663.89</v>
      </c>
      <c r="L746" s="138">
        <v>648.11</v>
      </c>
      <c r="M746" s="28"/>
      <c r="N746" s="83">
        <v>656</v>
      </c>
      <c r="P746" t="str">
        <f>VLOOKUP(B746,PTN!A:B,2,FALSE)</f>
        <v>UNIVERSITAS INDONESIA</v>
      </c>
      <c r="Q746" t="str">
        <f t="shared" si="11"/>
        <v>UNIVERSITAS INDONESIAGEOFISIKA</v>
      </c>
    </row>
    <row r="747" spans="1:17" ht="15.75" thickBot="1" x14ac:dyDescent="0.3">
      <c r="A747" s="7">
        <v>746</v>
      </c>
      <c r="B747" s="6">
        <v>24</v>
      </c>
      <c r="C747" s="13">
        <v>3211085</v>
      </c>
      <c r="D747" t="s">
        <v>290</v>
      </c>
      <c r="E747" s="13">
        <v>30</v>
      </c>
      <c r="F747" s="10" t="s">
        <v>20</v>
      </c>
      <c r="I747" s="26"/>
      <c r="J747" s="138">
        <v>645.62</v>
      </c>
      <c r="K747" s="138">
        <v>652.05499999999995</v>
      </c>
      <c r="L747" s="138">
        <v>639.18500000000006</v>
      </c>
      <c r="M747" s="27"/>
      <c r="N747" s="83">
        <v>645.62</v>
      </c>
      <c r="P747" t="str">
        <f>VLOOKUP(B747,PTN!A:B,2,FALSE)</f>
        <v>UNIVERSITAS INDONESIA</v>
      </c>
      <c r="Q747" t="str">
        <f t="shared" si="11"/>
        <v>UNIVERSITAS INDONESIAGEOGRAFI</v>
      </c>
    </row>
    <row r="748" spans="1:17" ht="15.75" thickBot="1" x14ac:dyDescent="0.3">
      <c r="A748" s="7">
        <v>747</v>
      </c>
      <c r="B748" s="6">
        <v>24</v>
      </c>
      <c r="C748" s="12">
        <v>3211294</v>
      </c>
      <c r="D748" t="s">
        <v>291</v>
      </c>
      <c r="E748" s="12">
        <v>21</v>
      </c>
      <c r="F748" s="10" t="s">
        <v>20</v>
      </c>
      <c r="I748" s="87"/>
      <c r="J748" s="138">
        <v>654.35</v>
      </c>
      <c r="K748" s="138">
        <v>661.48500000000001</v>
      </c>
      <c r="L748" s="138">
        <v>647.21500000000003</v>
      </c>
      <c r="M748" s="28"/>
      <c r="N748" s="83">
        <v>654.35</v>
      </c>
      <c r="P748" t="str">
        <f>VLOOKUP(B748,PTN!A:B,2,FALSE)</f>
        <v>UNIVERSITAS INDONESIA</v>
      </c>
      <c r="Q748" t="str">
        <f t="shared" si="11"/>
        <v>UNIVERSITAS INDONESIAGEOLOGI</v>
      </c>
    </row>
    <row r="749" spans="1:17" ht="15.75" thickBot="1" x14ac:dyDescent="0.3">
      <c r="A749" s="7">
        <v>748</v>
      </c>
      <c r="B749" s="6">
        <v>24</v>
      </c>
      <c r="C749" s="13">
        <v>3211255</v>
      </c>
      <c r="D749" t="s">
        <v>113</v>
      </c>
      <c r="E749" s="13">
        <v>18</v>
      </c>
      <c r="F749" s="10" t="s">
        <v>20</v>
      </c>
      <c r="I749" s="26"/>
      <c r="J749" s="138">
        <v>682.11</v>
      </c>
      <c r="K749" s="138">
        <v>691.54499999999996</v>
      </c>
      <c r="L749" s="138">
        <v>672.67500000000007</v>
      </c>
      <c r="M749" s="27"/>
      <c r="N749" s="83">
        <v>682.11</v>
      </c>
      <c r="P749" t="str">
        <f>VLOOKUP(B749,PTN!A:B,2,FALSE)</f>
        <v>UNIVERSITAS INDONESIA</v>
      </c>
      <c r="Q749" t="str">
        <f t="shared" si="11"/>
        <v>UNIVERSITAS INDONESIAGIZI</v>
      </c>
    </row>
    <row r="750" spans="1:17" ht="15.75" thickBot="1" x14ac:dyDescent="0.3">
      <c r="A750" s="7">
        <v>749</v>
      </c>
      <c r="B750" s="6">
        <v>24</v>
      </c>
      <c r="C750" s="12">
        <v>3211151</v>
      </c>
      <c r="D750" t="s">
        <v>78</v>
      </c>
      <c r="E750" s="12">
        <v>36</v>
      </c>
      <c r="F750" s="10" t="s">
        <v>20</v>
      </c>
      <c r="I750" s="87"/>
      <c r="J750" s="138">
        <v>637.91999999999996</v>
      </c>
      <c r="K750" s="138">
        <v>645.7299999999999</v>
      </c>
      <c r="L750" s="138">
        <v>630.11</v>
      </c>
      <c r="M750" s="28"/>
      <c r="N750" s="83">
        <v>637.91999999999996</v>
      </c>
      <c r="P750" t="str">
        <f>VLOOKUP(B750,PTN!A:B,2,FALSE)</f>
        <v>UNIVERSITAS INDONESIA</v>
      </c>
      <c r="Q750" t="str">
        <f t="shared" si="11"/>
        <v>UNIVERSITAS INDONESIAILMU KEPERAWATAN</v>
      </c>
    </row>
    <row r="751" spans="1:17" ht="15.75" thickBot="1" x14ac:dyDescent="0.3">
      <c r="A751" s="7">
        <v>750</v>
      </c>
      <c r="B751" s="6">
        <v>24</v>
      </c>
      <c r="C751" s="13">
        <v>3211174</v>
      </c>
      <c r="D751" t="s">
        <v>110</v>
      </c>
      <c r="E751" s="13">
        <v>45</v>
      </c>
      <c r="F751" s="10" t="s">
        <v>20</v>
      </c>
      <c r="I751" s="26"/>
      <c r="J751" s="138">
        <v>668.23</v>
      </c>
      <c r="K751" s="138">
        <v>675.51</v>
      </c>
      <c r="L751" s="138">
        <v>660.95</v>
      </c>
      <c r="M751" s="27"/>
      <c r="N751" s="83">
        <v>668.23</v>
      </c>
      <c r="P751" t="str">
        <f>VLOOKUP(B751,PTN!A:B,2,FALSE)</f>
        <v>UNIVERSITAS INDONESIA</v>
      </c>
      <c r="Q751" t="str">
        <f t="shared" si="11"/>
        <v>UNIVERSITAS INDONESIAILMU KESEHATAN MASYARAKAT</v>
      </c>
    </row>
    <row r="752" spans="1:17" ht="15.75" thickBot="1" x14ac:dyDescent="0.3">
      <c r="A752" s="7">
        <v>751</v>
      </c>
      <c r="B752" s="6">
        <v>24</v>
      </c>
      <c r="C752" s="12">
        <v>3211166</v>
      </c>
      <c r="D752" t="s">
        <v>111</v>
      </c>
      <c r="E752" s="12">
        <v>45</v>
      </c>
      <c r="F752" s="10" t="s">
        <v>20</v>
      </c>
      <c r="I752" s="87"/>
      <c r="J752" s="138">
        <v>712.41</v>
      </c>
      <c r="K752" s="138">
        <v>727.47500000000002</v>
      </c>
      <c r="L752" s="138">
        <v>703.34499999999991</v>
      </c>
      <c r="M752" s="28"/>
      <c r="N752" s="83">
        <v>712.41</v>
      </c>
      <c r="P752" t="str">
        <f>VLOOKUP(B752,PTN!A:B,2,FALSE)</f>
        <v>UNIVERSITAS INDONESIA</v>
      </c>
      <c r="Q752" t="str">
        <f t="shared" si="11"/>
        <v>UNIVERSITAS INDONESIAILMU KOMPUTER</v>
      </c>
    </row>
    <row r="753" spans="1:17" ht="15.75" thickBot="1" x14ac:dyDescent="0.3">
      <c r="A753" s="7">
        <v>752</v>
      </c>
      <c r="B753" s="6">
        <v>24</v>
      </c>
      <c r="C753" s="13">
        <v>3211263</v>
      </c>
      <c r="D753" t="s">
        <v>251</v>
      </c>
      <c r="E753" s="13">
        <v>15</v>
      </c>
      <c r="F753" s="10" t="s">
        <v>20</v>
      </c>
      <c r="I753" s="26"/>
      <c r="J753" s="138">
        <v>655.39</v>
      </c>
      <c r="K753" s="138">
        <v>660.47500000000002</v>
      </c>
      <c r="L753" s="138">
        <v>650.30499999999995</v>
      </c>
      <c r="M753" s="27"/>
      <c r="N753" s="83">
        <v>655.39</v>
      </c>
      <c r="P753" t="str">
        <f>VLOOKUP(B753,PTN!A:B,2,FALSE)</f>
        <v>UNIVERSITAS INDONESIA</v>
      </c>
      <c r="Q753" t="str">
        <f t="shared" si="11"/>
        <v>UNIVERSITAS INDONESIAKESEHATAN LINGKUNGAN</v>
      </c>
    </row>
    <row r="754" spans="1:17" ht="15.75" thickBot="1" x14ac:dyDescent="0.3">
      <c r="A754" s="7">
        <v>753</v>
      </c>
      <c r="B754" s="6">
        <v>24</v>
      </c>
      <c r="C754" s="12">
        <v>3211271</v>
      </c>
      <c r="D754" t="s">
        <v>292</v>
      </c>
      <c r="E754" s="12">
        <v>15</v>
      </c>
      <c r="F754" s="10" t="s">
        <v>20</v>
      </c>
      <c r="I754" s="87"/>
      <c r="J754" s="138">
        <v>661.59</v>
      </c>
      <c r="K754" s="138">
        <v>668.61500000000001</v>
      </c>
      <c r="L754" s="138">
        <v>654.56500000000005</v>
      </c>
      <c r="M754" s="28"/>
      <c r="N754" s="83">
        <v>661.59</v>
      </c>
      <c r="P754" t="str">
        <f>VLOOKUP(B754,PTN!A:B,2,FALSE)</f>
        <v>UNIVERSITAS INDONESIA</v>
      </c>
      <c r="Q754" t="str">
        <f t="shared" si="11"/>
        <v>UNIVERSITAS INDONESIAKESELAMATAN DAN KESEHATAN KERJA</v>
      </c>
    </row>
    <row r="755" spans="1:17" ht="15.75" thickBot="1" x14ac:dyDescent="0.3">
      <c r="A755" s="7">
        <v>754</v>
      </c>
      <c r="B755" s="6">
        <v>24</v>
      </c>
      <c r="C755" s="13">
        <v>3211054</v>
      </c>
      <c r="D755" t="s">
        <v>22</v>
      </c>
      <c r="E755" s="13">
        <v>30</v>
      </c>
      <c r="F755" s="10" t="s">
        <v>20</v>
      </c>
      <c r="I755" s="26"/>
      <c r="J755" s="138">
        <v>675.3</v>
      </c>
      <c r="K755" s="138">
        <v>685.92</v>
      </c>
      <c r="L755" s="138">
        <v>664.68</v>
      </c>
      <c r="M755" s="27"/>
      <c r="N755" s="83">
        <v>675.3</v>
      </c>
      <c r="P755" t="str">
        <f>VLOOKUP(B755,PTN!A:B,2,FALSE)</f>
        <v>UNIVERSITAS INDONESIA</v>
      </c>
      <c r="Q755" t="str">
        <f t="shared" si="11"/>
        <v>UNIVERSITAS INDONESIAKIMIA</v>
      </c>
    </row>
    <row r="756" spans="1:17" ht="15.75" thickBot="1" x14ac:dyDescent="0.3">
      <c r="A756" s="7">
        <v>755</v>
      </c>
      <c r="B756" s="6">
        <v>24</v>
      </c>
      <c r="C756" s="12">
        <v>3211031</v>
      </c>
      <c r="D756" t="s">
        <v>66</v>
      </c>
      <c r="E756" s="12">
        <v>21</v>
      </c>
      <c r="F756" s="10" t="s">
        <v>20</v>
      </c>
      <c r="I756" s="87"/>
      <c r="J756" s="138">
        <v>685.03</v>
      </c>
      <c r="K756" s="138">
        <v>696.31</v>
      </c>
      <c r="L756" s="138">
        <v>673.75</v>
      </c>
      <c r="M756" s="28"/>
      <c r="N756" s="83">
        <v>685.03</v>
      </c>
      <c r="P756" t="str">
        <f>VLOOKUP(B756,PTN!A:B,2,FALSE)</f>
        <v>UNIVERSITAS INDONESIA</v>
      </c>
      <c r="Q756" t="str">
        <f t="shared" si="11"/>
        <v>UNIVERSITAS INDONESIAMATEMATIKA</v>
      </c>
    </row>
    <row r="757" spans="1:17" ht="15.75" thickBot="1" x14ac:dyDescent="0.3">
      <c r="A757" s="7">
        <v>756</v>
      </c>
      <c r="B757" s="6">
        <v>24</v>
      </c>
      <c r="C757" s="13">
        <v>3211015</v>
      </c>
      <c r="D757" t="s">
        <v>41</v>
      </c>
      <c r="E757" s="13">
        <v>54</v>
      </c>
      <c r="F757" s="10" t="s">
        <v>20</v>
      </c>
      <c r="I757" s="26"/>
      <c r="J757" s="138">
        <v>747.93</v>
      </c>
      <c r="K757" s="138">
        <v>757.745</v>
      </c>
      <c r="L757" s="138">
        <v>738.1149999999999</v>
      </c>
      <c r="M757" s="27"/>
      <c r="N757" s="83">
        <v>747.93</v>
      </c>
      <c r="P757" t="str">
        <f>VLOOKUP(B757,PTN!A:B,2,FALSE)</f>
        <v>UNIVERSITAS INDONESIA</v>
      </c>
      <c r="Q757" t="str">
        <f t="shared" si="11"/>
        <v>UNIVERSITAS INDONESIAPENDIDIKAN DOKTER</v>
      </c>
    </row>
    <row r="758" spans="1:17" ht="15.75" thickBot="1" x14ac:dyDescent="0.3">
      <c r="A758" s="7">
        <v>757</v>
      </c>
      <c r="B758" s="6">
        <v>24</v>
      </c>
      <c r="C758" s="12">
        <v>3211023</v>
      </c>
      <c r="D758" t="s">
        <v>85</v>
      </c>
      <c r="E758" s="12">
        <v>36</v>
      </c>
      <c r="F758" s="10" t="s">
        <v>20</v>
      </c>
      <c r="I758" s="87"/>
      <c r="J758" s="138">
        <v>683.56</v>
      </c>
      <c r="K758" s="138">
        <v>694.13</v>
      </c>
      <c r="L758" s="138">
        <v>672.9899999999999</v>
      </c>
      <c r="M758" s="28"/>
      <c r="N758" s="83">
        <v>683.56</v>
      </c>
      <c r="P758" t="str">
        <f>VLOOKUP(B758,PTN!A:B,2,FALSE)</f>
        <v>UNIVERSITAS INDONESIA</v>
      </c>
      <c r="Q758" t="str">
        <f t="shared" si="11"/>
        <v>UNIVERSITAS INDONESIAPENDIDIKAN DOKTER GIGI</v>
      </c>
    </row>
    <row r="759" spans="1:17" ht="15.75" thickBot="1" x14ac:dyDescent="0.3">
      <c r="A759" s="7">
        <v>758</v>
      </c>
      <c r="B759" s="6">
        <v>24</v>
      </c>
      <c r="C759" s="13">
        <v>3211224</v>
      </c>
      <c r="D759" t="s">
        <v>46</v>
      </c>
      <c r="E759" s="13">
        <v>45</v>
      </c>
      <c r="F759" s="10" t="s">
        <v>20</v>
      </c>
      <c r="I759" s="26"/>
      <c r="J759" s="138">
        <v>686.5</v>
      </c>
      <c r="K759" s="138">
        <v>695.34500000000003</v>
      </c>
      <c r="L759" s="138">
        <v>677.65499999999997</v>
      </c>
      <c r="M759" s="27"/>
      <c r="N759" s="83">
        <v>686.5</v>
      </c>
      <c r="P759" t="str">
        <f>VLOOKUP(B759,PTN!A:B,2,FALSE)</f>
        <v>UNIVERSITAS INDONESIA</v>
      </c>
      <c r="Q759" t="str">
        <f t="shared" si="11"/>
        <v>UNIVERSITAS INDONESIASISTEM INFORMASI</v>
      </c>
    </row>
    <row r="760" spans="1:17" ht="15.75" thickBot="1" x14ac:dyDescent="0.3">
      <c r="A760" s="7">
        <v>759</v>
      </c>
      <c r="B760" s="6">
        <v>24</v>
      </c>
      <c r="C760" s="12">
        <v>3211305</v>
      </c>
      <c r="D760" t="s">
        <v>90</v>
      </c>
      <c r="E760" s="12">
        <v>18</v>
      </c>
      <c r="F760" s="10" t="s">
        <v>20</v>
      </c>
      <c r="I760" s="87"/>
      <c r="J760" s="138">
        <v>681.15</v>
      </c>
      <c r="K760" s="138">
        <v>694.06</v>
      </c>
      <c r="L760" s="138">
        <v>668.24</v>
      </c>
      <c r="M760" s="28"/>
      <c r="N760" s="83">
        <v>681.15</v>
      </c>
      <c r="P760" t="str">
        <f>VLOOKUP(B760,PTN!A:B,2,FALSE)</f>
        <v>UNIVERSITAS INDONESIA</v>
      </c>
      <c r="Q760" t="str">
        <f t="shared" si="11"/>
        <v>UNIVERSITAS INDONESIASTATISTIKA</v>
      </c>
    </row>
    <row r="761" spans="1:17" ht="15.75" thickBot="1" x14ac:dyDescent="0.3">
      <c r="A761" s="7">
        <v>760</v>
      </c>
      <c r="B761" s="6">
        <v>24</v>
      </c>
      <c r="C761" s="13">
        <v>3211321</v>
      </c>
      <c r="D761" t="s">
        <v>293</v>
      </c>
      <c r="E761" s="13">
        <v>12</v>
      </c>
      <c r="F761" s="10" t="s">
        <v>20</v>
      </c>
      <c r="I761" s="26"/>
      <c r="J761" s="138">
        <v>681.87</v>
      </c>
      <c r="K761" s="138">
        <v>696.39</v>
      </c>
      <c r="L761" s="138">
        <v>667.35</v>
      </c>
      <c r="M761" s="27"/>
      <c r="N761" s="83">
        <v>681.87</v>
      </c>
      <c r="P761" t="str">
        <f>VLOOKUP(B761,PTN!A:B,2,FALSE)</f>
        <v>UNIVERSITAS INDONESIA</v>
      </c>
      <c r="Q761" t="str">
        <f t="shared" si="11"/>
        <v>UNIVERSITAS INDONESIATEKNIK BIOMEDIS</v>
      </c>
    </row>
    <row r="762" spans="1:17" ht="15.75" thickBot="1" x14ac:dyDescent="0.3">
      <c r="A762" s="7">
        <v>761</v>
      </c>
      <c r="B762" s="6">
        <v>24</v>
      </c>
      <c r="C762" s="12">
        <v>3211112</v>
      </c>
      <c r="D762" t="s">
        <v>48</v>
      </c>
      <c r="E762" s="12">
        <v>30</v>
      </c>
      <c r="F762" s="10" t="s">
        <v>20</v>
      </c>
      <c r="I762" s="87"/>
      <c r="J762" s="138">
        <v>675.49</v>
      </c>
      <c r="K762" s="138">
        <v>684.13</v>
      </c>
      <c r="L762" s="138">
        <v>666.85</v>
      </c>
      <c r="M762" s="28"/>
      <c r="N762" s="83">
        <v>675.49</v>
      </c>
      <c r="P762" t="str">
        <f>VLOOKUP(B762,PTN!A:B,2,FALSE)</f>
        <v>UNIVERSITAS INDONESIA</v>
      </c>
      <c r="Q762" t="str">
        <f t="shared" si="11"/>
        <v>UNIVERSITAS INDONESIATEKNIK ELEKTRO</v>
      </c>
    </row>
    <row r="763" spans="1:17" ht="15.75" thickBot="1" x14ac:dyDescent="0.3">
      <c r="A763" s="7">
        <v>762</v>
      </c>
      <c r="B763" s="6">
        <v>24</v>
      </c>
      <c r="C763" s="13">
        <v>3211182</v>
      </c>
      <c r="D763" t="s">
        <v>49</v>
      </c>
      <c r="E763" s="13">
        <v>36</v>
      </c>
      <c r="F763" s="10" t="s">
        <v>20</v>
      </c>
      <c r="I763" s="26"/>
      <c r="J763" s="138">
        <v>690.3</v>
      </c>
      <c r="K763" s="138">
        <v>700.11500000000001</v>
      </c>
      <c r="L763" s="138">
        <v>680.4849999999999</v>
      </c>
      <c r="M763" s="27"/>
      <c r="N763" s="83">
        <v>690.3</v>
      </c>
      <c r="P763" t="str">
        <f>VLOOKUP(B763,PTN!A:B,2,FALSE)</f>
        <v>UNIVERSITAS INDONESIA</v>
      </c>
      <c r="Q763" t="str">
        <f t="shared" si="11"/>
        <v>UNIVERSITAS INDONESIATEKNIK INDUSTRI</v>
      </c>
    </row>
    <row r="764" spans="1:17" ht="15.75" thickBot="1" x14ac:dyDescent="0.3">
      <c r="A764" s="7">
        <v>763</v>
      </c>
      <c r="B764" s="6">
        <v>24</v>
      </c>
      <c r="C764" s="12">
        <v>3211143</v>
      </c>
      <c r="D764" t="s">
        <v>51</v>
      </c>
      <c r="E764" s="12">
        <v>27</v>
      </c>
      <c r="F764" s="10" t="s">
        <v>20</v>
      </c>
      <c r="I764" s="87"/>
      <c r="J764" s="138">
        <v>689.8</v>
      </c>
      <c r="K764" s="138">
        <v>701.72499999999991</v>
      </c>
      <c r="L764" s="138">
        <v>677.875</v>
      </c>
      <c r="M764" s="28"/>
      <c r="N764" s="83">
        <v>689.8</v>
      </c>
      <c r="P764" t="str">
        <f>VLOOKUP(B764,PTN!A:B,2,FALSE)</f>
        <v>UNIVERSITAS INDONESIA</v>
      </c>
      <c r="Q764" t="str">
        <f t="shared" si="11"/>
        <v>UNIVERSITAS INDONESIATEKNIK KIMIA</v>
      </c>
    </row>
    <row r="765" spans="1:17" ht="15.75" thickBot="1" x14ac:dyDescent="0.3">
      <c r="A765" s="7">
        <v>764</v>
      </c>
      <c r="B765" s="6">
        <v>24</v>
      </c>
      <c r="C765" s="13">
        <v>3211216</v>
      </c>
      <c r="D765" t="s">
        <v>93</v>
      </c>
      <c r="E765" s="13">
        <v>24</v>
      </c>
      <c r="F765" s="10" t="s">
        <v>20</v>
      </c>
      <c r="I765" s="26"/>
      <c r="J765" s="138">
        <v>671.05</v>
      </c>
      <c r="K765" s="138">
        <v>679.27</v>
      </c>
      <c r="L765" s="138">
        <v>662.82999999999993</v>
      </c>
      <c r="M765" s="27"/>
      <c r="N765" s="83">
        <v>671.05</v>
      </c>
      <c r="P765" t="str">
        <f>VLOOKUP(B765,PTN!A:B,2,FALSE)</f>
        <v>UNIVERSITAS INDONESIA</v>
      </c>
      <c r="Q765" t="str">
        <f t="shared" si="11"/>
        <v>UNIVERSITAS INDONESIATEKNIK KOMPUTER</v>
      </c>
    </row>
    <row r="766" spans="1:17" ht="15.75" thickBot="1" x14ac:dyDescent="0.3">
      <c r="A766" s="7">
        <v>765</v>
      </c>
      <c r="B766" s="6">
        <v>24</v>
      </c>
      <c r="C766" s="12">
        <v>3211201</v>
      </c>
      <c r="D766" t="s">
        <v>25</v>
      </c>
      <c r="E766" s="12">
        <v>21</v>
      </c>
      <c r="F766" s="10" t="s">
        <v>20</v>
      </c>
      <c r="I766" s="87"/>
      <c r="J766" s="138">
        <v>665.91</v>
      </c>
      <c r="K766" s="138">
        <v>673.68499999999995</v>
      </c>
      <c r="L766" s="138">
        <v>658.13499999999999</v>
      </c>
      <c r="M766" s="28"/>
      <c r="N766" s="83">
        <v>665.91</v>
      </c>
      <c r="P766" t="str">
        <f>VLOOKUP(B766,PTN!A:B,2,FALSE)</f>
        <v>UNIVERSITAS INDONESIA</v>
      </c>
      <c r="Q766" t="str">
        <f t="shared" si="11"/>
        <v>UNIVERSITAS INDONESIATEKNIK LINGKUNGAN</v>
      </c>
    </row>
    <row r="767" spans="1:17" ht="15.75" thickBot="1" x14ac:dyDescent="0.3">
      <c r="A767" s="7">
        <v>766</v>
      </c>
      <c r="B767" s="6">
        <v>24</v>
      </c>
      <c r="C767" s="13">
        <v>3211104</v>
      </c>
      <c r="D767" t="s">
        <v>53</v>
      </c>
      <c r="E767" s="13">
        <v>24</v>
      </c>
      <c r="F767" s="10" t="s">
        <v>20</v>
      </c>
      <c r="I767" s="26"/>
      <c r="J767" s="138">
        <v>673.32</v>
      </c>
      <c r="K767" s="138">
        <v>681.22</v>
      </c>
      <c r="L767" s="138">
        <v>665.42000000000007</v>
      </c>
      <c r="M767" s="27"/>
      <c r="N767" s="83">
        <v>673.32</v>
      </c>
      <c r="P767" t="str">
        <f>VLOOKUP(B767,PTN!A:B,2,FALSE)</f>
        <v>UNIVERSITAS INDONESIA</v>
      </c>
      <c r="Q767" t="str">
        <f t="shared" si="11"/>
        <v>UNIVERSITAS INDONESIATEKNIK MESIN</v>
      </c>
    </row>
    <row r="768" spans="1:17" ht="15.75" thickBot="1" x14ac:dyDescent="0.3">
      <c r="A768" s="7">
        <v>767</v>
      </c>
      <c r="B768" s="6">
        <v>24</v>
      </c>
      <c r="C768" s="12">
        <v>3211127</v>
      </c>
      <c r="D768" t="s">
        <v>294</v>
      </c>
      <c r="E768" s="12">
        <v>27</v>
      </c>
      <c r="F768" s="10" t="s">
        <v>20</v>
      </c>
      <c r="I768" s="87"/>
      <c r="J768" s="138">
        <v>686.28</v>
      </c>
      <c r="K768" s="138">
        <v>695.255</v>
      </c>
      <c r="L768" s="138">
        <v>677.30499999999995</v>
      </c>
      <c r="M768" s="28"/>
      <c r="N768" s="83">
        <v>686.28</v>
      </c>
      <c r="P768" t="str">
        <f>VLOOKUP(B768,PTN!A:B,2,FALSE)</f>
        <v>UNIVERSITAS INDONESIA</v>
      </c>
      <c r="Q768" t="str">
        <f t="shared" si="11"/>
        <v>UNIVERSITAS INDONESIATEKNIK METALURGI &amp; MATERIAL</v>
      </c>
    </row>
    <row r="769" spans="1:17" ht="15.75" thickBot="1" x14ac:dyDescent="0.3">
      <c r="A769" s="7">
        <v>768</v>
      </c>
      <c r="B769" s="6">
        <v>24</v>
      </c>
      <c r="C769" s="13">
        <v>3211197</v>
      </c>
      <c r="D769" t="s">
        <v>295</v>
      </c>
      <c r="E769" s="13">
        <v>18</v>
      </c>
      <c r="F769" s="10" t="s">
        <v>20</v>
      </c>
      <c r="I769" s="26"/>
      <c r="J769" s="138">
        <v>645.84</v>
      </c>
      <c r="K769" s="138">
        <v>653.80000000000007</v>
      </c>
      <c r="L769" s="138">
        <v>637.88</v>
      </c>
      <c r="M769" s="27"/>
      <c r="N769" s="83">
        <v>645.84</v>
      </c>
      <c r="P769" t="str">
        <f>VLOOKUP(B769,PTN!A:B,2,FALSE)</f>
        <v>UNIVERSITAS INDONESIA</v>
      </c>
      <c r="Q769" t="str">
        <f t="shared" si="11"/>
        <v>UNIVERSITAS INDONESIATEKNIK PERKAPALAN</v>
      </c>
    </row>
    <row r="770" spans="1:17" ht="15.75" thickBot="1" x14ac:dyDescent="0.3">
      <c r="A770" s="7">
        <v>769</v>
      </c>
      <c r="B770" s="6">
        <v>24</v>
      </c>
      <c r="C770" s="12">
        <v>3211093</v>
      </c>
      <c r="D770" t="s">
        <v>54</v>
      </c>
      <c r="E770" s="12">
        <v>27</v>
      </c>
      <c r="F770" s="10" t="s">
        <v>20</v>
      </c>
      <c r="I770" s="87"/>
      <c r="J770" s="138">
        <v>687.76</v>
      </c>
      <c r="K770" s="138">
        <v>698.58</v>
      </c>
      <c r="L770" s="138">
        <v>676.93999999999994</v>
      </c>
      <c r="M770" s="28"/>
      <c r="N770" s="83">
        <v>687.76</v>
      </c>
      <c r="P770" t="str">
        <f>VLOOKUP(B770,PTN!A:B,2,FALSE)</f>
        <v>UNIVERSITAS INDONESIA</v>
      </c>
      <c r="Q770" t="str">
        <f t="shared" si="11"/>
        <v>UNIVERSITAS INDONESIATEKNIK SIPIL</v>
      </c>
    </row>
    <row r="771" spans="1:17" ht="15.75" thickBot="1" x14ac:dyDescent="0.3">
      <c r="A771" s="7">
        <v>770</v>
      </c>
      <c r="B771" s="6">
        <v>24</v>
      </c>
      <c r="C771" s="16">
        <v>3211247</v>
      </c>
      <c r="D771" t="s">
        <v>296</v>
      </c>
      <c r="E771" s="16">
        <v>18</v>
      </c>
      <c r="F771" s="10" t="s">
        <v>20</v>
      </c>
      <c r="I771" s="26"/>
      <c r="J771" s="138">
        <v>680.01</v>
      </c>
      <c r="K771" s="138">
        <v>692.52</v>
      </c>
      <c r="L771" s="138">
        <v>667.5</v>
      </c>
      <c r="M771" s="27"/>
      <c r="N771" s="83">
        <v>680.01</v>
      </c>
      <c r="P771" t="str">
        <f>VLOOKUP(B771,PTN!A:B,2,FALSE)</f>
        <v>UNIVERSITAS INDONESIA</v>
      </c>
      <c r="Q771" t="str">
        <f t="shared" ref="Q771:Q834" si="12">P771&amp;D771</f>
        <v>UNIVERSITAS INDONESIATEKNOLOGI BIOPROSES</v>
      </c>
    </row>
    <row r="772" spans="1:17" ht="16.5" thickTop="1" thickBot="1" x14ac:dyDescent="0.3">
      <c r="A772" s="7">
        <v>771</v>
      </c>
      <c r="B772" s="6">
        <v>24</v>
      </c>
      <c r="C772" s="12">
        <v>3212162</v>
      </c>
      <c r="D772" t="s">
        <v>55</v>
      </c>
      <c r="E772" s="12">
        <v>59</v>
      </c>
      <c r="F772" s="10" t="s">
        <v>13</v>
      </c>
      <c r="I772" s="20"/>
      <c r="J772" s="138">
        <v>684.97</v>
      </c>
      <c r="K772" s="138">
        <v>693.10773000000006</v>
      </c>
      <c r="L772" s="138">
        <v>676.83226999999999</v>
      </c>
      <c r="M772" s="21"/>
      <c r="N772" s="83">
        <v>684.97</v>
      </c>
      <c r="P772" t="str">
        <f>VLOOKUP(B772,PTN!A:B,2,FALSE)</f>
        <v>UNIVERSITAS INDONESIA</v>
      </c>
      <c r="Q772" t="str">
        <f t="shared" si="12"/>
        <v>UNIVERSITAS INDONESIAAKUNTANSI</v>
      </c>
    </row>
    <row r="773" spans="1:17" ht="15.75" thickBot="1" x14ac:dyDescent="0.3">
      <c r="A773" s="7">
        <v>772</v>
      </c>
      <c r="B773" s="6">
        <v>24</v>
      </c>
      <c r="C773" s="13">
        <v>3212115</v>
      </c>
      <c r="D773" t="s">
        <v>144</v>
      </c>
      <c r="E773" s="13">
        <v>18</v>
      </c>
      <c r="F773" s="10" t="s">
        <v>13</v>
      </c>
      <c r="I773" s="22"/>
      <c r="J773" s="138">
        <v>647.84</v>
      </c>
      <c r="K773" s="138">
        <v>655.97773000000007</v>
      </c>
      <c r="L773" s="138">
        <v>639.70227</v>
      </c>
      <c r="M773" s="21"/>
      <c r="N773" s="83">
        <v>647.84</v>
      </c>
      <c r="P773" t="str">
        <f>VLOOKUP(B773,PTN!A:B,2,FALSE)</f>
        <v>UNIVERSITAS INDONESIA</v>
      </c>
      <c r="Q773" t="str">
        <f t="shared" si="12"/>
        <v>UNIVERSITAS INDONESIAANTROPOLOGI SOSIAL</v>
      </c>
    </row>
    <row r="774" spans="1:17" ht="16.5" thickTop="1" thickBot="1" x14ac:dyDescent="0.3">
      <c r="A774" s="7">
        <v>773</v>
      </c>
      <c r="B774" s="6">
        <v>24</v>
      </c>
      <c r="C774" s="12">
        <v>3212026</v>
      </c>
      <c r="D774" t="s">
        <v>297</v>
      </c>
      <c r="E774" s="12">
        <v>18</v>
      </c>
      <c r="F774" s="10" t="s">
        <v>13</v>
      </c>
      <c r="I774" s="23"/>
      <c r="J774" s="138">
        <v>623.49</v>
      </c>
      <c r="K774" s="138">
        <v>631.62773000000004</v>
      </c>
      <c r="L774" s="138">
        <v>615.35226999999998</v>
      </c>
      <c r="M774" s="25"/>
      <c r="N774" s="83">
        <v>623.49</v>
      </c>
      <c r="P774" t="str">
        <f>VLOOKUP(B774,PTN!A:B,2,FALSE)</f>
        <v>UNIVERSITAS INDONESIA</v>
      </c>
      <c r="Q774" t="str">
        <f t="shared" si="12"/>
        <v>UNIVERSITAS INDONESIAARKEOLOGI INDONESIA</v>
      </c>
    </row>
    <row r="775" spans="1:17" ht="16.5" thickTop="1" thickBot="1" x14ac:dyDescent="0.3">
      <c r="A775" s="7">
        <v>774</v>
      </c>
      <c r="B775" s="6">
        <v>24</v>
      </c>
      <c r="C775" s="13">
        <v>3212301</v>
      </c>
      <c r="D775" t="s">
        <v>298</v>
      </c>
      <c r="E775" s="13">
        <v>11</v>
      </c>
      <c r="F775" s="10" t="s">
        <v>13</v>
      </c>
      <c r="I775" s="26"/>
      <c r="J775" s="138">
        <v>655.89</v>
      </c>
      <c r="K775" s="138">
        <v>664.02773000000002</v>
      </c>
      <c r="L775" s="138">
        <v>647.75226999999995</v>
      </c>
      <c r="M775" s="27"/>
      <c r="N775" s="83">
        <v>655.89</v>
      </c>
      <c r="P775" t="str">
        <f>VLOOKUP(B775,PTN!A:B,2,FALSE)</f>
        <v>UNIVERSITAS INDONESIA</v>
      </c>
      <c r="Q775" t="str">
        <f t="shared" si="12"/>
        <v>UNIVERSITAS INDONESIABAHASA DAN KEBUDAYAAN KOREA</v>
      </c>
    </row>
    <row r="776" spans="1:17" ht="15.75" thickBot="1" x14ac:dyDescent="0.3">
      <c r="A776" s="7">
        <v>775</v>
      </c>
      <c r="B776" s="6">
        <v>24</v>
      </c>
      <c r="C776" s="12">
        <v>3212324</v>
      </c>
      <c r="D776" t="s">
        <v>299</v>
      </c>
      <c r="E776" s="12">
        <v>13</v>
      </c>
      <c r="F776" s="10" t="s">
        <v>13</v>
      </c>
      <c r="I776" s="87"/>
      <c r="J776" s="138">
        <v>651.45000000000005</v>
      </c>
      <c r="K776" s="138">
        <v>659.58773000000008</v>
      </c>
      <c r="L776" s="138">
        <v>643.31227000000001</v>
      </c>
      <c r="M776" s="28"/>
      <c r="N776" s="83">
        <v>651.45000000000005</v>
      </c>
      <c r="P776" t="str">
        <f>VLOOKUP(B776,PTN!A:B,2,FALSE)</f>
        <v>UNIVERSITAS INDONESIA</v>
      </c>
      <c r="Q776" t="str">
        <f t="shared" si="12"/>
        <v>UNIVERSITAS INDONESIABISNIS ISLAM</v>
      </c>
    </row>
    <row r="777" spans="1:17" ht="15.75" thickBot="1" x14ac:dyDescent="0.3">
      <c r="A777" s="7">
        <v>776</v>
      </c>
      <c r="B777" s="6">
        <v>24</v>
      </c>
      <c r="C777" s="13">
        <v>3212146</v>
      </c>
      <c r="D777" t="s">
        <v>300</v>
      </c>
      <c r="E777" s="13">
        <v>21</v>
      </c>
      <c r="F777" s="10" t="s">
        <v>13</v>
      </c>
      <c r="I777" s="26"/>
      <c r="J777" s="138">
        <v>667.11</v>
      </c>
      <c r="K777" s="138">
        <v>675.24773000000005</v>
      </c>
      <c r="L777" s="138">
        <v>658.97226999999998</v>
      </c>
      <c r="M777" s="27"/>
      <c r="N777" s="83">
        <v>667.11</v>
      </c>
      <c r="P777" t="str">
        <f>VLOOKUP(B777,PTN!A:B,2,FALSE)</f>
        <v>UNIVERSITAS INDONESIA</v>
      </c>
      <c r="Q777" t="str">
        <f t="shared" si="12"/>
        <v>UNIVERSITAS INDONESIAILMU ADMINISTRASI FISKAL</v>
      </c>
    </row>
    <row r="778" spans="1:17" ht="15.75" thickBot="1" x14ac:dyDescent="0.3">
      <c r="A778" s="7">
        <v>777</v>
      </c>
      <c r="B778" s="6">
        <v>24</v>
      </c>
      <c r="C778" s="12">
        <v>3212073</v>
      </c>
      <c r="D778" t="s">
        <v>29</v>
      </c>
      <c r="E778" s="12">
        <v>21</v>
      </c>
      <c r="F778" s="10" t="s">
        <v>13</v>
      </c>
      <c r="I778" s="87"/>
      <c r="J778" s="138">
        <v>656.52</v>
      </c>
      <c r="K778" s="138">
        <v>664.65773000000002</v>
      </c>
      <c r="L778" s="138">
        <v>648.38226999999995</v>
      </c>
      <c r="M778" s="28"/>
      <c r="N778" s="83">
        <v>656.52</v>
      </c>
      <c r="P778" t="str">
        <f>VLOOKUP(B778,PTN!A:B,2,FALSE)</f>
        <v>UNIVERSITAS INDONESIA</v>
      </c>
      <c r="Q778" t="str">
        <f t="shared" si="12"/>
        <v>UNIVERSITAS INDONESIAILMU ADMINISTRASI NEGARA</v>
      </c>
    </row>
    <row r="779" spans="1:17" ht="15.75" thickBot="1" x14ac:dyDescent="0.3">
      <c r="A779" s="7">
        <v>778</v>
      </c>
      <c r="B779" s="6">
        <v>24</v>
      </c>
      <c r="C779" s="13">
        <v>3212131</v>
      </c>
      <c r="D779" t="s">
        <v>58</v>
      </c>
      <c r="E779" s="13">
        <v>21</v>
      </c>
      <c r="F779" s="10" t="s">
        <v>13</v>
      </c>
      <c r="I779" s="26"/>
      <c r="J779" s="138">
        <v>660.76</v>
      </c>
      <c r="K779" s="138">
        <v>668.89773000000002</v>
      </c>
      <c r="L779" s="138">
        <v>652.62226999999996</v>
      </c>
      <c r="M779" s="27"/>
      <c r="N779" s="83">
        <v>660.76</v>
      </c>
      <c r="P779" t="str">
        <f>VLOOKUP(B779,PTN!A:B,2,FALSE)</f>
        <v>UNIVERSITAS INDONESIA</v>
      </c>
      <c r="Q779" t="str">
        <f t="shared" si="12"/>
        <v>UNIVERSITAS INDONESIAILMU ADMINISTRASI NIAGA</v>
      </c>
    </row>
    <row r="780" spans="1:17" ht="15.75" thickBot="1" x14ac:dyDescent="0.3">
      <c r="A780" s="7">
        <v>779</v>
      </c>
      <c r="B780" s="6">
        <v>24</v>
      </c>
      <c r="C780" s="12">
        <v>3212123</v>
      </c>
      <c r="D780" t="s">
        <v>30</v>
      </c>
      <c r="E780" s="12">
        <v>30</v>
      </c>
      <c r="F780" s="10" t="s">
        <v>13</v>
      </c>
      <c r="I780" s="87"/>
      <c r="J780" s="138">
        <v>699.46</v>
      </c>
      <c r="K780" s="138">
        <v>707.59773000000007</v>
      </c>
      <c r="L780" s="138">
        <v>691.32227</v>
      </c>
      <c r="M780" s="28"/>
      <c r="N780" s="83">
        <v>699.46</v>
      </c>
      <c r="P780" t="str">
        <f>VLOOKUP(B780,PTN!A:B,2,FALSE)</f>
        <v>UNIVERSITAS INDONESIA</v>
      </c>
      <c r="Q780" t="str">
        <f t="shared" si="12"/>
        <v>UNIVERSITAS INDONESIAILMU EKONOMI</v>
      </c>
    </row>
    <row r="781" spans="1:17" ht="15.75" thickBot="1" x14ac:dyDescent="0.3">
      <c r="A781" s="7">
        <v>780</v>
      </c>
      <c r="B781" s="6">
        <v>24</v>
      </c>
      <c r="C781" s="13">
        <v>3212316</v>
      </c>
      <c r="D781" t="s">
        <v>301</v>
      </c>
      <c r="E781" s="13">
        <v>12</v>
      </c>
      <c r="F781" s="10" t="s">
        <v>13</v>
      </c>
      <c r="I781" s="26"/>
      <c r="J781" s="138">
        <v>672.65</v>
      </c>
      <c r="K781" s="138">
        <v>680.78773000000001</v>
      </c>
      <c r="L781" s="138">
        <v>664.51226999999994</v>
      </c>
      <c r="M781" s="27"/>
      <c r="N781" s="83">
        <v>672.65</v>
      </c>
      <c r="P781" t="str">
        <f>VLOOKUP(B781,PTN!A:B,2,FALSE)</f>
        <v>UNIVERSITAS INDONESIA</v>
      </c>
      <c r="Q781" t="str">
        <f t="shared" si="12"/>
        <v>UNIVERSITAS INDONESIAILMU EKONOMI ISLAM</v>
      </c>
    </row>
    <row r="782" spans="1:17" ht="15.75" thickBot="1" x14ac:dyDescent="0.3">
      <c r="A782" s="7">
        <v>781</v>
      </c>
      <c r="B782" s="6">
        <v>24</v>
      </c>
      <c r="C782" s="12">
        <v>3212193</v>
      </c>
      <c r="D782" t="s">
        <v>302</v>
      </c>
      <c r="E782" s="12">
        <v>18</v>
      </c>
      <c r="F782" s="10" t="s">
        <v>13</v>
      </c>
      <c r="I782" s="87"/>
      <c r="J782" s="138">
        <v>627.84</v>
      </c>
      <c r="K782" s="138">
        <v>635.97773000000007</v>
      </c>
      <c r="L782" s="138">
        <v>619.70227</v>
      </c>
      <c r="M782" s="28"/>
      <c r="N782" s="83">
        <v>627.84</v>
      </c>
      <c r="P782" t="str">
        <f>VLOOKUP(B782,PTN!A:B,2,FALSE)</f>
        <v>UNIVERSITAS INDONESIA</v>
      </c>
      <c r="Q782" t="str">
        <f t="shared" si="12"/>
        <v>UNIVERSITAS INDONESIAILMU FILSAFAT</v>
      </c>
    </row>
    <row r="783" spans="1:17" ht="15.75" thickBot="1" x14ac:dyDescent="0.3">
      <c r="A783" s="7">
        <v>782</v>
      </c>
      <c r="B783" s="6">
        <v>24</v>
      </c>
      <c r="C783" s="13">
        <v>3212177</v>
      </c>
      <c r="D783" t="s">
        <v>168</v>
      </c>
      <c r="E783" s="13">
        <v>17</v>
      </c>
      <c r="F783" s="10" t="s">
        <v>13</v>
      </c>
      <c r="I783" s="26"/>
      <c r="J783" s="138">
        <v>702.17</v>
      </c>
      <c r="K783" s="138">
        <v>710.30772999999999</v>
      </c>
      <c r="L783" s="138">
        <v>694.03226999999993</v>
      </c>
      <c r="M783" s="27"/>
      <c r="N783" s="83">
        <v>702.17</v>
      </c>
      <c r="P783" t="str">
        <f>VLOOKUP(B783,PTN!A:B,2,FALSE)</f>
        <v>UNIVERSITAS INDONESIA</v>
      </c>
      <c r="Q783" t="str">
        <f t="shared" si="12"/>
        <v>UNIVERSITAS INDONESIAILMU HUBUNGAN INTERNASIONAL</v>
      </c>
    </row>
    <row r="784" spans="1:17" ht="15.75" thickBot="1" x14ac:dyDescent="0.3">
      <c r="A784" s="7">
        <v>783</v>
      </c>
      <c r="B784" s="6">
        <v>24</v>
      </c>
      <c r="C784" s="12">
        <v>3212011</v>
      </c>
      <c r="D784" t="s">
        <v>31</v>
      </c>
      <c r="E784" s="12">
        <v>126</v>
      </c>
      <c r="F784" s="10" t="s">
        <v>13</v>
      </c>
      <c r="I784" s="87"/>
      <c r="J784" s="138">
        <v>676.25</v>
      </c>
      <c r="K784" s="138">
        <v>684.38773000000003</v>
      </c>
      <c r="L784" s="138">
        <v>668.11226999999997</v>
      </c>
      <c r="M784" s="28"/>
      <c r="N784" s="83">
        <v>676.25</v>
      </c>
      <c r="P784" t="str">
        <f>VLOOKUP(B784,PTN!A:B,2,FALSE)</f>
        <v>UNIVERSITAS INDONESIA</v>
      </c>
      <c r="Q784" t="str">
        <f t="shared" si="12"/>
        <v>UNIVERSITAS INDONESIAILMU HUKUM</v>
      </c>
    </row>
    <row r="785" spans="1:17" ht="15.75" thickBot="1" x14ac:dyDescent="0.3">
      <c r="A785" s="7">
        <v>784</v>
      </c>
      <c r="B785" s="6">
        <v>24</v>
      </c>
      <c r="C785" s="13">
        <v>3212107</v>
      </c>
      <c r="D785" t="s">
        <v>147</v>
      </c>
      <c r="E785" s="13">
        <v>18</v>
      </c>
      <c r="F785" s="10" t="s">
        <v>13</v>
      </c>
      <c r="I785" s="26"/>
      <c r="J785" s="138">
        <v>649.33000000000004</v>
      </c>
      <c r="K785" s="138">
        <v>657.46773000000007</v>
      </c>
      <c r="L785" s="138">
        <v>641.19227000000001</v>
      </c>
      <c r="M785" s="27"/>
      <c r="N785" s="83">
        <v>649.33000000000004</v>
      </c>
      <c r="P785" t="str">
        <f>VLOOKUP(B785,PTN!A:B,2,FALSE)</f>
        <v>UNIVERSITAS INDONESIA</v>
      </c>
      <c r="Q785" t="str">
        <f t="shared" si="12"/>
        <v>UNIVERSITAS INDONESIAILMU KESEJAHTERAAN SOSIAL</v>
      </c>
    </row>
    <row r="786" spans="1:17" ht="15.75" thickBot="1" x14ac:dyDescent="0.3">
      <c r="A786" s="7">
        <v>785</v>
      </c>
      <c r="B786" s="6">
        <v>24</v>
      </c>
      <c r="C786" s="12">
        <v>3212057</v>
      </c>
      <c r="D786" t="s">
        <v>60</v>
      </c>
      <c r="E786" s="12">
        <v>30</v>
      </c>
      <c r="F786" s="10" t="s">
        <v>13</v>
      </c>
      <c r="I786" s="87"/>
      <c r="J786" s="138">
        <v>672.74</v>
      </c>
      <c r="K786" s="138">
        <v>680.87773000000004</v>
      </c>
      <c r="L786" s="138">
        <v>664.60226999999998</v>
      </c>
      <c r="M786" s="28"/>
      <c r="N786" s="83">
        <v>672.74</v>
      </c>
      <c r="P786" t="str">
        <f>VLOOKUP(B786,PTN!A:B,2,FALSE)</f>
        <v>UNIVERSITAS INDONESIA</v>
      </c>
      <c r="Q786" t="str">
        <f t="shared" si="12"/>
        <v>UNIVERSITAS INDONESIAILMU KOMUNIKASI</v>
      </c>
    </row>
    <row r="787" spans="1:17" ht="15.75" thickBot="1" x14ac:dyDescent="0.3">
      <c r="A787" s="7">
        <v>786</v>
      </c>
      <c r="B787" s="6">
        <v>24</v>
      </c>
      <c r="C787" s="13">
        <v>3212185</v>
      </c>
      <c r="D787" t="s">
        <v>32</v>
      </c>
      <c r="E787" s="13">
        <v>18</v>
      </c>
      <c r="F787" s="10" t="s">
        <v>13</v>
      </c>
      <c r="I787" s="26"/>
      <c r="J787" s="138">
        <v>650.02</v>
      </c>
      <c r="K787" s="138">
        <v>658.15773000000002</v>
      </c>
      <c r="L787" s="138">
        <v>641.88226999999995</v>
      </c>
      <c r="M787" s="27"/>
      <c r="N787" s="83">
        <v>650.02</v>
      </c>
      <c r="P787" t="str">
        <f>VLOOKUP(B787,PTN!A:B,2,FALSE)</f>
        <v>UNIVERSITAS INDONESIA</v>
      </c>
      <c r="Q787" t="str">
        <f t="shared" si="12"/>
        <v>UNIVERSITAS INDONESIAILMU PERPUSTAKAAN</v>
      </c>
    </row>
    <row r="788" spans="1:17" ht="15.75" thickBot="1" x14ac:dyDescent="0.3">
      <c r="A788" s="7">
        <v>787</v>
      </c>
      <c r="B788" s="6">
        <v>24</v>
      </c>
      <c r="C788" s="12">
        <v>3212065</v>
      </c>
      <c r="D788" t="s">
        <v>33</v>
      </c>
      <c r="E788" s="12">
        <v>16</v>
      </c>
      <c r="F788" s="10" t="s">
        <v>13</v>
      </c>
      <c r="I788" s="87"/>
      <c r="J788" s="138">
        <v>654.62</v>
      </c>
      <c r="K788" s="138">
        <v>662.75773000000004</v>
      </c>
      <c r="L788" s="138">
        <v>646.48226999999997</v>
      </c>
      <c r="M788" s="28"/>
      <c r="N788" s="83">
        <v>654.62</v>
      </c>
      <c r="P788" t="str">
        <f>VLOOKUP(B788,PTN!A:B,2,FALSE)</f>
        <v>UNIVERSITAS INDONESIA</v>
      </c>
      <c r="Q788" t="str">
        <f t="shared" si="12"/>
        <v>UNIVERSITAS INDONESIAILMU POLITIK</v>
      </c>
    </row>
    <row r="789" spans="1:17" ht="15.75" thickBot="1" x14ac:dyDescent="0.3">
      <c r="A789" s="7">
        <v>788</v>
      </c>
      <c r="B789" s="6">
        <v>24</v>
      </c>
      <c r="C789" s="13">
        <v>3212042</v>
      </c>
      <c r="D789" t="s">
        <v>303</v>
      </c>
      <c r="E789" s="13">
        <v>60</v>
      </c>
      <c r="F789" s="10" t="s">
        <v>13</v>
      </c>
      <c r="I789" s="26"/>
      <c r="J789" s="138">
        <v>684.05</v>
      </c>
      <c r="K789" s="138">
        <v>692.18772999999999</v>
      </c>
      <c r="L789" s="138">
        <v>675.91226999999992</v>
      </c>
      <c r="M789" s="27"/>
      <c r="N789" s="83">
        <v>684.05</v>
      </c>
      <c r="P789" t="str">
        <f>VLOOKUP(B789,PTN!A:B,2,FALSE)</f>
        <v>UNIVERSITAS INDONESIA</v>
      </c>
      <c r="Q789" t="str">
        <f t="shared" si="12"/>
        <v>UNIVERSITAS INDONESIAILMU PSIKOLOGI</v>
      </c>
    </row>
    <row r="790" spans="1:17" ht="15.75" thickBot="1" x14ac:dyDescent="0.3">
      <c r="A790" s="7">
        <v>789</v>
      </c>
      <c r="B790" s="6">
        <v>24</v>
      </c>
      <c r="C790" s="12">
        <v>3212034</v>
      </c>
      <c r="D790" t="s">
        <v>148</v>
      </c>
      <c r="E790" s="12">
        <v>18</v>
      </c>
      <c r="F790" s="10" t="s">
        <v>13</v>
      </c>
      <c r="I790" s="87"/>
      <c r="J790" s="138">
        <v>649.61</v>
      </c>
      <c r="K790" s="138">
        <v>657.74773000000005</v>
      </c>
      <c r="L790" s="138">
        <v>641.47226999999998</v>
      </c>
      <c r="M790" s="28"/>
      <c r="N790" s="83">
        <v>649.61</v>
      </c>
      <c r="P790" t="str">
        <f>VLOOKUP(B790,PTN!A:B,2,FALSE)</f>
        <v>UNIVERSITAS INDONESIA</v>
      </c>
      <c r="Q790" t="str">
        <f t="shared" si="12"/>
        <v>UNIVERSITAS INDONESIAILMU SEJARAH</v>
      </c>
    </row>
    <row r="791" spans="1:17" ht="15.75" thickBot="1" x14ac:dyDescent="0.3">
      <c r="A791" s="7">
        <v>790</v>
      </c>
      <c r="B791" s="6">
        <v>24</v>
      </c>
      <c r="C791" s="13">
        <v>3212081</v>
      </c>
      <c r="D791" t="s">
        <v>304</v>
      </c>
      <c r="E791" s="13">
        <v>18</v>
      </c>
      <c r="F791" s="10" t="s">
        <v>13</v>
      </c>
      <c r="I791" s="26"/>
      <c r="J791" s="138">
        <v>658.79</v>
      </c>
      <c r="K791" s="138">
        <v>666.92773</v>
      </c>
      <c r="L791" s="138">
        <v>650.65226999999993</v>
      </c>
      <c r="M791" s="27"/>
      <c r="N791" s="83">
        <v>658.79</v>
      </c>
      <c r="P791" t="str">
        <f>VLOOKUP(B791,PTN!A:B,2,FALSE)</f>
        <v>UNIVERSITAS INDONESIA</v>
      </c>
      <c r="Q791" t="str">
        <f t="shared" si="12"/>
        <v>UNIVERSITAS INDONESIAKRIMINOLOGI</v>
      </c>
    </row>
    <row r="792" spans="1:17" ht="15.75" thickBot="1" x14ac:dyDescent="0.3">
      <c r="A792" s="7">
        <v>791</v>
      </c>
      <c r="B792" s="6">
        <v>24</v>
      </c>
      <c r="C792" s="12">
        <v>3212154</v>
      </c>
      <c r="D792" t="s">
        <v>61</v>
      </c>
      <c r="E792" s="12">
        <v>63</v>
      </c>
      <c r="F792" s="10" t="s">
        <v>13</v>
      </c>
      <c r="I792" s="87"/>
      <c r="J792" s="138">
        <v>681.26</v>
      </c>
      <c r="K792" s="138">
        <v>689.39773000000002</v>
      </c>
      <c r="L792" s="138">
        <v>673.12226999999996</v>
      </c>
      <c r="M792" s="28"/>
      <c r="N792" s="83">
        <v>681.26</v>
      </c>
      <c r="P792" t="str">
        <f>VLOOKUP(B792,PTN!A:B,2,FALSE)</f>
        <v>UNIVERSITAS INDONESIA</v>
      </c>
      <c r="Q792" t="str">
        <f t="shared" si="12"/>
        <v>UNIVERSITAS INDONESIAMANAJEMEN</v>
      </c>
    </row>
    <row r="793" spans="1:17" ht="15.75" thickBot="1" x14ac:dyDescent="0.3">
      <c r="A793" s="7">
        <v>792</v>
      </c>
      <c r="B793" s="6">
        <v>24</v>
      </c>
      <c r="C793" s="13">
        <v>3212243</v>
      </c>
      <c r="D793" t="s">
        <v>149</v>
      </c>
      <c r="E793" s="13">
        <v>15</v>
      </c>
      <c r="F793" s="10" t="s">
        <v>13</v>
      </c>
      <c r="I793" s="26"/>
      <c r="J793" s="138">
        <v>637.25</v>
      </c>
      <c r="K793" s="138">
        <v>645.38773000000003</v>
      </c>
      <c r="L793" s="138">
        <v>629.11226999999997</v>
      </c>
      <c r="M793" s="27"/>
      <c r="N793" s="83">
        <v>637.25</v>
      </c>
      <c r="P793" t="str">
        <f>VLOOKUP(B793,PTN!A:B,2,FALSE)</f>
        <v>UNIVERSITAS INDONESIA</v>
      </c>
      <c r="Q793" t="str">
        <f t="shared" si="12"/>
        <v>UNIVERSITAS INDONESIASASTRA ARAB</v>
      </c>
    </row>
    <row r="794" spans="1:17" ht="15.75" thickBot="1" x14ac:dyDescent="0.3">
      <c r="A794" s="7">
        <v>793</v>
      </c>
      <c r="B794" s="6">
        <v>24</v>
      </c>
      <c r="C794" s="12">
        <v>3212282</v>
      </c>
      <c r="D794" t="s">
        <v>305</v>
      </c>
      <c r="E794" s="12">
        <v>15</v>
      </c>
      <c r="F794" s="10" t="s">
        <v>13</v>
      </c>
      <c r="I794" s="87"/>
      <c r="J794" s="138">
        <v>631.42999999999995</v>
      </c>
      <c r="K794" s="138">
        <v>639.56772999999998</v>
      </c>
      <c r="L794" s="138">
        <v>623.29226999999992</v>
      </c>
      <c r="M794" s="28"/>
      <c r="N794" s="83">
        <v>631.42999999999995</v>
      </c>
      <c r="P794" t="str">
        <f>VLOOKUP(B794,PTN!A:B,2,FALSE)</f>
        <v>UNIVERSITAS INDONESIA</v>
      </c>
      <c r="Q794" t="str">
        <f t="shared" si="12"/>
        <v>UNIVERSITAS INDONESIASASTRA BELANDA</v>
      </c>
    </row>
    <row r="795" spans="1:17" ht="15.75" thickBot="1" x14ac:dyDescent="0.3">
      <c r="A795" s="7">
        <v>794</v>
      </c>
      <c r="B795" s="6">
        <v>24</v>
      </c>
      <c r="C795" s="13">
        <v>3212235</v>
      </c>
      <c r="D795" t="s">
        <v>150</v>
      </c>
      <c r="E795" s="13">
        <v>15</v>
      </c>
      <c r="F795" s="10" t="s">
        <v>13</v>
      </c>
      <c r="I795" s="26"/>
      <c r="J795" s="138">
        <v>640.66</v>
      </c>
      <c r="K795" s="138">
        <v>648.79773</v>
      </c>
      <c r="L795" s="138">
        <v>632.52226999999993</v>
      </c>
      <c r="M795" s="27"/>
      <c r="N795" s="83">
        <v>640.66</v>
      </c>
      <c r="P795" t="str">
        <f>VLOOKUP(B795,PTN!A:B,2,FALSE)</f>
        <v>UNIVERSITAS INDONESIA</v>
      </c>
      <c r="Q795" t="str">
        <f t="shared" si="12"/>
        <v>UNIVERSITAS INDONESIASASTRA CINA</v>
      </c>
    </row>
    <row r="796" spans="1:17" ht="15.75" thickBot="1" x14ac:dyDescent="0.3">
      <c r="A796" s="7">
        <v>795</v>
      </c>
      <c r="B796" s="6">
        <v>24</v>
      </c>
      <c r="C796" s="12">
        <v>3212212</v>
      </c>
      <c r="D796" t="s">
        <v>306</v>
      </c>
      <c r="E796" s="12">
        <v>15</v>
      </c>
      <c r="F796" s="10" t="s">
        <v>13</v>
      </c>
      <c r="I796" s="87"/>
      <c r="J796" s="138">
        <v>610.30999999999995</v>
      </c>
      <c r="K796" s="138">
        <v>618.44772999999998</v>
      </c>
      <c r="L796" s="138">
        <v>602.17226999999991</v>
      </c>
      <c r="M796" s="28"/>
      <c r="N796" s="83">
        <v>610.30999999999995</v>
      </c>
      <c r="P796" t="str">
        <f>VLOOKUP(B796,PTN!A:B,2,FALSE)</f>
        <v>UNIVERSITAS INDONESIA</v>
      </c>
      <c r="Q796" t="str">
        <f t="shared" si="12"/>
        <v>UNIVERSITAS INDONESIASASTRA DAERAH UNTUK SASTRA JAWA</v>
      </c>
    </row>
    <row r="797" spans="1:17" ht="15.75" thickBot="1" x14ac:dyDescent="0.3">
      <c r="A797" s="7">
        <v>796</v>
      </c>
      <c r="B797" s="6">
        <v>24</v>
      </c>
      <c r="C797" s="13">
        <v>3212204</v>
      </c>
      <c r="D797" t="s">
        <v>62</v>
      </c>
      <c r="E797" s="13">
        <v>18</v>
      </c>
      <c r="F797" s="10" t="s">
        <v>13</v>
      </c>
      <c r="I797" s="26"/>
      <c r="J797" s="138">
        <v>639.30999999999995</v>
      </c>
      <c r="K797" s="138">
        <v>647.44772999999998</v>
      </c>
      <c r="L797" s="138">
        <v>631.17226999999991</v>
      </c>
      <c r="M797" s="27"/>
      <c r="N797" s="83">
        <v>639.30999999999995</v>
      </c>
      <c r="P797" t="str">
        <f>VLOOKUP(B797,PTN!A:B,2,FALSE)</f>
        <v>UNIVERSITAS INDONESIA</v>
      </c>
      <c r="Q797" t="str">
        <f t="shared" si="12"/>
        <v>UNIVERSITAS INDONESIASASTRA INDONESIA</v>
      </c>
    </row>
    <row r="798" spans="1:17" ht="15.75" thickBot="1" x14ac:dyDescent="0.3">
      <c r="A798" s="7">
        <v>797</v>
      </c>
      <c r="B798" s="6">
        <v>24</v>
      </c>
      <c r="C798" s="12">
        <v>3212266</v>
      </c>
      <c r="D798" t="s">
        <v>139</v>
      </c>
      <c r="E798" s="12">
        <v>15</v>
      </c>
      <c r="F798" s="10" t="s">
        <v>13</v>
      </c>
      <c r="I798" s="87"/>
      <c r="J798" s="138">
        <v>656.35</v>
      </c>
      <c r="K798" s="138">
        <v>664.48773000000006</v>
      </c>
      <c r="L798" s="138">
        <v>648.21226999999999</v>
      </c>
      <c r="M798" s="28"/>
      <c r="N798" s="83">
        <v>656.35</v>
      </c>
      <c r="P798" t="str">
        <f>VLOOKUP(B798,PTN!A:B,2,FALSE)</f>
        <v>UNIVERSITAS INDONESIA</v>
      </c>
      <c r="Q798" t="str">
        <f t="shared" si="12"/>
        <v>UNIVERSITAS INDONESIASASTRA INGGRIS</v>
      </c>
    </row>
    <row r="799" spans="1:17" ht="15.75" thickBot="1" x14ac:dyDescent="0.3">
      <c r="A799" s="7">
        <v>798</v>
      </c>
      <c r="B799" s="6">
        <v>24</v>
      </c>
      <c r="C799" s="13">
        <v>3212227</v>
      </c>
      <c r="D799" t="s">
        <v>153</v>
      </c>
      <c r="E799" s="13">
        <v>15</v>
      </c>
      <c r="F799" s="10" t="s">
        <v>13</v>
      </c>
      <c r="I799" s="26"/>
      <c r="J799" s="138">
        <v>661.37</v>
      </c>
      <c r="K799" s="138">
        <v>669.50773000000004</v>
      </c>
      <c r="L799" s="138">
        <v>653.23226999999997</v>
      </c>
      <c r="M799" s="27"/>
      <c r="N799" s="83">
        <v>661.37</v>
      </c>
      <c r="P799" t="str">
        <f>VLOOKUP(B799,PTN!A:B,2,FALSE)</f>
        <v>UNIVERSITAS INDONESIA</v>
      </c>
      <c r="Q799" t="str">
        <f t="shared" si="12"/>
        <v>UNIVERSITAS INDONESIASASTRA JEPANG</v>
      </c>
    </row>
    <row r="800" spans="1:17" ht="15.75" thickBot="1" x14ac:dyDescent="0.3">
      <c r="A800" s="7">
        <v>799</v>
      </c>
      <c r="B800" s="6">
        <v>24</v>
      </c>
      <c r="C800" s="12">
        <v>3212274</v>
      </c>
      <c r="D800" t="s">
        <v>307</v>
      </c>
      <c r="E800" s="12">
        <v>15</v>
      </c>
      <c r="F800" s="10" t="s">
        <v>13</v>
      </c>
      <c r="I800" s="87"/>
      <c r="J800" s="138">
        <v>640.29999999999995</v>
      </c>
      <c r="K800" s="138">
        <v>648.43772999999999</v>
      </c>
      <c r="L800" s="138">
        <v>632.16226999999992</v>
      </c>
      <c r="M800" s="28"/>
      <c r="N800" s="83">
        <v>640.29999999999995</v>
      </c>
      <c r="P800" t="str">
        <f>VLOOKUP(B800,PTN!A:B,2,FALSE)</f>
        <v>UNIVERSITAS INDONESIA</v>
      </c>
      <c r="Q800" t="str">
        <f t="shared" si="12"/>
        <v>UNIVERSITAS INDONESIASASTRA JERMAN</v>
      </c>
    </row>
    <row r="801" spans="1:17" ht="15.75" thickBot="1" x14ac:dyDescent="0.3">
      <c r="A801" s="7">
        <v>800</v>
      </c>
      <c r="B801" s="6">
        <v>24</v>
      </c>
      <c r="C801" s="13">
        <v>3212251</v>
      </c>
      <c r="D801" t="s">
        <v>308</v>
      </c>
      <c r="E801" s="13">
        <v>11</v>
      </c>
      <c r="F801" s="10" t="s">
        <v>13</v>
      </c>
      <c r="I801" s="26"/>
      <c r="J801" s="138">
        <v>633.41999999999996</v>
      </c>
      <c r="K801" s="138">
        <v>641.55772999999999</v>
      </c>
      <c r="L801" s="138">
        <v>625.28226999999993</v>
      </c>
      <c r="M801" s="27"/>
      <c r="N801" s="83">
        <v>633.41999999999996</v>
      </c>
      <c r="P801" t="str">
        <f>VLOOKUP(B801,PTN!A:B,2,FALSE)</f>
        <v>UNIVERSITAS INDONESIA</v>
      </c>
      <c r="Q801" t="str">
        <f t="shared" si="12"/>
        <v>UNIVERSITAS INDONESIASASTRA PERANCIS</v>
      </c>
    </row>
    <row r="802" spans="1:17" ht="15.75" thickBot="1" x14ac:dyDescent="0.3">
      <c r="A802" s="7">
        <v>801</v>
      </c>
      <c r="B802" s="6">
        <v>24</v>
      </c>
      <c r="C802" s="12">
        <v>3212297</v>
      </c>
      <c r="D802" t="s">
        <v>309</v>
      </c>
      <c r="E802" s="12">
        <v>15</v>
      </c>
      <c r="F802" s="10" t="s">
        <v>13</v>
      </c>
      <c r="I802" s="87"/>
      <c r="J802" s="138">
        <v>625.83000000000004</v>
      </c>
      <c r="K802" s="138">
        <v>633.96773000000007</v>
      </c>
      <c r="L802" s="138">
        <v>617.69227000000001</v>
      </c>
      <c r="M802" s="28"/>
      <c r="N802" s="83">
        <v>625.83000000000004</v>
      </c>
      <c r="P802" t="str">
        <f>VLOOKUP(B802,PTN!A:B,2,FALSE)</f>
        <v>UNIVERSITAS INDONESIA</v>
      </c>
      <c r="Q802" t="str">
        <f t="shared" si="12"/>
        <v>UNIVERSITAS INDONESIASASTRA RUSIA</v>
      </c>
    </row>
    <row r="803" spans="1:17" ht="15.75" thickBot="1" x14ac:dyDescent="0.3">
      <c r="A803" s="7">
        <v>802</v>
      </c>
      <c r="B803" s="6">
        <v>24</v>
      </c>
      <c r="C803" s="16">
        <v>3212096</v>
      </c>
      <c r="D803" t="s">
        <v>63</v>
      </c>
      <c r="E803" s="16">
        <v>20</v>
      </c>
      <c r="F803" s="10" t="s">
        <v>13</v>
      </c>
      <c r="I803" s="26"/>
      <c r="J803" s="138">
        <v>648.66999999999996</v>
      </c>
      <c r="K803" s="138">
        <v>656.80772999999999</v>
      </c>
      <c r="L803" s="138">
        <v>640.53226999999993</v>
      </c>
      <c r="M803" s="27"/>
      <c r="N803" s="83">
        <v>648.66999999999996</v>
      </c>
      <c r="P803" t="str">
        <f>VLOOKUP(B803,PTN!A:B,2,FALSE)</f>
        <v>UNIVERSITAS INDONESIA</v>
      </c>
      <c r="Q803" t="str">
        <f t="shared" si="12"/>
        <v>UNIVERSITAS INDONESIASOSIOLOGI</v>
      </c>
    </row>
    <row r="804" spans="1:17" ht="16.5" thickTop="1" thickBot="1" x14ac:dyDescent="0.3">
      <c r="A804" s="7">
        <v>803</v>
      </c>
      <c r="B804" s="6">
        <v>25</v>
      </c>
      <c r="C804" s="12">
        <v>3221056</v>
      </c>
      <c r="D804" t="s">
        <v>21</v>
      </c>
      <c r="E804" s="12">
        <v>36</v>
      </c>
      <c r="F804" s="10" t="s">
        <v>20</v>
      </c>
      <c r="I804" s="20"/>
      <c r="J804" s="138">
        <v>480</v>
      </c>
      <c r="K804" s="138" t="s">
        <v>1292</v>
      </c>
      <c r="L804" s="138" t="s">
        <v>1292</v>
      </c>
      <c r="M804" s="21"/>
      <c r="N804" s="83">
        <v>480</v>
      </c>
      <c r="P804" t="str">
        <f>VLOOKUP(B804,PTN!A:B,2,FALSE)</f>
        <v>UIN SYARIF HIDAYATULLAH JAKARTA</v>
      </c>
      <c r="Q804" t="str">
        <f t="shared" si="12"/>
        <v>UIN SYARIF HIDAYATULLAH JAKARTABIOLOGI</v>
      </c>
    </row>
    <row r="805" spans="1:17" ht="15.75" thickBot="1" x14ac:dyDescent="0.3">
      <c r="A805" s="7">
        <v>804</v>
      </c>
      <c r="B805" s="6">
        <v>25</v>
      </c>
      <c r="C805" s="13">
        <v>3221095</v>
      </c>
      <c r="D805" t="s">
        <v>77</v>
      </c>
      <c r="E805" s="13">
        <v>33</v>
      </c>
      <c r="F805" s="10" t="s">
        <v>20</v>
      </c>
      <c r="I805" s="22"/>
      <c r="J805" s="138">
        <v>626.36</v>
      </c>
      <c r="K805" s="138">
        <v>631.6</v>
      </c>
      <c r="L805" s="138">
        <v>621.12</v>
      </c>
      <c r="M805" s="21"/>
      <c r="N805" s="83">
        <v>626.36</v>
      </c>
      <c r="P805" t="str">
        <f>VLOOKUP(B805,PTN!A:B,2,FALSE)</f>
        <v>UIN SYARIF HIDAYATULLAH JAKARTA</v>
      </c>
      <c r="Q805" t="str">
        <f t="shared" si="12"/>
        <v>UIN SYARIF HIDAYATULLAH JAKARTAFARMASI</v>
      </c>
    </row>
    <row r="806" spans="1:17" ht="16.5" thickTop="1" thickBot="1" x14ac:dyDescent="0.3">
      <c r="A806" s="7">
        <v>805</v>
      </c>
      <c r="B806" s="6">
        <v>25</v>
      </c>
      <c r="C806" s="12">
        <v>3221072</v>
      </c>
      <c r="D806" t="s">
        <v>65</v>
      </c>
      <c r="E806" s="12">
        <v>30</v>
      </c>
      <c r="F806" s="10" t="s">
        <v>20</v>
      </c>
      <c r="I806" s="23"/>
      <c r="J806" s="138" t="s">
        <v>1292</v>
      </c>
      <c r="K806" s="138" t="s">
        <v>1292</v>
      </c>
      <c r="L806" s="138" t="s">
        <v>1292</v>
      </c>
      <c r="M806" s="25"/>
      <c r="N806" s="83" t="s">
        <v>1292</v>
      </c>
      <c r="P806" t="str">
        <f>VLOOKUP(B806,PTN!A:B,2,FALSE)</f>
        <v>UIN SYARIF HIDAYATULLAH JAKARTA</v>
      </c>
      <c r="Q806" t="str">
        <f t="shared" si="12"/>
        <v>UIN SYARIF HIDAYATULLAH JAKARTAFISIKA</v>
      </c>
    </row>
    <row r="807" spans="1:17" ht="16.5" thickTop="1" thickBot="1" x14ac:dyDescent="0.3">
      <c r="A807" s="7">
        <v>806</v>
      </c>
      <c r="B807" s="6">
        <v>25</v>
      </c>
      <c r="C807" s="13">
        <v>3221106</v>
      </c>
      <c r="D807" t="s">
        <v>78</v>
      </c>
      <c r="E807" s="13">
        <v>30</v>
      </c>
      <c r="F807" s="10" t="s">
        <v>20</v>
      </c>
      <c r="I807" s="26"/>
      <c r="J807" s="138">
        <v>540</v>
      </c>
      <c r="K807" s="138" t="s">
        <v>1292</v>
      </c>
      <c r="L807" s="138" t="s">
        <v>1292</v>
      </c>
      <c r="M807" s="27"/>
      <c r="N807" s="83">
        <v>540</v>
      </c>
      <c r="P807" t="str">
        <f>VLOOKUP(B807,PTN!A:B,2,FALSE)</f>
        <v>UIN SYARIF HIDAYATULLAH JAKARTA</v>
      </c>
      <c r="Q807" t="str">
        <f t="shared" si="12"/>
        <v>UIN SYARIF HIDAYATULLAH JAKARTAILMU KEPERAWATAN</v>
      </c>
    </row>
    <row r="808" spans="1:17" ht="15.75" thickBot="1" x14ac:dyDescent="0.3">
      <c r="A808" s="7">
        <v>807</v>
      </c>
      <c r="B808" s="6">
        <v>25</v>
      </c>
      <c r="C808" s="12">
        <v>3221087</v>
      </c>
      <c r="D808" t="s">
        <v>107</v>
      </c>
      <c r="E808" s="12">
        <v>36</v>
      </c>
      <c r="F808" s="10" t="s">
        <v>20</v>
      </c>
      <c r="I808" s="87"/>
      <c r="J808" s="138">
        <v>604.09</v>
      </c>
      <c r="K808" s="138">
        <v>610.88499999999999</v>
      </c>
      <c r="L808" s="138">
        <v>597.29500000000007</v>
      </c>
      <c r="M808" s="28"/>
      <c r="N808" s="83">
        <v>604.09</v>
      </c>
      <c r="P808" t="str">
        <f>VLOOKUP(B808,PTN!A:B,2,FALSE)</f>
        <v>UIN SYARIF HIDAYATULLAH JAKARTA</v>
      </c>
      <c r="Q808" t="str">
        <f t="shared" si="12"/>
        <v>UIN SYARIF HIDAYATULLAH JAKARTAKESEHATAN MASYARAKAT</v>
      </c>
    </row>
    <row r="809" spans="1:17" ht="15.75" thickBot="1" x14ac:dyDescent="0.3">
      <c r="A809" s="7">
        <v>808</v>
      </c>
      <c r="B809" s="6">
        <v>25</v>
      </c>
      <c r="C809" s="13">
        <v>3221064</v>
      </c>
      <c r="D809" t="s">
        <v>22</v>
      </c>
      <c r="E809" s="13">
        <v>36</v>
      </c>
      <c r="F809" s="10" t="s">
        <v>20</v>
      </c>
      <c r="I809" s="26"/>
      <c r="J809" s="138">
        <v>599.45000000000005</v>
      </c>
      <c r="K809" s="138">
        <v>605.79500000000007</v>
      </c>
      <c r="L809" s="138">
        <v>593.10500000000002</v>
      </c>
      <c r="M809" s="27"/>
      <c r="N809" s="83">
        <v>599.45000000000005</v>
      </c>
      <c r="P809" t="str">
        <f>VLOOKUP(B809,PTN!A:B,2,FALSE)</f>
        <v>UIN SYARIF HIDAYATULLAH JAKARTA</v>
      </c>
      <c r="Q809" t="str">
        <f t="shared" si="12"/>
        <v>UIN SYARIF HIDAYATULLAH JAKARTAKIMIA</v>
      </c>
    </row>
    <row r="810" spans="1:17" ht="15.75" thickBot="1" x14ac:dyDescent="0.3">
      <c r="A810" s="7">
        <v>809</v>
      </c>
      <c r="B810" s="6">
        <v>25</v>
      </c>
      <c r="C810" s="12">
        <v>3221041</v>
      </c>
      <c r="D810" t="s">
        <v>66</v>
      </c>
      <c r="E810" s="12">
        <v>24</v>
      </c>
      <c r="F810" s="10" t="s">
        <v>20</v>
      </c>
      <c r="I810" s="87"/>
      <c r="J810" s="138">
        <v>605.29</v>
      </c>
      <c r="K810" s="138">
        <v>611.74</v>
      </c>
      <c r="L810" s="138">
        <v>598.83999999999992</v>
      </c>
      <c r="M810" s="28"/>
      <c r="N810" s="83">
        <v>605.29</v>
      </c>
      <c r="P810" t="str">
        <f>VLOOKUP(B810,PTN!A:B,2,FALSE)</f>
        <v>UIN SYARIF HIDAYATULLAH JAKARTA</v>
      </c>
      <c r="Q810" t="str">
        <f t="shared" si="12"/>
        <v>UIN SYARIF HIDAYATULLAH JAKARTAMATEMATIKA</v>
      </c>
    </row>
    <row r="811" spans="1:17" ht="15.75" thickBot="1" x14ac:dyDescent="0.3">
      <c r="A811" s="7">
        <v>810</v>
      </c>
      <c r="B811" s="6">
        <v>25</v>
      </c>
      <c r="C811" s="13">
        <v>3221114</v>
      </c>
      <c r="D811" t="s">
        <v>41</v>
      </c>
      <c r="E811" s="13">
        <v>30</v>
      </c>
      <c r="F811" s="10" t="s">
        <v>20</v>
      </c>
      <c r="I811" s="26"/>
      <c r="J811" s="138">
        <v>669.19</v>
      </c>
      <c r="K811" s="138">
        <v>676.27500000000009</v>
      </c>
      <c r="L811" s="138">
        <v>662.10500000000002</v>
      </c>
      <c r="M811" s="27"/>
      <c r="N811" s="83">
        <v>669.19</v>
      </c>
      <c r="P811" t="str">
        <f>VLOOKUP(B811,PTN!A:B,2,FALSE)</f>
        <v>UIN SYARIF HIDAYATULLAH JAKARTA</v>
      </c>
      <c r="Q811" t="str">
        <f t="shared" si="12"/>
        <v>UIN SYARIF HIDAYATULLAH JAKARTAPENDIDIKAN DOKTER</v>
      </c>
    </row>
    <row r="812" spans="1:17" ht="15.75" thickBot="1" x14ac:dyDescent="0.3">
      <c r="A812" s="7">
        <v>811</v>
      </c>
      <c r="B812" s="6">
        <v>25</v>
      </c>
      <c r="C812" s="12">
        <v>3221145</v>
      </c>
      <c r="D812" t="s">
        <v>43</v>
      </c>
      <c r="E812" s="12">
        <v>29</v>
      </c>
      <c r="F812" s="10" t="s">
        <v>20</v>
      </c>
      <c r="I812" s="87"/>
      <c r="J812" s="138" t="s">
        <v>1292</v>
      </c>
      <c r="K812" s="138" t="s">
        <v>1292</v>
      </c>
      <c r="L812" s="138" t="s">
        <v>1292</v>
      </c>
      <c r="M812" s="28"/>
      <c r="N812" s="83" t="s">
        <v>1292</v>
      </c>
      <c r="P812" t="str">
        <f>VLOOKUP(B812,PTN!A:B,2,FALSE)</f>
        <v>UIN SYARIF HIDAYATULLAH JAKARTA</v>
      </c>
      <c r="Q812" t="str">
        <f t="shared" si="12"/>
        <v>UIN SYARIF HIDAYATULLAH JAKARTAPENDIDIKAN KIMIA</v>
      </c>
    </row>
    <row r="813" spans="1:17" ht="15.75" thickBot="1" x14ac:dyDescent="0.3">
      <c r="A813" s="7">
        <v>812</v>
      </c>
      <c r="B813" s="6">
        <v>25</v>
      </c>
      <c r="C813" s="13">
        <v>3221122</v>
      </c>
      <c r="D813" t="s">
        <v>44</v>
      </c>
      <c r="E813" s="13">
        <v>29</v>
      </c>
      <c r="F813" s="10" t="s">
        <v>20</v>
      </c>
      <c r="I813" s="26"/>
      <c r="J813" s="138" t="s">
        <v>1292</v>
      </c>
      <c r="K813" s="138" t="s">
        <v>1292</v>
      </c>
      <c r="L813" s="138" t="s">
        <v>1292</v>
      </c>
      <c r="M813" s="27"/>
      <c r="N813" s="83" t="s">
        <v>1292</v>
      </c>
      <c r="P813" t="str">
        <f>VLOOKUP(B813,PTN!A:B,2,FALSE)</f>
        <v>UIN SYARIF HIDAYATULLAH JAKARTA</v>
      </c>
      <c r="Q813" t="str">
        <f t="shared" si="12"/>
        <v>UIN SYARIF HIDAYATULLAH JAKARTAPENDIDIKAN MATEMATIKA</v>
      </c>
    </row>
    <row r="814" spans="1:17" ht="15.75" thickBot="1" x14ac:dyDescent="0.3">
      <c r="A814" s="7">
        <v>813</v>
      </c>
      <c r="B814" s="6">
        <v>25</v>
      </c>
      <c r="C814" s="12">
        <v>3221033</v>
      </c>
      <c r="D814" t="s">
        <v>46</v>
      </c>
      <c r="E814" s="12">
        <v>39</v>
      </c>
      <c r="F814" s="10" t="s">
        <v>20</v>
      </c>
      <c r="I814" s="87"/>
      <c r="J814" s="138">
        <v>624.29999999999995</v>
      </c>
      <c r="K814" s="138">
        <v>633.02</v>
      </c>
      <c r="L814" s="138">
        <v>615.57999999999993</v>
      </c>
      <c r="M814" s="28"/>
      <c r="N814" s="83">
        <v>624.29999999999995</v>
      </c>
      <c r="P814" t="str">
        <f>VLOOKUP(B814,PTN!A:B,2,FALSE)</f>
        <v>UIN SYARIF HIDAYATULLAH JAKARTA</v>
      </c>
      <c r="Q814" t="str">
        <f t="shared" si="12"/>
        <v>UIN SYARIF HIDAYATULLAH JAKARTASISTEM INFORMASI</v>
      </c>
    </row>
    <row r="815" spans="1:17" ht="15.75" thickBot="1" x14ac:dyDescent="0.3">
      <c r="A815" s="7">
        <v>814</v>
      </c>
      <c r="B815" s="6">
        <v>25</v>
      </c>
      <c r="C815" s="13">
        <v>3221017</v>
      </c>
      <c r="D815" t="s">
        <v>310</v>
      </c>
      <c r="E815" s="13">
        <v>39</v>
      </c>
      <c r="F815" s="10" t="s">
        <v>20</v>
      </c>
      <c r="I815" s="26"/>
      <c r="J815" s="138" t="s">
        <v>1292</v>
      </c>
      <c r="K815" s="138" t="s">
        <v>1292</v>
      </c>
      <c r="L815" s="138" t="s">
        <v>1292</v>
      </c>
      <c r="M815" s="27"/>
      <c r="N815" s="83" t="s">
        <v>1292</v>
      </c>
      <c r="P815" t="str">
        <f>VLOOKUP(B815,PTN!A:B,2,FALSE)</f>
        <v>UIN SYARIF HIDAYATULLAH JAKARTA</v>
      </c>
      <c r="Q815" t="str">
        <f t="shared" si="12"/>
        <v>UIN SYARIF HIDAYATULLAH JAKARTASOSIAL EKONOMI PERTANIAN / AGRIBISNIS</v>
      </c>
    </row>
    <row r="816" spans="1:17" ht="15.75" thickBot="1" x14ac:dyDescent="0.3">
      <c r="A816" s="7">
        <v>815</v>
      </c>
      <c r="B816" s="6">
        <v>25</v>
      </c>
      <c r="C816" s="12">
        <v>3221025</v>
      </c>
      <c r="D816" t="s">
        <v>50</v>
      </c>
      <c r="E816" s="12">
        <v>39</v>
      </c>
      <c r="F816" s="10" t="s">
        <v>20</v>
      </c>
      <c r="I816" s="87"/>
      <c r="J816" s="138">
        <v>605.65</v>
      </c>
      <c r="K816" s="138">
        <v>615.15499999999997</v>
      </c>
      <c r="L816" s="138">
        <v>596.14499999999998</v>
      </c>
      <c r="M816" s="28"/>
      <c r="N816" s="83">
        <v>605.65</v>
      </c>
      <c r="P816" t="str">
        <f>VLOOKUP(B816,PTN!A:B,2,FALSE)</f>
        <v>UIN SYARIF HIDAYATULLAH JAKARTA</v>
      </c>
      <c r="Q816" t="str">
        <f t="shared" si="12"/>
        <v>UIN SYARIF HIDAYATULLAH JAKARTATEKNIK INFORMATIKA</v>
      </c>
    </row>
    <row r="817" spans="1:17" ht="15.75" thickBot="1" x14ac:dyDescent="0.3">
      <c r="A817" s="7">
        <v>816</v>
      </c>
      <c r="B817" s="6">
        <v>25</v>
      </c>
      <c r="C817" s="16">
        <v>3221161</v>
      </c>
      <c r="D817" t="s">
        <v>239</v>
      </c>
      <c r="E817" s="16">
        <v>12</v>
      </c>
      <c r="F817" s="10" t="s">
        <v>20</v>
      </c>
      <c r="I817" s="26"/>
      <c r="J817" s="138" t="s">
        <v>1292</v>
      </c>
      <c r="K817" s="138" t="s">
        <v>1292</v>
      </c>
      <c r="L817" s="138" t="s">
        <v>1292</v>
      </c>
      <c r="M817" s="27"/>
      <c r="N817" s="83" t="s">
        <v>1292</v>
      </c>
      <c r="P817" t="str">
        <f>VLOOKUP(B817,PTN!A:B,2,FALSE)</f>
        <v>UIN SYARIF HIDAYATULLAH JAKARTA</v>
      </c>
      <c r="Q817" t="str">
        <f t="shared" si="12"/>
        <v>UIN SYARIF HIDAYATULLAH JAKARTATEKNIK PERTAMBANGAN</v>
      </c>
    </row>
    <row r="818" spans="1:17" ht="16.5" thickTop="1" thickBot="1" x14ac:dyDescent="0.3">
      <c r="A818" s="7">
        <v>817</v>
      </c>
      <c r="B818" s="6">
        <v>25</v>
      </c>
      <c r="C818" s="12">
        <v>3222021</v>
      </c>
      <c r="D818" t="s">
        <v>55</v>
      </c>
      <c r="E818" s="12">
        <v>53</v>
      </c>
      <c r="F818" s="10" t="s">
        <v>13</v>
      </c>
      <c r="I818" s="20"/>
      <c r="J818" s="138">
        <v>604.89</v>
      </c>
      <c r="K818" s="138">
        <v>613.02773000000002</v>
      </c>
      <c r="L818" s="138">
        <v>596.75226999999995</v>
      </c>
      <c r="M818" s="21"/>
      <c r="N818" s="83">
        <v>604.89</v>
      </c>
      <c r="P818" t="str">
        <f>VLOOKUP(B818,PTN!A:B,2,FALSE)</f>
        <v>UIN SYARIF HIDAYATULLAH JAKARTA</v>
      </c>
      <c r="Q818" t="str">
        <f t="shared" si="12"/>
        <v>UIN SYARIF HIDAYATULLAH JAKARTAAKUNTANSI</v>
      </c>
    </row>
    <row r="819" spans="1:17" ht="15.75" thickBot="1" x14ac:dyDescent="0.3">
      <c r="A819" s="7">
        <v>818</v>
      </c>
      <c r="B819" s="6">
        <v>25</v>
      </c>
      <c r="C819" s="13">
        <v>3222454</v>
      </c>
      <c r="D819" t="s">
        <v>311</v>
      </c>
      <c r="E819" s="13">
        <v>48</v>
      </c>
      <c r="F819" s="10" t="s">
        <v>13</v>
      </c>
      <c r="I819" s="22"/>
      <c r="J819" s="138">
        <v>589.71</v>
      </c>
      <c r="K819" s="138">
        <v>597.84773000000007</v>
      </c>
      <c r="L819" s="138">
        <v>581.57227</v>
      </c>
      <c r="M819" s="21"/>
      <c r="N819" s="83">
        <v>589.71</v>
      </c>
      <c r="P819" t="str">
        <f>VLOOKUP(B819,PTN!A:B,2,FALSE)</f>
        <v>UIN SYARIF HIDAYATULLAH JAKARTA</v>
      </c>
      <c r="Q819" t="str">
        <f t="shared" si="12"/>
        <v>UIN SYARIF HIDAYATULLAH JAKARTABAHASA DAN SASTRA INGGRIS</v>
      </c>
    </row>
    <row r="820" spans="1:17" ht="16.5" thickTop="1" thickBot="1" x14ac:dyDescent="0.3">
      <c r="A820" s="7">
        <v>819</v>
      </c>
      <c r="B820" s="6">
        <v>25</v>
      </c>
      <c r="C820" s="12">
        <v>3222075</v>
      </c>
      <c r="D820" t="s">
        <v>312</v>
      </c>
      <c r="E820" s="12">
        <v>24</v>
      </c>
      <c r="F820" s="10" t="s">
        <v>13</v>
      </c>
      <c r="I820" s="23"/>
      <c r="J820" s="138">
        <v>588.12</v>
      </c>
      <c r="K820" s="138">
        <v>596.25773000000004</v>
      </c>
      <c r="L820" s="138">
        <v>579.98226999999997</v>
      </c>
      <c r="M820" s="25"/>
      <c r="N820" s="83">
        <v>588.12</v>
      </c>
      <c r="P820" t="str">
        <f>VLOOKUP(B820,PTN!A:B,2,FALSE)</f>
        <v>UIN SYARIF HIDAYATULLAH JAKARTA</v>
      </c>
      <c r="Q820" t="str">
        <f t="shared" si="12"/>
        <v>UIN SYARIF HIDAYATULLAH JAKARTAILMU EKONOMI DAN STUDI PEMBANGUNAN</v>
      </c>
    </row>
    <row r="821" spans="1:17" ht="16.5" thickTop="1" thickBot="1" x14ac:dyDescent="0.3">
      <c r="A821" s="7">
        <v>820</v>
      </c>
      <c r="B821" s="6">
        <v>25</v>
      </c>
      <c r="C821" s="13">
        <v>3222083</v>
      </c>
      <c r="D821" t="s">
        <v>168</v>
      </c>
      <c r="E821" s="13">
        <v>36</v>
      </c>
      <c r="F821" s="10" t="s">
        <v>13</v>
      </c>
      <c r="I821" s="26"/>
      <c r="J821" s="138">
        <v>611.85</v>
      </c>
      <c r="K821" s="138">
        <v>619.98773000000006</v>
      </c>
      <c r="L821" s="138">
        <v>603.71226999999999</v>
      </c>
      <c r="M821" s="27"/>
      <c r="N821" s="83">
        <v>611.85</v>
      </c>
      <c r="P821" t="str">
        <f>VLOOKUP(B821,PTN!A:B,2,FALSE)</f>
        <v>UIN SYARIF HIDAYATULLAH JAKARTA</v>
      </c>
      <c r="Q821" t="str">
        <f t="shared" si="12"/>
        <v>UIN SYARIF HIDAYATULLAH JAKARTAILMU HUBUNGAN INTERNASIONAL</v>
      </c>
    </row>
    <row r="822" spans="1:17" ht="15.75" thickBot="1" x14ac:dyDescent="0.3">
      <c r="A822" s="7">
        <v>821</v>
      </c>
      <c r="B822" s="6">
        <v>25</v>
      </c>
      <c r="C822" s="12">
        <v>3222102</v>
      </c>
      <c r="D822" t="s">
        <v>31</v>
      </c>
      <c r="E822" s="12">
        <v>36</v>
      </c>
      <c r="F822" s="10" t="s">
        <v>13</v>
      </c>
      <c r="I822" s="87"/>
      <c r="J822" s="138">
        <v>592.09</v>
      </c>
      <c r="K822" s="138">
        <v>600.22773000000007</v>
      </c>
      <c r="L822" s="138">
        <v>583.95227</v>
      </c>
      <c r="M822" s="28"/>
      <c r="N822" s="83">
        <v>592.09</v>
      </c>
      <c r="P822" t="str">
        <f>VLOOKUP(B822,PTN!A:B,2,FALSE)</f>
        <v>UIN SYARIF HIDAYATULLAH JAKARTA</v>
      </c>
      <c r="Q822" t="str">
        <f t="shared" si="12"/>
        <v>UIN SYARIF HIDAYATULLAH JAKARTAILMU HUKUM</v>
      </c>
    </row>
    <row r="823" spans="1:17" ht="15.75" thickBot="1" x14ac:dyDescent="0.3">
      <c r="A823" s="7">
        <v>822</v>
      </c>
      <c r="B823" s="6">
        <v>25</v>
      </c>
      <c r="C823" s="13">
        <v>3222117</v>
      </c>
      <c r="D823" t="s">
        <v>32</v>
      </c>
      <c r="E823" s="13">
        <v>48</v>
      </c>
      <c r="F823" s="10" t="s">
        <v>13</v>
      </c>
      <c r="I823" s="26"/>
      <c r="J823" s="138">
        <v>578.62</v>
      </c>
      <c r="K823" s="138">
        <v>586.75773000000004</v>
      </c>
      <c r="L823" s="138">
        <v>570.48226999999997</v>
      </c>
      <c r="M823" s="27"/>
      <c r="N823" s="83">
        <v>578.62</v>
      </c>
      <c r="P823" t="str">
        <f>VLOOKUP(B823,PTN!A:B,2,FALSE)</f>
        <v>UIN SYARIF HIDAYATULLAH JAKARTA</v>
      </c>
      <c r="Q823" t="str">
        <f t="shared" si="12"/>
        <v>UIN SYARIF HIDAYATULLAH JAKARTAILMU PERPUSTAKAAN</v>
      </c>
    </row>
    <row r="824" spans="1:17" ht="15.75" thickBot="1" x14ac:dyDescent="0.3">
      <c r="A824" s="7">
        <v>823</v>
      </c>
      <c r="B824" s="6">
        <v>25</v>
      </c>
      <c r="C824" s="12">
        <v>3222187</v>
      </c>
      <c r="D824" t="s">
        <v>33</v>
      </c>
      <c r="E824" s="12">
        <v>24</v>
      </c>
      <c r="F824" s="10" t="s">
        <v>13</v>
      </c>
      <c r="I824" s="87"/>
      <c r="J824" s="138">
        <v>588.33000000000004</v>
      </c>
      <c r="K824" s="138">
        <v>596.46773000000007</v>
      </c>
      <c r="L824" s="138">
        <v>580.19227000000001</v>
      </c>
      <c r="M824" s="28"/>
      <c r="N824" s="83">
        <v>588.33000000000004</v>
      </c>
      <c r="P824" t="str">
        <f>VLOOKUP(B824,PTN!A:B,2,FALSE)</f>
        <v>UIN SYARIF HIDAYATULLAH JAKARTA</v>
      </c>
      <c r="Q824" t="str">
        <f t="shared" si="12"/>
        <v>UIN SYARIF HIDAYATULLAH JAKARTAILMU POLITIK</v>
      </c>
    </row>
    <row r="825" spans="1:17" ht="15.75" thickBot="1" x14ac:dyDescent="0.3">
      <c r="A825" s="7">
        <v>824</v>
      </c>
      <c r="B825" s="6">
        <v>25</v>
      </c>
      <c r="C825" s="13">
        <v>3222206</v>
      </c>
      <c r="D825" t="s">
        <v>34</v>
      </c>
      <c r="E825" s="13">
        <v>36</v>
      </c>
      <c r="F825" s="10" t="s">
        <v>13</v>
      </c>
      <c r="I825" s="26"/>
      <c r="J825" s="138">
        <v>578.24</v>
      </c>
      <c r="K825" s="138">
        <v>586.37773000000004</v>
      </c>
      <c r="L825" s="138">
        <v>570.10226999999998</v>
      </c>
      <c r="M825" s="27"/>
      <c r="N825" s="83">
        <v>578.24</v>
      </c>
      <c r="P825" t="str">
        <f>VLOOKUP(B825,PTN!A:B,2,FALSE)</f>
        <v>UIN SYARIF HIDAYATULLAH JAKARTA</v>
      </c>
      <c r="Q825" t="str">
        <f t="shared" si="12"/>
        <v>UIN SYARIF HIDAYATULLAH JAKARTAKESEJAHTERAAN SOSIAL</v>
      </c>
    </row>
    <row r="826" spans="1:17" ht="15.75" thickBot="1" x14ac:dyDescent="0.3">
      <c r="A826" s="7">
        <v>825</v>
      </c>
      <c r="B826" s="6">
        <v>25</v>
      </c>
      <c r="C826" s="12">
        <v>3222141</v>
      </c>
      <c r="D826" t="s">
        <v>61</v>
      </c>
      <c r="E826" s="12">
        <v>36</v>
      </c>
      <c r="F826" s="10" t="s">
        <v>13</v>
      </c>
      <c r="I826" s="87"/>
      <c r="J826" s="138">
        <v>594.02</v>
      </c>
      <c r="K826" s="138">
        <v>602.15773000000002</v>
      </c>
      <c r="L826" s="138">
        <v>585.88226999999995</v>
      </c>
      <c r="M826" s="28"/>
      <c r="N826" s="83">
        <v>594.02</v>
      </c>
      <c r="P826" t="str">
        <f>VLOOKUP(B826,PTN!A:B,2,FALSE)</f>
        <v>UIN SYARIF HIDAYATULLAH JAKARTA</v>
      </c>
      <c r="Q826" t="str">
        <f t="shared" si="12"/>
        <v>UIN SYARIF HIDAYATULLAH JAKARTAMANAJEMEN</v>
      </c>
    </row>
    <row r="827" spans="1:17" ht="15.75" thickBot="1" x14ac:dyDescent="0.3">
      <c r="A827" s="7">
        <v>826</v>
      </c>
      <c r="B827" s="6">
        <v>25</v>
      </c>
      <c r="C827" s="13">
        <v>3222214</v>
      </c>
      <c r="D827" t="s">
        <v>36</v>
      </c>
      <c r="E827" s="13">
        <v>60</v>
      </c>
      <c r="F827" s="10" t="s">
        <v>13</v>
      </c>
      <c r="I827" s="26"/>
      <c r="J827" s="138">
        <v>605.22</v>
      </c>
      <c r="K827" s="138">
        <v>613.35773000000006</v>
      </c>
      <c r="L827" s="138">
        <v>597.08226999999999</v>
      </c>
      <c r="M827" s="27"/>
      <c r="N827" s="83">
        <v>605.22</v>
      </c>
      <c r="P827" t="str">
        <f>VLOOKUP(B827,PTN!A:B,2,FALSE)</f>
        <v>UIN SYARIF HIDAYATULLAH JAKARTA</v>
      </c>
      <c r="Q827" t="str">
        <f t="shared" si="12"/>
        <v>UIN SYARIF HIDAYATULLAH JAKARTAPSIKOLOGI</v>
      </c>
    </row>
    <row r="828" spans="1:17" ht="15.75" thickBot="1" x14ac:dyDescent="0.3">
      <c r="A828" s="7">
        <v>827</v>
      </c>
      <c r="B828" s="6">
        <v>25</v>
      </c>
      <c r="C828" s="14">
        <v>3222431</v>
      </c>
      <c r="D828" t="s">
        <v>63</v>
      </c>
      <c r="E828" s="14">
        <v>24</v>
      </c>
      <c r="F828" s="10" t="s">
        <v>13</v>
      </c>
      <c r="I828" s="87"/>
      <c r="J828" s="138">
        <v>581.33000000000004</v>
      </c>
      <c r="K828" s="138">
        <v>589.46773000000007</v>
      </c>
      <c r="L828" s="138">
        <v>573.19227000000001</v>
      </c>
      <c r="M828" s="28"/>
      <c r="N828" s="83">
        <v>581.33000000000004</v>
      </c>
      <c r="P828" t="str">
        <f>VLOOKUP(B828,PTN!A:B,2,FALSE)</f>
        <v>UIN SYARIF HIDAYATULLAH JAKARTA</v>
      </c>
      <c r="Q828" t="str">
        <f t="shared" si="12"/>
        <v>UIN SYARIF HIDAYATULLAH JAKARTASOSIOLOGI</v>
      </c>
    </row>
    <row r="829" spans="1:17" ht="16.5" thickTop="1" thickBot="1" x14ac:dyDescent="0.3">
      <c r="A829" s="7">
        <v>828</v>
      </c>
      <c r="B829" s="6">
        <v>26</v>
      </c>
      <c r="C829" s="12">
        <v>3231082</v>
      </c>
      <c r="D829" t="s">
        <v>21</v>
      </c>
      <c r="E829" s="12">
        <v>16</v>
      </c>
      <c r="F829" s="10" t="s">
        <v>20</v>
      </c>
      <c r="I829" s="20"/>
      <c r="J829" s="138">
        <v>607.91999999999996</v>
      </c>
      <c r="K829" s="138">
        <v>615.06999999999994</v>
      </c>
      <c r="L829" s="138">
        <v>600.77</v>
      </c>
      <c r="M829" s="21"/>
      <c r="N829" s="83">
        <v>607.91999999999996</v>
      </c>
      <c r="P829" t="str">
        <f>VLOOKUP(B829,PTN!A:B,2,FALSE)</f>
        <v>UNIVERSITAS NEGERI JAKARTA</v>
      </c>
      <c r="Q829" t="str">
        <f t="shared" si="12"/>
        <v>UNIVERSITAS NEGERI JAKARTABIOLOGI</v>
      </c>
    </row>
    <row r="830" spans="1:17" ht="15.75" thickBot="1" x14ac:dyDescent="0.3">
      <c r="A830" s="7">
        <v>829</v>
      </c>
      <c r="B830" s="6">
        <v>26</v>
      </c>
      <c r="C830" s="13">
        <v>3231066</v>
      </c>
      <c r="D830" t="s">
        <v>65</v>
      </c>
      <c r="E830" s="13">
        <v>16</v>
      </c>
      <c r="F830" s="10" t="s">
        <v>20</v>
      </c>
      <c r="I830" s="22"/>
      <c r="J830" s="138">
        <v>611.86</v>
      </c>
      <c r="K830" s="138">
        <v>619.30500000000006</v>
      </c>
      <c r="L830" s="138">
        <v>604.41499999999996</v>
      </c>
      <c r="M830" s="21"/>
      <c r="N830" s="83">
        <v>611.86</v>
      </c>
      <c r="P830" t="str">
        <f>VLOOKUP(B830,PTN!A:B,2,FALSE)</f>
        <v>UNIVERSITAS NEGERI JAKARTA</v>
      </c>
      <c r="Q830" t="str">
        <f t="shared" si="12"/>
        <v>UNIVERSITAS NEGERI JAKARTAFISIKA</v>
      </c>
    </row>
    <row r="831" spans="1:17" ht="16.5" thickTop="1" thickBot="1" x14ac:dyDescent="0.3">
      <c r="A831" s="7">
        <v>830</v>
      </c>
      <c r="B831" s="6">
        <v>26</v>
      </c>
      <c r="C831" s="12">
        <v>3231124</v>
      </c>
      <c r="D831" t="s">
        <v>114</v>
      </c>
      <c r="E831" s="12">
        <v>12</v>
      </c>
      <c r="F831" s="10" t="s">
        <v>20</v>
      </c>
      <c r="I831" s="23"/>
      <c r="J831" s="138" t="s">
        <v>1292</v>
      </c>
      <c r="K831" s="138" t="s">
        <v>1292</v>
      </c>
      <c r="L831" s="138" t="s">
        <v>1292</v>
      </c>
      <c r="M831" s="25"/>
      <c r="N831" s="83" t="s">
        <v>1292</v>
      </c>
      <c r="P831" t="str">
        <f>VLOOKUP(B831,PTN!A:B,2,FALSE)</f>
        <v>UNIVERSITAS NEGERI JAKARTA</v>
      </c>
      <c r="Q831" t="str">
        <f t="shared" si="12"/>
        <v>UNIVERSITAS NEGERI JAKARTAILMU KEOLAHRAGAAN</v>
      </c>
    </row>
    <row r="832" spans="1:17" ht="16.5" thickTop="1" thickBot="1" x14ac:dyDescent="0.3">
      <c r="A832" s="7">
        <v>831</v>
      </c>
      <c r="B832" s="6">
        <v>26</v>
      </c>
      <c r="C832" s="13">
        <v>3231155</v>
      </c>
      <c r="D832" t="s">
        <v>111</v>
      </c>
      <c r="E832" s="13">
        <v>8</v>
      </c>
      <c r="F832" s="10" t="s">
        <v>20</v>
      </c>
      <c r="I832" s="26"/>
      <c r="J832" s="138">
        <v>648.91</v>
      </c>
      <c r="K832" s="138">
        <v>658.35500000000002</v>
      </c>
      <c r="L832" s="138">
        <v>639.46499999999992</v>
      </c>
      <c r="M832" s="27"/>
      <c r="N832" s="83">
        <v>648.91</v>
      </c>
      <c r="P832" t="str">
        <f>VLOOKUP(B832,PTN!A:B,2,FALSE)</f>
        <v>UNIVERSITAS NEGERI JAKARTA</v>
      </c>
      <c r="Q832" t="str">
        <f t="shared" si="12"/>
        <v>UNIVERSITAS NEGERI JAKARTAILMU KOMPUTER</v>
      </c>
    </row>
    <row r="833" spans="1:17" ht="15.75" thickBot="1" x14ac:dyDescent="0.3">
      <c r="A833" s="7">
        <v>832</v>
      </c>
      <c r="B833" s="6">
        <v>26</v>
      </c>
      <c r="C833" s="12">
        <v>3231074</v>
      </c>
      <c r="D833" t="s">
        <v>22</v>
      </c>
      <c r="E833" s="12">
        <v>9</v>
      </c>
      <c r="F833" s="10" t="s">
        <v>20</v>
      </c>
      <c r="I833" s="87"/>
      <c r="J833" s="138">
        <v>636.58000000000004</v>
      </c>
      <c r="K833" s="138">
        <v>642.08000000000004</v>
      </c>
      <c r="L833" s="138">
        <v>631.08000000000004</v>
      </c>
      <c r="M833" s="28"/>
      <c r="N833" s="83">
        <v>636.58000000000004</v>
      </c>
      <c r="P833" t="str">
        <f>VLOOKUP(B833,PTN!A:B,2,FALSE)</f>
        <v>UNIVERSITAS NEGERI JAKARTA</v>
      </c>
      <c r="Q833" t="str">
        <f t="shared" si="12"/>
        <v>UNIVERSITAS NEGERI JAKARTAKIMIA</v>
      </c>
    </row>
    <row r="834" spans="1:17" ht="15.75" thickBot="1" x14ac:dyDescent="0.3">
      <c r="A834" s="7">
        <v>833</v>
      </c>
      <c r="B834" s="6">
        <v>26</v>
      </c>
      <c r="C834" s="13">
        <v>3231051</v>
      </c>
      <c r="D834" t="s">
        <v>66</v>
      </c>
      <c r="E834" s="13">
        <v>8</v>
      </c>
      <c r="F834" s="10" t="s">
        <v>20</v>
      </c>
      <c r="I834" s="26"/>
      <c r="J834" s="138">
        <v>629.41</v>
      </c>
      <c r="K834" s="138">
        <v>641.77499999999998</v>
      </c>
      <c r="L834" s="138">
        <v>617.04499999999996</v>
      </c>
      <c r="M834" s="27"/>
      <c r="N834" s="83">
        <v>629.41</v>
      </c>
      <c r="P834" t="str">
        <f>VLOOKUP(B834,PTN!A:B,2,FALSE)</f>
        <v>UNIVERSITAS NEGERI JAKARTA</v>
      </c>
      <c r="Q834" t="str">
        <f t="shared" si="12"/>
        <v>UNIVERSITAS NEGERI JAKARTAMATEMATIKA</v>
      </c>
    </row>
    <row r="835" spans="1:17" ht="15.75" thickBot="1" x14ac:dyDescent="0.3">
      <c r="A835" s="7">
        <v>834</v>
      </c>
      <c r="B835" s="6">
        <v>26</v>
      </c>
      <c r="C835" s="12">
        <v>3231043</v>
      </c>
      <c r="D835" t="s">
        <v>67</v>
      </c>
      <c r="E835" s="12">
        <v>16</v>
      </c>
      <c r="F835" s="10" t="s">
        <v>20</v>
      </c>
      <c r="I835" s="87"/>
      <c r="J835" s="138">
        <v>598.20000000000005</v>
      </c>
      <c r="K835" s="138">
        <v>604.3950000000001</v>
      </c>
      <c r="L835" s="138">
        <v>592.005</v>
      </c>
      <c r="M835" s="28"/>
      <c r="N835" s="83">
        <v>598.20000000000005</v>
      </c>
      <c r="P835" t="str">
        <f>VLOOKUP(B835,PTN!A:B,2,FALSE)</f>
        <v>UNIVERSITAS NEGERI JAKARTA</v>
      </c>
      <c r="Q835" t="str">
        <f t="shared" ref="Q835:Q898" si="13">P835&amp;D835</f>
        <v>UNIVERSITAS NEGERI JAKARTAPENDIDIKAN BIOLOGI</v>
      </c>
    </row>
    <row r="836" spans="1:17" ht="15.75" thickBot="1" x14ac:dyDescent="0.3">
      <c r="A836" s="7">
        <v>835</v>
      </c>
      <c r="B836" s="6">
        <v>26</v>
      </c>
      <c r="C836" s="13">
        <v>3231027</v>
      </c>
      <c r="D836" t="s">
        <v>42</v>
      </c>
      <c r="E836" s="13">
        <v>16</v>
      </c>
      <c r="F836" s="10" t="s">
        <v>20</v>
      </c>
      <c r="I836" s="26"/>
      <c r="J836" s="138" t="s">
        <v>1292</v>
      </c>
      <c r="K836" s="138" t="s">
        <v>1292</v>
      </c>
      <c r="L836" s="138" t="s">
        <v>1292</v>
      </c>
      <c r="M836" s="27"/>
      <c r="N836" s="83" t="s">
        <v>1292</v>
      </c>
      <c r="P836" t="str">
        <f>VLOOKUP(B836,PTN!A:B,2,FALSE)</f>
        <v>UNIVERSITAS NEGERI JAKARTA</v>
      </c>
      <c r="Q836" t="str">
        <f t="shared" si="13"/>
        <v>UNIVERSITAS NEGERI JAKARTAPENDIDIKAN FISIKA</v>
      </c>
    </row>
    <row r="837" spans="1:17" ht="15.75" thickBot="1" x14ac:dyDescent="0.3">
      <c r="A837" s="7">
        <v>836</v>
      </c>
      <c r="B837" s="6">
        <v>26</v>
      </c>
      <c r="C837" s="12">
        <v>3231132</v>
      </c>
      <c r="D837" t="s">
        <v>313</v>
      </c>
      <c r="E837" s="12">
        <v>18</v>
      </c>
      <c r="F837" s="10" t="s">
        <v>20</v>
      </c>
      <c r="I837" s="87"/>
      <c r="J837" s="138" t="s">
        <v>1292</v>
      </c>
      <c r="K837" s="138" t="s">
        <v>1292</v>
      </c>
      <c r="L837" s="138" t="s">
        <v>1292</v>
      </c>
      <c r="M837" s="28"/>
      <c r="N837" s="83" t="s">
        <v>1292</v>
      </c>
      <c r="P837" t="str">
        <f>VLOOKUP(B837,PTN!A:B,2,FALSE)</f>
        <v>UNIVERSITAS NEGERI JAKARTA</v>
      </c>
      <c r="Q837" t="str">
        <f t="shared" si="13"/>
        <v>UNIVERSITAS NEGERI JAKARTAPENDIDIKAN INFORMATIKA</v>
      </c>
    </row>
    <row r="838" spans="1:17" ht="15.75" thickBot="1" x14ac:dyDescent="0.3">
      <c r="A838" s="7">
        <v>837</v>
      </c>
      <c r="B838" s="6">
        <v>26</v>
      </c>
      <c r="C838" s="13">
        <v>3231035</v>
      </c>
      <c r="D838" t="s">
        <v>43</v>
      </c>
      <c r="E838" s="13">
        <v>16</v>
      </c>
      <c r="F838" s="10" t="s">
        <v>20</v>
      </c>
      <c r="I838" s="26"/>
      <c r="J838" s="138">
        <v>605.77</v>
      </c>
      <c r="K838" s="138">
        <v>613.62</v>
      </c>
      <c r="L838" s="138">
        <v>597.91999999999996</v>
      </c>
      <c r="M838" s="27"/>
      <c r="N838" s="83">
        <v>605.77</v>
      </c>
      <c r="P838" t="str">
        <f>VLOOKUP(B838,PTN!A:B,2,FALSE)</f>
        <v>UNIVERSITAS NEGERI JAKARTA</v>
      </c>
      <c r="Q838" t="str">
        <f t="shared" si="13"/>
        <v>UNIVERSITAS NEGERI JAKARTAPENDIDIKAN KIMIA</v>
      </c>
    </row>
    <row r="839" spans="1:17" ht="15.75" thickBot="1" x14ac:dyDescent="0.3">
      <c r="A839" s="7">
        <v>838</v>
      </c>
      <c r="B839" s="6">
        <v>26</v>
      </c>
      <c r="C839" s="12">
        <v>3231012</v>
      </c>
      <c r="D839" t="s">
        <v>44</v>
      </c>
      <c r="E839" s="12">
        <v>8</v>
      </c>
      <c r="F839" s="10" t="s">
        <v>20</v>
      </c>
      <c r="I839" s="87"/>
      <c r="J839" s="138">
        <v>628.94000000000005</v>
      </c>
      <c r="K839" s="138">
        <v>642.28000000000009</v>
      </c>
      <c r="L839" s="138">
        <v>615.6</v>
      </c>
      <c r="M839" s="28"/>
      <c r="N839" s="83">
        <v>628.94000000000005</v>
      </c>
      <c r="P839" t="str">
        <f>VLOOKUP(B839,PTN!A:B,2,FALSE)</f>
        <v>UNIVERSITAS NEGERI JAKARTA</v>
      </c>
      <c r="Q839" t="str">
        <f t="shared" si="13"/>
        <v>UNIVERSITAS NEGERI JAKARTAPENDIDIKAN MATEMATIKA</v>
      </c>
    </row>
    <row r="840" spans="1:17" ht="15.75" thickBot="1" x14ac:dyDescent="0.3">
      <c r="A840" s="7">
        <v>839</v>
      </c>
      <c r="B840" s="6">
        <v>26</v>
      </c>
      <c r="C840" s="13">
        <v>3231116</v>
      </c>
      <c r="D840" t="s">
        <v>314</v>
      </c>
      <c r="E840" s="13">
        <v>17</v>
      </c>
      <c r="F840" s="10" t="s">
        <v>20</v>
      </c>
      <c r="I840" s="26"/>
      <c r="J840" s="138" t="s">
        <v>1292</v>
      </c>
      <c r="K840" s="138" t="s">
        <v>1292</v>
      </c>
      <c r="L840" s="138" t="s">
        <v>1292</v>
      </c>
      <c r="M840" s="27"/>
      <c r="N840" s="83" t="s">
        <v>1292</v>
      </c>
      <c r="P840" t="str">
        <f>VLOOKUP(B840,PTN!A:B,2,FALSE)</f>
        <v>UNIVERSITAS NEGERI JAKARTA</v>
      </c>
      <c r="Q840" t="str">
        <f t="shared" si="13"/>
        <v>UNIVERSITAS NEGERI JAKARTAPENDIDIKAN VOKASIONAL KONSTRUKSI BANGUNAN</v>
      </c>
    </row>
    <row r="841" spans="1:17" ht="15.75" thickBot="1" x14ac:dyDescent="0.3">
      <c r="A841" s="7">
        <v>840</v>
      </c>
      <c r="B841" s="6">
        <v>26</v>
      </c>
      <c r="C841" s="12">
        <v>3231097</v>
      </c>
      <c r="D841" t="s">
        <v>315</v>
      </c>
      <c r="E841" s="12">
        <v>12</v>
      </c>
      <c r="F841" s="10" t="s">
        <v>20</v>
      </c>
      <c r="I841" s="87"/>
      <c r="J841" s="138">
        <v>550</v>
      </c>
      <c r="K841" s="138" t="s">
        <v>1292</v>
      </c>
      <c r="L841" s="138" t="s">
        <v>1292</v>
      </c>
      <c r="M841" s="28"/>
      <c r="N841" s="83">
        <v>550</v>
      </c>
      <c r="P841" t="str">
        <f>VLOOKUP(B841,PTN!A:B,2,FALSE)</f>
        <v>UNIVERSITAS NEGERI JAKARTA</v>
      </c>
      <c r="Q841" t="str">
        <f t="shared" si="13"/>
        <v>UNIVERSITAS NEGERI JAKARTAPENDIDIKAN VOKASIONAL TEKNIK ELEKTRO</v>
      </c>
    </row>
    <row r="842" spans="1:17" ht="15.75" thickBot="1" x14ac:dyDescent="0.3">
      <c r="A842" s="7">
        <v>841</v>
      </c>
      <c r="B842" s="6">
        <v>26</v>
      </c>
      <c r="C842" s="13">
        <v>3231147</v>
      </c>
      <c r="D842" t="s">
        <v>316</v>
      </c>
      <c r="E842" s="13">
        <v>16</v>
      </c>
      <c r="F842" s="10" t="s">
        <v>20</v>
      </c>
      <c r="I842" s="26"/>
      <c r="J842" s="138" t="s">
        <v>1292</v>
      </c>
      <c r="K842" s="138" t="s">
        <v>1292</v>
      </c>
      <c r="L842" s="138" t="s">
        <v>1292</v>
      </c>
      <c r="M842" s="27"/>
      <c r="N842" s="83" t="s">
        <v>1292</v>
      </c>
      <c r="P842" t="str">
        <f>VLOOKUP(B842,PTN!A:B,2,FALSE)</f>
        <v>UNIVERSITAS NEGERI JAKARTA</v>
      </c>
      <c r="Q842" t="str">
        <f t="shared" si="13"/>
        <v>UNIVERSITAS NEGERI JAKARTAPENDIDIKAN VOKASIONAL TEKNIK ELEKTRONIKA</v>
      </c>
    </row>
    <row r="843" spans="1:17" ht="15.75" thickBot="1" x14ac:dyDescent="0.3">
      <c r="A843" s="7">
        <v>842</v>
      </c>
      <c r="B843" s="6">
        <v>26</v>
      </c>
      <c r="C843" s="12">
        <v>3231101</v>
      </c>
      <c r="D843" t="s">
        <v>317</v>
      </c>
      <c r="E843" s="12">
        <v>18</v>
      </c>
      <c r="F843" s="10" t="s">
        <v>20</v>
      </c>
      <c r="I843" s="87"/>
      <c r="J843" s="138">
        <v>550</v>
      </c>
      <c r="K843" s="138" t="s">
        <v>1292</v>
      </c>
      <c r="L843" s="138" t="s">
        <v>1292</v>
      </c>
      <c r="M843" s="28"/>
      <c r="N843" s="83">
        <v>550</v>
      </c>
      <c r="P843" t="str">
        <f>VLOOKUP(B843,PTN!A:B,2,FALSE)</f>
        <v>UNIVERSITAS NEGERI JAKARTA</v>
      </c>
      <c r="Q843" t="str">
        <f t="shared" si="13"/>
        <v>UNIVERSITAS NEGERI JAKARTAPENDIDIKAN VOKASIONAL TEKNIK MESIN</v>
      </c>
    </row>
    <row r="844" spans="1:17" ht="15.75" thickBot="1" x14ac:dyDescent="0.3">
      <c r="A844" s="7">
        <v>843</v>
      </c>
      <c r="B844" s="6">
        <v>26</v>
      </c>
      <c r="C844" s="13">
        <v>3231171</v>
      </c>
      <c r="D844" t="s">
        <v>318</v>
      </c>
      <c r="E844" s="13">
        <v>8</v>
      </c>
      <c r="F844" s="10" t="s">
        <v>20</v>
      </c>
      <c r="I844" s="26"/>
      <c r="J844" s="138" t="s">
        <v>1292</v>
      </c>
      <c r="K844" s="138" t="s">
        <v>1292</v>
      </c>
      <c r="L844" s="138" t="s">
        <v>1292</v>
      </c>
      <c r="M844" s="27"/>
      <c r="N844" s="83" t="s">
        <v>1292</v>
      </c>
      <c r="P844" t="str">
        <f>VLOOKUP(B844,PTN!A:B,2,FALSE)</f>
        <v>UNIVERSITAS NEGERI JAKARTA</v>
      </c>
      <c r="Q844" t="str">
        <f t="shared" si="13"/>
        <v>UNIVERSITAS NEGERI JAKARTAREKAYASA KESELAMATAN KEBAKARAN</v>
      </c>
    </row>
    <row r="845" spans="1:17" ht="15.75" thickBot="1" x14ac:dyDescent="0.3">
      <c r="A845" s="7">
        <v>844</v>
      </c>
      <c r="B845" s="6">
        <v>26</v>
      </c>
      <c r="C845" s="14">
        <v>3231163</v>
      </c>
      <c r="D845" t="s">
        <v>90</v>
      </c>
      <c r="E845" s="14">
        <v>8</v>
      </c>
      <c r="F845" s="10" t="s">
        <v>20</v>
      </c>
      <c r="I845" s="87"/>
      <c r="J845" s="138">
        <v>629.04</v>
      </c>
      <c r="K845" s="138">
        <v>634.52</v>
      </c>
      <c r="L845" s="138">
        <v>623.55999999999995</v>
      </c>
      <c r="M845" s="28"/>
      <c r="N845" s="83">
        <v>629.04</v>
      </c>
      <c r="P845" t="str">
        <f>VLOOKUP(B845,PTN!A:B,2,FALSE)</f>
        <v>UNIVERSITAS NEGERI JAKARTA</v>
      </c>
      <c r="Q845" t="str">
        <f t="shared" si="13"/>
        <v>UNIVERSITAS NEGERI JAKARTASTATISTIKA</v>
      </c>
    </row>
    <row r="846" spans="1:17" ht="16.5" thickTop="1" thickBot="1" x14ac:dyDescent="0.3">
      <c r="A846" s="7">
        <v>845</v>
      </c>
      <c r="B846" s="6">
        <v>26</v>
      </c>
      <c r="C846" s="12">
        <v>3232313</v>
      </c>
      <c r="D846" t="s">
        <v>55</v>
      </c>
      <c r="E846" s="12">
        <v>15</v>
      </c>
      <c r="F846" s="10" t="s">
        <v>13</v>
      </c>
      <c r="I846" s="20"/>
      <c r="J846" s="138">
        <v>628.33000000000004</v>
      </c>
      <c r="K846" s="138">
        <v>636.46773000000007</v>
      </c>
      <c r="L846" s="138">
        <v>620.19227000000001</v>
      </c>
      <c r="M846" s="21"/>
      <c r="N846" s="83">
        <v>628.33000000000004</v>
      </c>
      <c r="P846" t="str">
        <f>VLOOKUP(B846,PTN!A:B,2,FALSE)</f>
        <v>UNIVERSITAS NEGERI JAKARTA</v>
      </c>
      <c r="Q846" t="str">
        <f t="shared" si="13"/>
        <v>UNIVERSITAS NEGERI JAKARTAAKUNTANSI</v>
      </c>
    </row>
    <row r="847" spans="1:17" ht="15.75" thickBot="1" x14ac:dyDescent="0.3">
      <c r="A847" s="7">
        <v>846</v>
      </c>
      <c r="B847" s="6">
        <v>26</v>
      </c>
      <c r="C847" s="13">
        <v>3232062</v>
      </c>
      <c r="D847" t="s">
        <v>319</v>
      </c>
      <c r="E847" s="13">
        <v>16</v>
      </c>
      <c r="F847" s="10" t="s">
        <v>13</v>
      </c>
      <c r="I847" s="22"/>
      <c r="J847" s="138">
        <v>593.03</v>
      </c>
      <c r="K847" s="138">
        <v>601.16773000000001</v>
      </c>
      <c r="L847" s="138">
        <v>584.89226999999994</v>
      </c>
      <c r="M847" s="21"/>
      <c r="N847" s="83">
        <v>593.03</v>
      </c>
      <c r="P847" t="str">
        <f>VLOOKUP(B847,PTN!A:B,2,FALSE)</f>
        <v>UNIVERSITAS NEGERI JAKARTA</v>
      </c>
      <c r="Q847" t="str">
        <f t="shared" si="13"/>
        <v>UNIVERSITAS NEGERI JAKARTABIMBINGAN &amp; KONSELING</v>
      </c>
    </row>
    <row r="848" spans="1:17" ht="16.5" thickTop="1" thickBot="1" x14ac:dyDescent="0.3">
      <c r="A848" s="7">
        <v>847</v>
      </c>
      <c r="B848" s="6">
        <v>26</v>
      </c>
      <c r="C848" s="12">
        <v>3232417</v>
      </c>
      <c r="D848" t="s">
        <v>60</v>
      </c>
      <c r="E848" s="12">
        <v>16</v>
      </c>
      <c r="F848" s="10" t="s">
        <v>13</v>
      </c>
      <c r="I848" s="23"/>
      <c r="J848" s="138">
        <v>612.66999999999996</v>
      </c>
      <c r="K848" s="138">
        <v>620.80772999999999</v>
      </c>
      <c r="L848" s="138">
        <v>604.53226999999993</v>
      </c>
      <c r="M848" s="25"/>
      <c r="N848" s="83">
        <v>612.66999999999996</v>
      </c>
      <c r="P848" t="str">
        <f>VLOOKUP(B848,PTN!A:B,2,FALSE)</f>
        <v>UNIVERSITAS NEGERI JAKARTA</v>
      </c>
      <c r="Q848" t="str">
        <f t="shared" si="13"/>
        <v>UNIVERSITAS NEGERI JAKARTAILMU KOMUNIKASI</v>
      </c>
    </row>
    <row r="849" spans="1:17" ht="16.5" thickTop="1" thickBot="1" x14ac:dyDescent="0.3">
      <c r="A849" s="7">
        <v>848</v>
      </c>
      <c r="B849" s="6">
        <v>26</v>
      </c>
      <c r="C849" s="13">
        <v>3232402</v>
      </c>
      <c r="D849" t="s">
        <v>320</v>
      </c>
      <c r="E849" s="13">
        <v>12</v>
      </c>
      <c r="F849" s="10" t="s">
        <v>13</v>
      </c>
      <c r="I849" s="26"/>
      <c r="J849" s="138" t="s">
        <v>1292</v>
      </c>
      <c r="K849" s="138" t="s">
        <v>1292</v>
      </c>
      <c r="L849" s="138" t="s">
        <v>1292</v>
      </c>
      <c r="M849" s="27"/>
      <c r="N849" s="83" t="s">
        <v>1292</v>
      </c>
      <c r="P849" t="str">
        <f>VLOOKUP(B849,PTN!A:B,2,FALSE)</f>
        <v>UNIVERSITAS NEGERI JAKARTA</v>
      </c>
      <c r="Q849" t="str">
        <f t="shared" si="13"/>
        <v>UNIVERSITAS NEGERI JAKARTAKEPELATIHAN KECABANGAN OLAHRAGA</v>
      </c>
    </row>
    <row r="850" spans="1:17" ht="15.75" thickBot="1" x14ac:dyDescent="0.3">
      <c r="A850" s="7">
        <v>849</v>
      </c>
      <c r="B850" s="6">
        <v>26</v>
      </c>
      <c r="C850" s="12">
        <v>3232305</v>
      </c>
      <c r="D850" t="s">
        <v>61</v>
      </c>
      <c r="E850" s="12">
        <v>15</v>
      </c>
      <c r="F850" s="10" t="s">
        <v>13</v>
      </c>
      <c r="I850" s="87"/>
      <c r="J850" s="138">
        <v>611.16999999999996</v>
      </c>
      <c r="K850" s="138">
        <v>619.30772999999999</v>
      </c>
      <c r="L850" s="138">
        <v>603.03226999999993</v>
      </c>
      <c r="M850" s="28"/>
      <c r="N850" s="83">
        <v>611.16999999999996</v>
      </c>
      <c r="P850" t="str">
        <f>VLOOKUP(B850,PTN!A:B,2,FALSE)</f>
        <v>UNIVERSITAS NEGERI JAKARTA</v>
      </c>
      <c r="Q850" t="str">
        <f t="shared" si="13"/>
        <v>UNIVERSITAS NEGERI JAKARTAMANAJEMEN</v>
      </c>
    </row>
    <row r="851" spans="1:17" ht="15.75" thickBot="1" x14ac:dyDescent="0.3">
      <c r="A851" s="7">
        <v>850</v>
      </c>
      <c r="B851" s="6">
        <v>26</v>
      </c>
      <c r="C851" s="13">
        <v>3232031</v>
      </c>
      <c r="D851" t="s">
        <v>321</v>
      </c>
      <c r="E851" s="13">
        <v>16</v>
      </c>
      <c r="F851" s="10" t="s">
        <v>13</v>
      </c>
      <c r="I851" s="26"/>
      <c r="J851" s="138">
        <v>595.04999999999995</v>
      </c>
      <c r="K851" s="138">
        <v>603.18772999999999</v>
      </c>
      <c r="L851" s="138">
        <v>586.91226999999992</v>
      </c>
      <c r="M851" s="27"/>
      <c r="N851" s="83">
        <v>595.04999999999995</v>
      </c>
      <c r="P851" t="str">
        <f>VLOOKUP(B851,PTN!A:B,2,FALSE)</f>
        <v>UNIVERSITAS NEGERI JAKARTA</v>
      </c>
      <c r="Q851" t="str">
        <f t="shared" si="13"/>
        <v>UNIVERSITAS NEGERI JAKARTAMANAJEMEN PENDIDIKAN</v>
      </c>
    </row>
    <row r="852" spans="1:17" ht="15.75" thickBot="1" x14ac:dyDescent="0.3">
      <c r="A852" s="7">
        <v>851</v>
      </c>
      <c r="B852" s="6">
        <v>26</v>
      </c>
      <c r="C852" s="12">
        <v>3232391</v>
      </c>
      <c r="D852" t="s">
        <v>322</v>
      </c>
      <c r="E852" s="12">
        <v>8</v>
      </c>
      <c r="F852" s="10" t="s">
        <v>13</v>
      </c>
      <c r="I852" s="87"/>
      <c r="J852" s="138" t="s">
        <v>1292</v>
      </c>
      <c r="K852" s="138" t="s">
        <v>1292</v>
      </c>
      <c r="L852" s="138" t="s">
        <v>1292</v>
      </c>
      <c r="M852" s="28"/>
      <c r="N852" s="83" t="s">
        <v>1292</v>
      </c>
      <c r="P852" t="str">
        <f>VLOOKUP(B852,PTN!A:B,2,FALSE)</f>
        <v>UNIVERSITAS NEGERI JAKARTA</v>
      </c>
      <c r="Q852" t="str">
        <f t="shared" si="13"/>
        <v>UNIVERSITAS NEGERI JAKARTAOLAHRAGA REKREASI</v>
      </c>
    </row>
    <row r="853" spans="1:17" ht="15.75" thickBot="1" x14ac:dyDescent="0.3">
      <c r="A853" s="7">
        <v>852</v>
      </c>
      <c r="B853" s="6">
        <v>26</v>
      </c>
      <c r="C853" s="13">
        <v>3232054</v>
      </c>
      <c r="D853" t="s">
        <v>323</v>
      </c>
      <c r="E853" s="13">
        <v>16</v>
      </c>
      <c r="F853" s="10" t="s">
        <v>13</v>
      </c>
      <c r="I853" s="26"/>
      <c r="J853" s="138" t="s">
        <v>1292</v>
      </c>
      <c r="K853" s="138" t="s">
        <v>1292</v>
      </c>
      <c r="L853" s="138" t="s">
        <v>1292</v>
      </c>
      <c r="M853" s="27"/>
      <c r="N853" s="83" t="s">
        <v>1292</v>
      </c>
      <c r="P853" t="str">
        <f>VLOOKUP(B853,PTN!A:B,2,FALSE)</f>
        <v>UNIVERSITAS NEGERI JAKARTA</v>
      </c>
      <c r="Q853" t="str">
        <f t="shared" si="13"/>
        <v>UNIVERSITAS NEGERI JAKARTAPEND. GURU PAUD</v>
      </c>
    </row>
    <row r="854" spans="1:17" ht="15.75" thickBot="1" x14ac:dyDescent="0.3">
      <c r="A854" s="7">
        <v>853</v>
      </c>
      <c r="B854" s="6">
        <v>26</v>
      </c>
      <c r="C854" s="12">
        <v>3232383</v>
      </c>
      <c r="D854" t="s">
        <v>121</v>
      </c>
      <c r="E854" s="12">
        <v>16</v>
      </c>
      <c r="F854" s="10" t="s">
        <v>13</v>
      </c>
      <c r="I854" s="87"/>
      <c r="J854" s="138">
        <v>584.4</v>
      </c>
      <c r="K854" s="138">
        <v>592.53773000000001</v>
      </c>
      <c r="L854" s="138">
        <v>576.26226999999994</v>
      </c>
      <c r="M854" s="28"/>
      <c r="N854" s="83">
        <v>584.4</v>
      </c>
      <c r="P854" t="str">
        <f>VLOOKUP(B854,PTN!A:B,2,FALSE)</f>
        <v>UNIVERSITAS NEGERI JAKARTA</v>
      </c>
      <c r="Q854" t="str">
        <f t="shared" si="13"/>
        <v>UNIVERSITAS NEGERI JAKARTAPENDIDIKAN ADMINISTRASI PERKANTORAN</v>
      </c>
    </row>
    <row r="855" spans="1:17" ht="15.75" thickBot="1" x14ac:dyDescent="0.3">
      <c r="A855" s="7">
        <v>854</v>
      </c>
      <c r="B855" s="6">
        <v>26</v>
      </c>
      <c r="C855" s="13">
        <v>3232232</v>
      </c>
      <c r="D855" t="s">
        <v>324</v>
      </c>
      <c r="E855" s="13">
        <v>16</v>
      </c>
      <c r="F855" s="10" t="s">
        <v>13</v>
      </c>
      <c r="I855" s="26"/>
      <c r="J855" s="138">
        <v>571.07000000000005</v>
      </c>
      <c r="K855" s="138">
        <v>579.20773000000008</v>
      </c>
      <c r="L855" s="138">
        <v>562.93227000000002</v>
      </c>
      <c r="M855" s="27"/>
      <c r="N855" s="83">
        <v>571.07000000000005</v>
      </c>
      <c r="P855" t="str">
        <f>VLOOKUP(B855,PTN!A:B,2,FALSE)</f>
        <v>UNIVERSITAS NEGERI JAKARTA</v>
      </c>
      <c r="Q855" t="str">
        <f t="shared" si="13"/>
        <v>UNIVERSITAS NEGERI JAKARTAPENDIDIKAN AGAMA ISLAM</v>
      </c>
    </row>
    <row r="856" spans="1:17" ht="15.75" thickBot="1" x14ac:dyDescent="0.3">
      <c r="A856" s="7">
        <v>855</v>
      </c>
      <c r="B856" s="6">
        <v>26</v>
      </c>
      <c r="C856" s="12">
        <v>3232151</v>
      </c>
      <c r="D856" t="s">
        <v>244</v>
      </c>
      <c r="E856" s="12">
        <v>24</v>
      </c>
      <c r="F856" s="10" t="s">
        <v>13</v>
      </c>
      <c r="I856" s="87"/>
      <c r="J856" s="138">
        <v>569.48</v>
      </c>
      <c r="K856" s="138">
        <v>577.61773000000005</v>
      </c>
      <c r="L856" s="138">
        <v>561.34226999999998</v>
      </c>
      <c r="M856" s="28"/>
      <c r="N856" s="83">
        <v>569.48</v>
      </c>
      <c r="P856" t="str">
        <f>VLOOKUP(B856,PTN!A:B,2,FALSE)</f>
        <v>UNIVERSITAS NEGERI JAKARTA</v>
      </c>
      <c r="Q856" t="str">
        <f t="shared" si="13"/>
        <v>UNIVERSITAS NEGERI JAKARTAPENDIDIKAN BAHASA ARAB</v>
      </c>
    </row>
    <row r="857" spans="1:17" ht="15.75" thickBot="1" x14ac:dyDescent="0.3">
      <c r="A857" s="7">
        <v>856</v>
      </c>
      <c r="B857" s="6">
        <v>26</v>
      </c>
      <c r="C857" s="13">
        <v>3232093</v>
      </c>
      <c r="D857" t="s">
        <v>70</v>
      </c>
      <c r="E857" s="13">
        <v>10</v>
      </c>
      <c r="F857" s="10" t="s">
        <v>13</v>
      </c>
      <c r="I857" s="26"/>
      <c r="J857" s="138">
        <v>581.63</v>
      </c>
      <c r="K857" s="138">
        <v>589.76773000000003</v>
      </c>
      <c r="L857" s="138">
        <v>573.49226999999996</v>
      </c>
      <c r="M857" s="27"/>
      <c r="N857" s="83">
        <v>581.63</v>
      </c>
      <c r="P857" t="str">
        <f>VLOOKUP(B857,PTN!A:B,2,FALSE)</f>
        <v>UNIVERSITAS NEGERI JAKARTA</v>
      </c>
      <c r="Q857" t="str">
        <f t="shared" si="13"/>
        <v>UNIVERSITAS NEGERI JAKARTAPENDIDIKAN BAHASA INDONESIA</v>
      </c>
    </row>
    <row r="858" spans="1:17" ht="15.75" thickBot="1" x14ac:dyDescent="0.3">
      <c r="A858" s="7">
        <v>857</v>
      </c>
      <c r="B858" s="6">
        <v>26</v>
      </c>
      <c r="C858" s="12">
        <v>3232112</v>
      </c>
      <c r="D858" t="s">
        <v>71</v>
      </c>
      <c r="E858" s="12">
        <v>10</v>
      </c>
      <c r="F858" s="10" t="s">
        <v>13</v>
      </c>
      <c r="I858" s="87"/>
      <c r="J858" s="138">
        <v>614.41</v>
      </c>
      <c r="K858" s="138">
        <v>622.54773</v>
      </c>
      <c r="L858" s="138">
        <v>606.27226999999993</v>
      </c>
      <c r="M858" s="28"/>
      <c r="N858" s="83">
        <v>614.41</v>
      </c>
      <c r="P858" t="str">
        <f>VLOOKUP(B858,PTN!A:B,2,FALSE)</f>
        <v>UNIVERSITAS NEGERI JAKARTA</v>
      </c>
      <c r="Q858" t="str">
        <f t="shared" si="13"/>
        <v>UNIVERSITAS NEGERI JAKARTAPENDIDIKAN BAHASA INGGRIS</v>
      </c>
    </row>
    <row r="859" spans="1:17" ht="15.75" thickBot="1" x14ac:dyDescent="0.3">
      <c r="A859" s="7">
        <v>858</v>
      </c>
      <c r="B859" s="6">
        <v>26</v>
      </c>
      <c r="C859" s="13">
        <v>3232166</v>
      </c>
      <c r="D859" t="s">
        <v>198</v>
      </c>
      <c r="E859" s="13">
        <v>10</v>
      </c>
      <c r="F859" s="10" t="s">
        <v>13</v>
      </c>
      <c r="I859" s="26"/>
      <c r="J859" s="138">
        <v>612.03</v>
      </c>
      <c r="K859" s="138">
        <v>620.16773000000001</v>
      </c>
      <c r="L859" s="138">
        <v>603.89226999999994</v>
      </c>
      <c r="M859" s="27"/>
      <c r="N859" s="83">
        <v>612.03</v>
      </c>
      <c r="P859" t="str">
        <f>VLOOKUP(B859,PTN!A:B,2,FALSE)</f>
        <v>UNIVERSITAS NEGERI JAKARTA</v>
      </c>
      <c r="Q859" t="str">
        <f t="shared" si="13"/>
        <v>UNIVERSITAS NEGERI JAKARTAPENDIDIKAN BAHASA JEPANG</v>
      </c>
    </row>
    <row r="860" spans="1:17" ht="15.75" thickBot="1" x14ac:dyDescent="0.3">
      <c r="A860" s="7">
        <v>859</v>
      </c>
      <c r="B860" s="6">
        <v>26</v>
      </c>
      <c r="C860" s="12">
        <v>3232143</v>
      </c>
      <c r="D860" t="s">
        <v>124</v>
      </c>
      <c r="E860" s="12">
        <v>10</v>
      </c>
      <c r="F860" s="10" t="s">
        <v>13</v>
      </c>
      <c r="I860" s="87"/>
      <c r="J860" s="138">
        <v>586.77</v>
      </c>
      <c r="K860" s="138">
        <v>594.90773000000002</v>
      </c>
      <c r="L860" s="138">
        <v>578.63226999999995</v>
      </c>
      <c r="M860" s="28"/>
      <c r="N860" s="83">
        <v>586.77</v>
      </c>
      <c r="P860" t="str">
        <f>VLOOKUP(B860,PTN!A:B,2,FALSE)</f>
        <v>UNIVERSITAS NEGERI JAKARTA</v>
      </c>
      <c r="Q860" t="str">
        <f t="shared" si="13"/>
        <v>UNIVERSITAS NEGERI JAKARTAPENDIDIKAN BAHASA JERMAN</v>
      </c>
    </row>
    <row r="861" spans="1:17" ht="15.75" thickBot="1" x14ac:dyDescent="0.3">
      <c r="A861" s="7">
        <v>860</v>
      </c>
      <c r="B861" s="6">
        <v>26</v>
      </c>
      <c r="C861" s="13">
        <v>3232375</v>
      </c>
      <c r="D861" t="s">
        <v>325</v>
      </c>
      <c r="E861" s="13">
        <v>5</v>
      </c>
      <c r="F861" s="10" t="s">
        <v>13</v>
      </c>
      <c r="I861" s="26"/>
      <c r="J861" s="138">
        <v>587.54</v>
      </c>
      <c r="K861" s="138">
        <v>595.67773</v>
      </c>
      <c r="L861" s="138">
        <v>579.40226999999993</v>
      </c>
      <c r="M861" s="27"/>
      <c r="N861" s="83">
        <v>587.54</v>
      </c>
      <c r="P861" t="str">
        <f>VLOOKUP(B861,PTN!A:B,2,FALSE)</f>
        <v>UNIVERSITAS NEGERI JAKARTA</v>
      </c>
      <c r="Q861" t="str">
        <f t="shared" si="13"/>
        <v>UNIVERSITAS NEGERI JAKARTAPENDIDIKAN BAHASA MANDARIN</v>
      </c>
    </row>
    <row r="862" spans="1:17" ht="15.75" thickBot="1" x14ac:dyDescent="0.3">
      <c r="A862" s="7">
        <v>861</v>
      </c>
      <c r="B862" s="6">
        <v>26</v>
      </c>
      <c r="C862" s="12">
        <v>3232135</v>
      </c>
      <c r="D862" t="s">
        <v>326</v>
      </c>
      <c r="E862" s="12">
        <v>9</v>
      </c>
      <c r="F862" s="10" t="s">
        <v>13</v>
      </c>
      <c r="I862" s="87"/>
      <c r="J862" s="138">
        <v>588.38</v>
      </c>
      <c r="K862" s="138">
        <v>596.51773000000003</v>
      </c>
      <c r="L862" s="138">
        <v>580.24226999999996</v>
      </c>
      <c r="M862" s="28"/>
      <c r="N862" s="83">
        <v>588.38</v>
      </c>
      <c r="P862" t="str">
        <f>VLOOKUP(B862,PTN!A:B,2,FALSE)</f>
        <v>UNIVERSITAS NEGERI JAKARTA</v>
      </c>
      <c r="Q862" t="str">
        <f t="shared" si="13"/>
        <v>UNIVERSITAS NEGERI JAKARTAPENDIDIKAN BAHASA PRANCIS</v>
      </c>
    </row>
    <row r="863" spans="1:17" ht="15.75" thickBot="1" x14ac:dyDescent="0.3">
      <c r="A863" s="7">
        <v>862</v>
      </c>
      <c r="B863" s="6">
        <v>26</v>
      </c>
      <c r="C863" s="13">
        <v>3232367</v>
      </c>
      <c r="D863" t="s">
        <v>327</v>
      </c>
      <c r="E863" s="13">
        <v>16</v>
      </c>
      <c r="F863" s="10" t="s">
        <v>13</v>
      </c>
      <c r="I863" s="26"/>
      <c r="J863" s="138">
        <v>584.29</v>
      </c>
      <c r="K863" s="138">
        <v>592.42773</v>
      </c>
      <c r="L863" s="138">
        <v>576.15226999999993</v>
      </c>
      <c r="M863" s="27"/>
      <c r="N863" s="83">
        <v>584.29</v>
      </c>
      <c r="P863" t="str">
        <f>VLOOKUP(B863,PTN!A:B,2,FALSE)</f>
        <v>UNIVERSITAS NEGERI JAKARTA</v>
      </c>
      <c r="Q863" t="str">
        <f t="shared" si="13"/>
        <v>UNIVERSITAS NEGERI JAKARTAPENDIDIKAN BISNIS</v>
      </c>
    </row>
    <row r="864" spans="1:17" ht="15.75" thickBot="1" x14ac:dyDescent="0.3">
      <c r="A864" s="7">
        <v>863</v>
      </c>
      <c r="B864" s="6">
        <v>26</v>
      </c>
      <c r="C864" s="12">
        <v>3232294</v>
      </c>
      <c r="D864" t="s">
        <v>100</v>
      </c>
      <c r="E864" s="12">
        <v>24</v>
      </c>
      <c r="F864" s="10" t="s">
        <v>13</v>
      </c>
      <c r="I864" s="87"/>
      <c r="J864" s="138">
        <v>595.52</v>
      </c>
      <c r="K864" s="138">
        <v>603.65773000000002</v>
      </c>
      <c r="L864" s="138">
        <v>587.38226999999995</v>
      </c>
      <c r="M864" s="28"/>
      <c r="N864" s="83">
        <v>595.52</v>
      </c>
      <c r="P864" t="str">
        <f>VLOOKUP(B864,PTN!A:B,2,FALSE)</f>
        <v>UNIVERSITAS NEGERI JAKARTA</v>
      </c>
      <c r="Q864" t="str">
        <f t="shared" si="13"/>
        <v>UNIVERSITAS NEGERI JAKARTAPENDIDIKAN EKONOMI</v>
      </c>
    </row>
    <row r="865" spans="1:17" ht="15.75" thickBot="1" x14ac:dyDescent="0.3">
      <c r="A865" s="7">
        <v>864</v>
      </c>
      <c r="B865" s="6">
        <v>26</v>
      </c>
      <c r="C865" s="13">
        <v>3232216</v>
      </c>
      <c r="D865" t="s">
        <v>72</v>
      </c>
      <c r="E865" s="13">
        <v>16</v>
      </c>
      <c r="F865" s="10" t="s">
        <v>13</v>
      </c>
      <c r="I865" s="26"/>
      <c r="J865" s="138">
        <v>595.1</v>
      </c>
      <c r="K865" s="138">
        <v>603.23773000000006</v>
      </c>
      <c r="L865" s="138">
        <v>586.96226999999999</v>
      </c>
      <c r="M865" s="27"/>
      <c r="N865" s="83">
        <v>595.1</v>
      </c>
      <c r="P865" t="str">
        <f>VLOOKUP(B865,PTN!A:B,2,FALSE)</f>
        <v>UNIVERSITAS NEGERI JAKARTA</v>
      </c>
      <c r="Q865" t="str">
        <f t="shared" si="13"/>
        <v>UNIVERSITAS NEGERI JAKARTAPENDIDIKAN GEOGRAFI</v>
      </c>
    </row>
    <row r="866" spans="1:17" ht="15.75" thickBot="1" x14ac:dyDescent="0.3">
      <c r="A866" s="7">
        <v>865</v>
      </c>
      <c r="B866" s="6">
        <v>26</v>
      </c>
      <c r="C866" s="12">
        <v>3232077</v>
      </c>
      <c r="D866" t="s">
        <v>73</v>
      </c>
      <c r="E866" s="12">
        <v>48</v>
      </c>
      <c r="F866" s="10" t="s">
        <v>13</v>
      </c>
      <c r="I866" s="87"/>
      <c r="J866" s="138">
        <v>583.63</v>
      </c>
      <c r="K866" s="138">
        <v>591.76773000000003</v>
      </c>
      <c r="L866" s="138">
        <v>575.49226999999996</v>
      </c>
      <c r="M866" s="28"/>
      <c r="N866" s="83">
        <v>583.63</v>
      </c>
      <c r="P866" t="str">
        <f>VLOOKUP(B866,PTN!A:B,2,FALSE)</f>
        <v>UNIVERSITAS NEGERI JAKARTA</v>
      </c>
      <c r="Q866" t="str">
        <f t="shared" si="13"/>
        <v>UNIVERSITAS NEGERI JAKARTAPENDIDIKAN GURU SEKOLAH DASAR</v>
      </c>
    </row>
    <row r="867" spans="1:17" ht="15.75" thickBot="1" x14ac:dyDescent="0.3">
      <c r="A867" s="7">
        <v>866</v>
      </c>
      <c r="B867" s="6">
        <v>26</v>
      </c>
      <c r="C867" s="13">
        <v>3232321</v>
      </c>
      <c r="D867" t="s">
        <v>328</v>
      </c>
      <c r="E867" s="13">
        <v>16</v>
      </c>
      <c r="F867" s="10" t="s">
        <v>13</v>
      </c>
      <c r="I867" s="26"/>
      <c r="J867" s="138">
        <v>581.5</v>
      </c>
      <c r="K867" s="138">
        <v>589.63773000000003</v>
      </c>
      <c r="L867" s="138">
        <v>573.36226999999997</v>
      </c>
      <c r="M867" s="27"/>
      <c r="N867" s="83">
        <v>581.5</v>
      </c>
      <c r="P867" t="str">
        <f>VLOOKUP(B867,PTN!A:B,2,FALSE)</f>
        <v>UNIVERSITAS NEGERI JAKARTA</v>
      </c>
      <c r="Q867" t="str">
        <f t="shared" si="13"/>
        <v>UNIVERSITAS NEGERI JAKARTAPENDIDIKAN ILMU PENGETAHUAN SOSIAL</v>
      </c>
    </row>
    <row r="868" spans="1:17" ht="15.75" thickBot="1" x14ac:dyDescent="0.3">
      <c r="A868" s="7">
        <v>867</v>
      </c>
      <c r="B868" s="6">
        <v>26</v>
      </c>
      <c r="C868" s="12">
        <v>3232271</v>
      </c>
      <c r="D868" t="s">
        <v>329</v>
      </c>
      <c r="E868" s="12">
        <v>16</v>
      </c>
      <c r="F868" s="10" t="s">
        <v>13</v>
      </c>
      <c r="I868" s="87"/>
      <c r="J868" s="138" t="s">
        <v>1292</v>
      </c>
      <c r="K868" s="138" t="s">
        <v>1292</v>
      </c>
      <c r="L868" s="138" t="s">
        <v>1292</v>
      </c>
      <c r="M868" s="28"/>
      <c r="N868" s="83" t="s">
        <v>1292</v>
      </c>
      <c r="P868" t="str">
        <f>VLOOKUP(B868,PTN!A:B,2,FALSE)</f>
        <v>UNIVERSITAS NEGERI JAKARTA</v>
      </c>
      <c r="Q868" t="str">
        <f t="shared" si="13"/>
        <v>UNIVERSITAS NEGERI JAKARTAPENDIDIKAN JASMANI</v>
      </c>
    </row>
    <row r="869" spans="1:17" ht="15.75" thickBot="1" x14ac:dyDescent="0.3">
      <c r="A869" s="7">
        <v>868</v>
      </c>
      <c r="B869" s="6">
        <v>26</v>
      </c>
      <c r="C869" s="13">
        <v>3232286</v>
      </c>
      <c r="D869" t="s">
        <v>330</v>
      </c>
      <c r="E869" s="13">
        <v>16</v>
      </c>
      <c r="F869" s="10" t="s">
        <v>13</v>
      </c>
      <c r="I869" s="26"/>
      <c r="J869" s="138" t="s">
        <v>1292</v>
      </c>
      <c r="K869" s="138" t="s">
        <v>1292</v>
      </c>
      <c r="L869" s="138" t="s">
        <v>1292</v>
      </c>
      <c r="M869" s="27"/>
      <c r="N869" s="83" t="s">
        <v>1292</v>
      </c>
      <c r="P869" t="str">
        <f>VLOOKUP(B869,PTN!A:B,2,FALSE)</f>
        <v>UNIVERSITAS NEGERI JAKARTA</v>
      </c>
      <c r="Q869" t="str">
        <f t="shared" si="13"/>
        <v>UNIVERSITAS NEGERI JAKARTAPENDIDIKAN KEPELATIHAN OLAHRAGA</v>
      </c>
    </row>
    <row r="870" spans="1:17" ht="15.75" thickBot="1" x14ac:dyDescent="0.3">
      <c r="A870" s="7">
        <v>869</v>
      </c>
      <c r="B870" s="6">
        <v>26</v>
      </c>
      <c r="C870" s="12">
        <v>3232023</v>
      </c>
      <c r="D870" t="s">
        <v>331</v>
      </c>
      <c r="E870" s="12">
        <v>24</v>
      </c>
      <c r="F870" s="10" t="s">
        <v>13</v>
      </c>
      <c r="I870" s="87"/>
      <c r="J870" s="138">
        <v>568.94000000000005</v>
      </c>
      <c r="K870" s="138">
        <v>577.07773000000009</v>
      </c>
      <c r="L870" s="138">
        <v>560.80227000000002</v>
      </c>
      <c r="M870" s="28"/>
      <c r="N870" s="83">
        <v>568.94000000000005</v>
      </c>
      <c r="P870" t="str">
        <f>VLOOKUP(B870,PTN!A:B,2,FALSE)</f>
        <v>UNIVERSITAS NEGERI JAKARTA</v>
      </c>
      <c r="Q870" t="str">
        <f t="shared" si="13"/>
        <v>UNIVERSITAS NEGERI JAKARTAPENDIDIKAN KHUSUS</v>
      </c>
    </row>
    <row r="871" spans="1:17" ht="15.75" thickBot="1" x14ac:dyDescent="0.3">
      <c r="A871" s="7">
        <v>870</v>
      </c>
      <c r="B871" s="6">
        <v>26</v>
      </c>
      <c r="C871" s="13">
        <v>3232046</v>
      </c>
      <c r="D871" t="s">
        <v>332</v>
      </c>
      <c r="E871" s="13">
        <v>16</v>
      </c>
      <c r="F871" s="10" t="s">
        <v>13</v>
      </c>
      <c r="I871" s="26"/>
      <c r="J871" s="138">
        <v>573.54999999999995</v>
      </c>
      <c r="K871" s="138">
        <v>581.68772999999999</v>
      </c>
      <c r="L871" s="138">
        <v>565.41226999999992</v>
      </c>
      <c r="M871" s="27"/>
      <c r="N871" s="83">
        <v>573.54999999999995</v>
      </c>
      <c r="P871" t="str">
        <f>VLOOKUP(B871,PTN!A:B,2,FALSE)</f>
        <v>UNIVERSITAS NEGERI JAKARTA</v>
      </c>
      <c r="Q871" t="str">
        <f t="shared" si="13"/>
        <v>UNIVERSITAS NEGERI JAKARTAPENDIDIKAN MASYARAKAT</v>
      </c>
    </row>
    <row r="872" spans="1:17" ht="15.75" thickBot="1" x14ac:dyDescent="0.3">
      <c r="A872" s="7">
        <v>871</v>
      </c>
      <c r="B872" s="6">
        <v>26</v>
      </c>
      <c r="C872" s="12">
        <v>3232182</v>
      </c>
      <c r="D872" t="s">
        <v>202</v>
      </c>
      <c r="E872" s="12">
        <v>10</v>
      </c>
      <c r="F872" s="10" t="s">
        <v>13</v>
      </c>
      <c r="I872" s="87"/>
      <c r="J872" s="138" t="s">
        <v>1292</v>
      </c>
      <c r="K872" s="138" t="s">
        <v>1292</v>
      </c>
      <c r="L872" s="138" t="s">
        <v>1292</v>
      </c>
      <c r="M872" s="28"/>
      <c r="N872" s="83" t="s">
        <v>1292</v>
      </c>
      <c r="P872" t="str">
        <f>VLOOKUP(B872,PTN!A:B,2,FALSE)</f>
        <v>UNIVERSITAS NEGERI JAKARTA</v>
      </c>
      <c r="Q872" t="str">
        <f t="shared" si="13"/>
        <v>UNIVERSITAS NEGERI JAKARTAPENDIDIKAN MUSIK</v>
      </c>
    </row>
    <row r="873" spans="1:17" ht="15.75" thickBot="1" x14ac:dyDescent="0.3">
      <c r="A873" s="7">
        <v>872</v>
      </c>
      <c r="B873" s="6">
        <v>26</v>
      </c>
      <c r="C873" s="13">
        <v>3232201</v>
      </c>
      <c r="D873" t="s">
        <v>333</v>
      </c>
      <c r="E873" s="13">
        <v>16</v>
      </c>
      <c r="F873" s="10" t="s">
        <v>13</v>
      </c>
      <c r="I873" s="26"/>
      <c r="J873" s="138">
        <v>572.74</v>
      </c>
      <c r="K873" s="138">
        <v>580.87773000000004</v>
      </c>
      <c r="L873" s="138">
        <v>564.60226999999998</v>
      </c>
      <c r="M873" s="27"/>
      <c r="N873" s="83">
        <v>572.74</v>
      </c>
      <c r="P873" t="str">
        <f>VLOOKUP(B873,PTN!A:B,2,FALSE)</f>
        <v>UNIVERSITAS NEGERI JAKARTA</v>
      </c>
      <c r="Q873" t="str">
        <f t="shared" si="13"/>
        <v>UNIVERSITAS NEGERI JAKARTAPENDIDIKAN PANCASILA &amp; KEWARGANEGARAAN</v>
      </c>
    </row>
    <row r="874" spans="1:17" ht="15.75" thickBot="1" x14ac:dyDescent="0.3">
      <c r="A874" s="7">
        <v>873</v>
      </c>
      <c r="B874" s="6">
        <v>26</v>
      </c>
      <c r="C874" s="12">
        <v>3232224</v>
      </c>
      <c r="D874" t="s">
        <v>75</v>
      </c>
      <c r="E874" s="12">
        <v>16</v>
      </c>
      <c r="F874" s="10" t="s">
        <v>13</v>
      </c>
      <c r="I874" s="87"/>
      <c r="J874" s="138">
        <v>598.05999999999995</v>
      </c>
      <c r="K874" s="138">
        <v>606.19772999999998</v>
      </c>
      <c r="L874" s="138">
        <v>589.92226999999991</v>
      </c>
      <c r="M874" s="28"/>
      <c r="N874" s="83">
        <v>598.05999999999995</v>
      </c>
      <c r="P874" t="str">
        <f>VLOOKUP(B874,PTN!A:B,2,FALSE)</f>
        <v>UNIVERSITAS NEGERI JAKARTA</v>
      </c>
      <c r="Q874" t="str">
        <f t="shared" si="13"/>
        <v>UNIVERSITAS NEGERI JAKARTAPENDIDIKAN SEJARAH</v>
      </c>
    </row>
    <row r="875" spans="1:17" ht="15.75" thickBot="1" x14ac:dyDescent="0.3">
      <c r="A875" s="7">
        <v>874</v>
      </c>
      <c r="B875" s="6">
        <v>26</v>
      </c>
      <c r="C875" s="13">
        <v>3232197</v>
      </c>
      <c r="D875" t="s">
        <v>131</v>
      </c>
      <c r="E875" s="13">
        <v>12</v>
      </c>
      <c r="F875" s="10" t="s">
        <v>13</v>
      </c>
      <c r="I875" s="26"/>
      <c r="J875" s="138" t="s">
        <v>1292</v>
      </c>
      <c r="K875" s="138" t="s">
        <v>1292</v>
      </c>
      <c r="L875" s="138" t="s">
        <v>1292</v>
      </c>
      <c r="M875" s="27"/>
      <c r="N875" s="83" t="s">
        <v>1292</v>
      </c>
      <c r="P875" t="str">
        <f>VLOOKUP(B875,PTN!A:B,2,FALSE)</f>
        <v>UNIVERSITAS NEGERI JAKARTA</v>
      </c>
      <c r="Q875" t="str">
        <f t="shared" si="13"/>
        <v>UNIVERSITAS NEGERI JAKARTAPENDIDIKAN SENI RUPA</v>
      </c>
    </row>
    <row r="876" spans="1:17" ht="15.75" thickBot="1" x14ac:dyDescent="0.3">
      <c r="A876" s="7">
        <v>875</v>
      </c>
      <c r="B876" s="6">
        <v>26</v>
      </c>
      <c r="C876" s="12">
        <v>3232255</v>
      </c>
      <c r="D876" t="s">
        <v>334</v>
      </c>
      <c r="E876" s="12">
        <v>16</v>
      </c>
      <c r="F876" s="10" t="s">
        <v>13</v>
      </c>
      <c r="I876" s="87"/>
      <c r="J876" s="138">
        <v>596.87</v>
      </c>
      <c r="K876" s="138">
        <v>605.00773000000004</v>
      </c>
      <c r="L876" s="138">
        <v>588.73226999999997</v>
      </c>
      <c r="M876" s="28"/>
      <c r="N876" s="83">
        <v>596.87</v>
      </c>
      <c r="P876" t="str">
        <f>VLOOKUP(B876,PTN!A:B,2,FALSE)</f>
        <v>UNIVERSITAS NEGERI JAKARTA</v>
      </c>
      <c r="Q876" t="str">
        <f t="shared" si="13"/>
        <v>UNIVERSITAS NEGERI JAKARTAPENDIDIKAN SOSIOLOGI</v>
      </c>
    </row>
    <row r="877" spans="1:17" ht="15.75" thickBot="1" x14ac:dyDescent="0.3">
      <c r="A877" s="7">
        <v>876</v>
      </c>
      <c r="B877" s="6">
        <v>26</v>
      </c>
      <c r="C877" s="13">
        <v>3232174</v>
      </c>
      <c r="D877" t="s">
        <v>205</v>
      </c>
      <c r="E877" s="13">
        <v>10</v>
      </c>
      <c r="F877" s="10" t="s">
        <v>13</v>
      </c>
      <c r="I877" s="26"/>
      <c r="J877" s="138" t="s">
        <v>1292</v>
      </c>
      <c r="K877" s="138" t="s">
        <v>1292</v>
      </c>
      <c r="L877" s="138" t="s">
        <v>1292</v>
      </c>
      <c r="M877" s="27"/>
      <c r="N877" s="83" t="s">
        <v>1292</v>
      </c>
      <c r="P877" t="str">
        <f>VLOOKUP(B877,PTN!A:B,2,FALSE)</f>
        <v>UNIVERSITAS NEGERI JAKARTA</v>
      </c>
      <c r="Q877" t="str">
        <f t="shared" si="13"/>
        <v>UNIVERSITAS NEGERI JAKARTAPENDIDIKAN TARI</v>
      </c>
    </row>
    <row r="878" spans="1:17" ht="15.75" thickBot="1" x14ac:dyDescent="0.3">
      <c r="A878" s="7">
        <v>877</v>
      </c>
      <c r="B878" s="6">
        <v>26</v>
      </c>
      <c r="C878" s="12">
        <v>3232344</v>
      </c>
      <c r="D878" t="s">
        <v>335</v>
      </c>
      <c r="E878" s="12">
        <v>12</v>
      </c>
      <c r="F878" s="10" t="s">
        <v>13</v>
      </c>
      <c r="I878" s="87"/>
      <c r="J878" s="138">
        <v>585.92999999999995</v>
      </c>
      <c r="K878" s="138">
        <v>594.06772999999998</v>
      </c>
      <c r="L878" s="138">
        <v>577.79226999999992</v>
      </c>
      <c r="M878" s="28"/>
      <c r="N878" s="83">
        <v>585.92999999999995</v>
      </c>
      <c r="P878" t="str">
        <f>VLOOKUP(B878,PTN!A:B,2,FALSE)</f>
        <v>UNIVERSITAS NEGERI JAKARTA</v>
      </c>
      <c r="Q878" t="str">
        <f t="shared" si="13"/>
        <v>UNIVERSITAS NEGERI JAKARTAPENDIDIKAN VOKASIONAL DESAIN FASHION</v>
      </c>
    </row>
    <row r="879" spans="1:17" ht="15.75" thickBot="1" x14ac:dyDescent="0.3">
      <c r="A879" s="7">
        <v>878</v>
      </c>
      <c r="B879" s="6">
        <v>26</v>
      </c>
      <c r="C879" s="13">
        <v>3232263</v>
      </c>
      <c r="D879" t="s">
        <v>336</v>
      </c>
      <c r="E879" s="13">
        <v>16</v>
      </c>
      <c r="F879" s="10" t="s">
        <v>13</v>
      </c>
      <c r="I879" s="26"/>
      <c r="J879" s="138">
        <v>572.37</v>
      </c>
      <c r="K879" s="138">
        <v>580.50773000000004</v>
      </c>
      <c r="L879" s="138">
        <v>564.23226999999997</v>
      </c>
      <c r="M879" s="27"/>
      <c r="N879" s="83">
        <v>572.37</v>
      </c>
      <c r="P879" t="str">
        <f>VLOOKUP(B879,PTN!A:B,2,FALSE)</f>
        <v>UNIVERSITAS NEGERI JAKARTA</v>
      </c>
      <c r="Q879" t="str">
        <f t="shared" si="13"/>
        <v>UNIVERSITAS NEGERI JAKARTAPENDIDIKAN VOKASIONAL KESEJAHTERAAN KELUARGA</v>
      </c>
    </row>
    <row r="880" spans="1:17" ht="15.75" thickBot="1" x14ac:dyDescent="0.3">
      <c r="A880" s="7">
        <v>879</v>
      </c>
      <c r="B880" s="6">
        <v>26</v>
      </c>
      <c r="C880" s="12">
        <v>3232336</v>
      </c>
      <c r="D880" t="s">
        <v>337</v>
      </c>
      <c r="E880" s="12">
        <v>16</v>
      </c>
      <c r="F880" s="10" t="s">
        <v>13</v>
      </c>
      <c r="I880" s="87"/>
      <c r="J880" s="138">
        <v>583.27</v>
      </c>
      <c r="K880" s="138">
        <v>591.40773000000002</v>
      </c>
      <c r="L880" s="138">
        <v>575.13226999999995</v>
      </c>
      <c r="M880" s="28"/>
      <c r="N880" s="83">
        <v>583.27</v>
      </c>
      <c r="P880" t="str">
        <f>VLOOKUP(B880,PTN!A:B,2,FALSE)</f>
        <v>UNIVERSITAS NEGERI JAKARTA</v>
      </c>
      <c r="Q880" t="str">
        <f t="shared" si="13"/>
        <v>UNIVERSITAS NEGERI JAKARTAPENDIDIKAN VOKASIONAL SENI KULINER</v>
      </c>
    </row>
    <row r="881" spans="1:17" ht="15.75" thickBot="1" x14ac:dyDescent="0.3">
      <c r="A881" s="7">
        <v>880</v>
      </c>
      <c r="B881" s="6">
        <v>26</v>
      </c>
      <c r="C881" s="13">
        <v>3232352</v>
      </c>
      <c r="D881" t="s">
        <v>338</v>
      </c>
      <c r="E881" s="13">
        <v>12</v>
      </c>
      <c r="F881" s="10" t="s">
        <v>13</v>
      </c>
      <c r="I881" s="26"/>
      <c r="J881" s="138">
        <v>587.4</v>
      </c>
      <c r="K881" s="138">
        <v>595.53773000000001</v>
      </c>
      <c r="L881" s="138">
        <v>579.26226999999994</v>
      </c>
      <c r="M881" s="27"/>
      <c r="N881" s="83">
        <v>587.4</v>
      </c>
      <c r="P881" t="str">
        <f>VLOOKUP(B881,PTN!A:B,2,FALSE)</f>
        <v>UNIVERSITAS NEGERI JAKARTA</v>
      </c>
      <c r="Q881" t="str">
        <f t="shared" si="13"/>
        <v>UNIVERSITAS NEGERI JAKARTAPENDIDIKAN VOKASIONAL TATA RIAS</v>
      </c>
    </row>
    <row r="882" spans="1:17" ht="15.75" thickBot="1" x14ac:dyDescent="0.3">
      <c r="A882" s="7">
        <v>881</v>
      </c>
      <c r="B882" s="6">
        <v>26</v>
      </c>
      <c r="C882" s="12">
        <v>3232085</v>
      </c>
      <c r="D882" t="s">
        <v>36</v>
      </c>
      <c r="E882" s="12">
        <v>32</v>
      </c>
      <c r="F882" s="10" t="s">
        <v>13</v>
      </c>
      <c r="I882" s="87"/>
      <c r="J882" s="138">
        <v>619.44000000000005</v>
      </c>
      <c r="K882" s="138">
        <v>627.57773000000009</v>
      </c>
      <c r="L882" s="138">
        <v>611.30227000000002</v>
      </c>
      <c r="M882" s="28"/>
      <c r="N882" s="83">
        <v>619.44000000000005</v>
      </c>
      <c r="P882" t="str">
        <f>VLOOKUP(B882,PTN!A:B,2,FALSE)</f>
        <v>UNIVERSITAS NEGERI JAKARTA</v>
      </c>
      <c r="Q882" t="str">
        <f t="shared" si="13"/>
        <v>UNIVERSITAS NEGERI JAKARTAPSIKOLOGI</v>
      </c>
    </row>
    <row r="883" spans="1:17" ht="15.75" thickBot="1" x14ac:dyDescent="0.3">
      <c r="A883" s="7">
        <v>882</v>
      </c>
      <c r="B883" s="6">
        <v>26</v>
      </c>
      <c r="C883" s="13">
        <v>3232104</v>
      </c>
      <c r="D883" t="s">
        <v>62</v>
      </c>
      <c r="E883" s="13">
        <v>12</v>
      </c>
      <c r="F883" s="10" t="s">
        <v>13</v>
      </c>
      <c r="I883" s="26"/>
      <c r="J883" s="138">
        <v>587.38</v>
      </c>
      <c r="K883" s="138">
        <v>595.51773000000003</v>
      </c>
      <c r="L883" s="138">
        <v>579.24226999999996</v>
      </c>
      <c r="M883" s="27"/>
      <c r="N883" s="83">
        <v>587.38</v>
      </c>
      <c r="P883" t="str">
        <f>VLOOKUP(B883,PTN!A:B,2,FALSE)</f>
        <v>UNIVERSITAS NEGERI JAKARTA</v>
      </c>
      <c r="Q883" t="str">
        <f t="shared" si="13"/>
        <v>UNIVERSITAS NEGERI JAKARTASASTRA INDONESIA</v>
      </c>
    </row>
    <row r="884" spans="1:17" ht="15.75" thickBot="1" x14ac:dyDescent="0.3">
      <c r="A884" s="7">
        <v>883</v>
      </c>
      <c r="B884" s="6">
        <v>26</v>
      </c>
      <c r="C884" s="12">
        <v>3232127</v>
      </c>
      <c r="D884" t="s">
        <v>139</v>
      </c>
      <c r="E884" s="12">
        <v>10</v>
      </c>
      <c r="F884" s="10" t="s">
        <v>13</v>
      </c>
      <c r="I884" s="87"/>
      <c r="J884" s="138">
        <v>623.89</v>
      </c>
      <c r="K884" s="138">
        <v>632.02773000000002</v>
      </c>
      <c r="L884" s="138">
        <v>615.75226999999995</v>
      </c>
      <c r="M884" s="28"/>
      <c r="N884" s="83">
        <v>623.89</v>
      </c>
      <c r="P884" t="str">
        <f>VLOOKUP(B884,PTN!A:B,2,FALSE)</f>
        <v>UNIVERSITAS NEGERI JAKARTA</v>
      </c>
      <c r="Q884" t="str">
        <f t="shared" si="13"/>
        <v>UNIVERSITAS NEGERI JAKARTASASTRA INGGRIS</v>
      </c>
    </row>
    <row r="885" spans="1:17" ht="15.75" thickBot="1" x14ac:dyDescent="0.3">
      <c r="A885" s="7">
        <v>884</v>
      </c>
      <c r="B885" s="6">
        <v>26</v>
      </c>
      <c r="C885" s="13">
        <v>3232247</v>
      </c>
      <c r="D885" t="s">
        <v>63</v>
      </c>
      <c r="E885" s="13">
        <v>16</v>
      </c>
      <c r="F885" s="10" t="s">
        <v>13</v>
      </c>
      <c r="I885" s="26"/>
      <c r="J885" s="138">
        <v>605.66</v>
      </c>
      <c r="K885" s="138">
        <v>613.79773</v>
      </c>
      <c r="L885" s="138">
        <v>597.52226999999993</v>
      </c>
      <c r="M885" s="27"/>
      <c r="N885" s="83">
        <v>605.66</v>
      </c>
      <c r="P885" t="str">
        <f>VLOOKUP(B885,PTN!A:B,2,FALSE)</f>
        <v>UNIVERSITAS NEGERI JAKARTA</v>
      </c>
      <c r="Q885" t="str">
        <f t="shared" si="13"/>
        <v>UNIVERSITAS NEGERI JAKARTASOSIOLOGI</v>
      </c>
    </row>
    <row r="886" spans="1:17" ht="15.75" thickBot="1" x14ac:dyDescent="0.3">
      <c r="A886" s="7">
        <v>885</v>
      </c>
      <c r="B886" s="6">
        <v>26</v>
      </c>
      <c r="C886" s="14">
        <v>3232015</v>
      </c>
      <c r="D886" t="s">
        <v>210</v>
      </c>
      <c r="E886" s="14">
        <v>16</v>
      </c>
      <c r="F886" s="10" t="s">
        <v>13</v>
      </c>
      <c r="I886" s="20"/>
      <c r="J886" s="138">
        <v>599.52</v>
      </c>
      <c r="K886" s="138">
        <v>607.65773000000002</v>
      </c>
      <c r="L886" s="138">
        <v>591.38226999999995</v>
      </c>
      <c r="M886" s="21"/>
      <c r="N886" s="83">
        <v>599.52</v>
      </c>
      <c r="P886" t="str">
        <f>VLOOKUP(B886,PTN!A:B,2,FALSE)</f>
        <v>UNIVERSITAS NEGERI JAKARTA</v>
      </c>
      <c r="Q886" t="str">
        <f t="shared" si="13"/>
        <v>UNIVERSITAS NEGERI JAKARTATEKNOLOGI PENDIDIKAN</v>
      </c>
    </row>
    <row r="887" spans="1:17" ht="16.5" thickTop="1" thickBot="1" x14ac:dyDescent="0.3">
      <c r="A887" s="7">
        <v>886</v>
      </c>
      <c r="B887" s="6">
        <v>27</v>
      </c>
      <c r="C887" s="12">
        <v>3241111</v>
      </c>
      <c r="D887" t="s">
        <v>77</v>
      </c>
      <c r="E887" s="12">
        <v>6</v>
      </c>
      <c r="F887" s="10" t="s">
        <v>20</v>
      </c>
      <c r="I887" s="22"/>
      <c r="J887" s="138">
        <v>619.04999999999995</v>
      </c>
      <c r="K887" s="138">
        <v>626.14</v>
      </c>
      <c r="L887" s="138">
        <v>611.95999999999992</v>
      </c>
      <c r="M887" s="21"/>
      <c r="N887" s="83">
        <v>619.04999999999995</v>
      </c>
      <c r="P887" t="str">
        <f>VLOOKUP(B887,PTN!A:B,2,FALSE)</f>
        <v>UPN VETERAN JAKARTA</v>
      </c>
      <c r="Q887" t="str">
        <f t="shared" si="13"/>
        <v>UPN VETERAN JAKARTAFARMASI</v>
      </c>
    </row>
    <row r="888" spans="1:17" ht="16.5" thickTop="1" thickBot="1" x14ac:dyDescent="0.3">
      <c r="A888" s="7">
        <v>887</v>
      </c>
      <c r="B888" s="6">
        <v>27</v>
      </c>
      <c r="C888" s="13">
        <v>3241092</v>
      </c>
      <c r="D888" t="s">
        <v>113</v>
      </c>
      <c r="E888" s="13">
        <v>21</v>
      </c>
      <c r="F888" s="10" t="s">
        <v>20</v>
      </c>
      <c r="I888" s="23"/>
      <c r="J888" s="138">
        <v>611.83000000000004</v>
      </c>
      <c r="K888" s="138">
        <v>618</v>
      </c>
      <c r="L888" s="138">
        <v>605.66000000000008</v>
      </c>
      <c r="M888" s="25"/>
      <c r="N888" s="83">
        <v>611.83000000000004</v>
      </c>
      <c r="P888" t="str">
        <f>VLOOKUP(B888,PTN!A:B,2,FALSE)</f>
        <v>UPN VETERAN JAKARTA</v>
      </c>
      <c r="Q888" t="str">
        <f t="shared" si="13"/>
        <v>UPN VETERAN JAKARTAGIZI</v>
      </c>
    </row>
    <row r="889" spans="1:17" ht="16.5" thickTop="1" thickBot="1" x14ac:dyDescent="0.3">
      <c r="A889" s="7">
        <v>888</v>
      </c>
      <c r="B889" s="6">
        <v>27</v>
      </c>
      <c r="C889" s="12">
        <v>3241045</v>
      </c>
      <c r="D889" t="s">
        <v>80</v>
      </c>
      <c r="E889" s="12">
        <v>30</v>
      </c>
      <c r="F889" s="10" t="s">
        <v>20</v>
      </c>
      <c r="I889" s="26"/>
      <c r="J889" s="138">
        <v>626.91</v>
      </c>
      <c r="K889" s="138">
        <v>634.44999999999993</v>
      </c>
      <c r="L889" s="138">
        <v>619.37</v>
      </c>
      <c r="M889" s="27"/>
      <c r="N889" s="83">
        <v>626.91</v>
      </c>
      <c r="P889" t="str">
        <f>VLOOKUP(B889,PTN!A:B,2,FALSE)</f>
        <v>UPN VETERAN JAKARTA</v>
      </c>
      <c r="Q889" t="str">
        <f t="shared" si="13"/>
        <v>UPN VETERAN JAKARTAINFORMATIKA</v>
      </c>
    </row>
    <row r="890" spans="1:17" ht="15.75" thickBot="1" x14ac:dyDescent="0.3">
      <c r="A890" s="7">
        <v>889</v>
      </c>
      <c r="B890" s="6">
        <v>27</v>
      </c>
      <c r="C890" s="13">
        <v>3241061</v>
      </c>
      <c r="D890" t="s">
        <v>236</v>
      </c>
      <c r="E890" s="13">
        <v>30</v>
      </c>
      <c r="F890" s="10" t="s">
        <v>20</v>
      </c>
      <c r="I890" s="87"/>
      <c r="J890" s="138">
        <v>678.13</v>
      </c>
      <c r="K890" s="138">
        <v>686.2</v>
      </c>
      <c r="L890" s="138">
        <v>670.06</v>
      </c>
      <c r="M890" s="28"/>
      <c r="N890" s="83">
        <v>678.13</v>
      </c>
      <c r="P890" t="str">
        <f>VLOOKUP(B890,PTN!A:B,2,FALSE)</f>
        <v>UPN VETERAN JAKARTA</v>
      </c>
      <c r="Q890" t="str">
        <f t="shared" si="13"/>
        <v>UPN VETERAN JAKARTAKEDOKTERAN</v>
      </c>
    </row>
    <row r="891" spans="1:17" ht="15.75" thickBot="1" x14ac:dyDescent="0.3">
      <c r="A891" s="7">
        <v>890</v>
      </c>
      <c r="B891" s="6">
        <v>27</v>
      </c>
      <c r="C891" s="12">
        <v>3241076</v>
      </c>
      <c r="D891" t="s">
        <v>339</v>
      </c>
      <c r="E891" s="12">
        <v>16</v>
      </c>
      <c r="F891" s="10" t="s">
        <v>20</v>
      </c>
      <c r="I891" s="26"/>
      <c r="J891" s="138">
        <v>597.71</v>
      </c>
      <c r="K891" s="138">
        <v>603.84500000000003</v>
      </c>
      <c r="L891" s="138">
        <v>591.57500000000005</v>
      </c>
      <c r="M891" s="27"/>
      <c r="N891" s="83">
        <v>597.71</v>
      </c>
      <c r="P891" t="str">
        <f>VLOOKUP(B891,PTN!A:B,2,FALSE)</f>
        <v>UPN VETERAN JAKARTA</v>
      </c>
      <c r="Q891" t="str">
        <f t="shared" si="13"/>
        <v>UPN VETERAN JAKARTAKEPERAWATAN</v>
      </c>
    </row>
    <row r="892" spans="1:17" ht="15.75" thickBot="1" x14ac:dyDescent="0.3">
      <c r="A892" s="7">
        <v>891</v>
      </c>
      <c r="B892" s="6">
        <v>27</v>
      </c>
      <c r="C892" s="13">
        <v>3241084</v>
      </c>
      <c r="D892" t="s">
        <v>107</v>
      </c>
      <c r="E892" s="13">
        <v>28</v>
      </c>
      <c r="F892" s="10" t="s">
        <v>20</v>
      </c>
      <c r="I892" s="87"/>
      <c r="J892" s="138">
        <v>612.84</v>
      </c>
      <c r="K892" s="138">
        <v>618.755</v>
      </c>
      <c r="L892" s="138">
        <v>606.92500000000007</v>
      </c>
      <c r="M892" s="28"/>
      <c r="N892" s="83">
        <v>612.84</v>
      </c>
      <c r="P892" t="str">
        <f>VLOOKUP(B892,PTN!A:B,2,FALSE)</f>
        <v>UPN VETERAN JAKARTA</v>
      </c>
      <c r="Q892" t="str">
        <f t="shared" si="13"/>
        <v>UPN VETERAN JAKARTAKESEHATAN MASYARAKAT</v>
      </c>
    </row>
    <row r="893" spans="1:17" ht="15.75" thickBot="1" x14ac:dyDescent="0.3">
      <c r="A893" s="7">
        <v>892</v>
      </c>
      <c r="B893" s="6">
        <v>27</v>
      </c>
      <c r="C893" s="12">
        <v>3241053</v>
      </c>
      <c r="D893" t="s">
        <v>46</v>
      </c>
      <c r="E893" s="12">
        <v>30</v>
      </c>
      <c r="F893" s="10" t="s">
        <v>20</v>
      </c>
      <c r="I893" s="26"/>
      <c r="J893" s="138">
        <v>616.78</v>
      </c>
      <c r="K893" s="138">
        <v>624.77</v>
      </c>
      <c r="L893" s="138">
        <v>608.79</v>
      </c>
      <c r="M893" s="27"/>
      <c r="N893" s="83">
        <v>616.78</v>
      </c>
      <c r="P893" t="str">
        <f>VLOOKUP(B893,PTN!A:B,2,FALSE)</f>
        <v>UPN VETERAN JAKARTA</v>
      </c>
      <c r="Q893" t="str">
        <f t="shared" si="13"/>
        <v>UPN VETERAN JAKARTASISTEM INFORMASI</v>
      </c>
    </row>
    <row r="894" spans="1:17" ht="15.75" thickBot="1" x14ac:dyDescent="0.3">
      <c r="A894" s="7">
        <v>893</v>
      </c>
      <c r="B894" s="6">
        <v>27</v>
      </c>
      <c r="C894" s="13">
        <v>3241103</v>
      </c>
      <c r="D894" t="s">
        <v>48</v>
      </c>
      <c r="E894" s="13">
        <v>8</v>
      </c>
      <c r="F894" s="10" t="s">
        <v>20</v>
      </c>
      <c r="I894" s="87"/>
      <c r="J894" s="138" t="s">
        <v>1292</v>
      </c>
      <c r="K894" s="138" t="s">
        <v>1292</v>
      </c>
      <c r="L894" s="138" t="s">
        <v>1292</v>
      </c>
      <c r="M894" s="28"/>
      <c r="N894" s="83" t="s">
        <v>1292</v>
      </c>
      <c r="P894" t="str">
        <f>VLOOKUP(B894,PTN!A:B,2,FALSE)</f>
        <v>UPN VETERAN JAKARTA</v>
      </c>
      <c r="Q894" t="str">
        <f t="shared" si="13"/>
        <v>UPN VETERAN JAKARTATEKNIK ELEKTRO</v>
      </c>
    </row>
    <row r="895" spans="1:17" ht="15.75" thickBot="1" x14ac:dyDescent="0.3">
      <c r="A895" s="7">
        <v>894</v>
      </c>
      <c r="B895" s="6">
        <v>27</v>
      </c>
      <c r="C895" s="12">
        <v>3241037</v>
      </c>
      <c r="D895" t="s">
        <v>49</v>
      </c>
      <c r="E895" s="12">
        <v>21</v>
      </c>
      <c r="F895" s="10" t="s">
        <v>20</v>
      </c>
      <c r="I895" s="26"/>
      <c r="J895" s="138">
        <v>621.42999999999995</v>
      </c>
      <c r="K895" s="138">
        <v>628.59499999999991</v>
      </c>
      <c r="L895" s="138">
        <v>614.26499999999999</v>
      </c>
      <c r="M895" s="27"/>
      <c r="N895" s="83">
        <v>621.42999999999995</v>
      </c>
      <c r="P895" t="str">
        <f>VLOOKUP(B895,PTN!A:B,2,FALSE)</f>
        <v>UPN VETERAN JAKARTA</v>
      </c>
      <c r="Q895" t="str">
        <f t="shared" si="13"/>
        <v>UPN VETERAN JAKARTATEKNIK INDUSTRI</v>
      </c>
    </row>
    <row r="896" spans="1:17" ht="15.75" thickBot="1" x14ac:dyDescent="0.3">
      <c r="A896" s="7">
        <v>895</v>
      </c>
      <c r="B896" s="6">
        <v>27</v>
      </c>
      <c r="C896" s="13">
        <v>3241014</v>
      </c>
      <c r="D896" t="s">
        <v>53</v>
      </c>
      <c r="E896" s="13">
        <v>21</v>
      </c>
      <c r="F896" s="10" t="s">
        <v>20</v>
      </c>
      <c r="I896" s="87"/>
      <c r="J896" s="138">
        <v>606.25</v>
      </c>
      <c r="K896" s="138">
        <v>612.42499999999995</v>
      </c>
      <c r="L896" s="138">
        <v>600.07500000000005</v>
      </c>
      <c r="M896" s="28"/>
      <c r="N896" s="83">
        <v>606.25</v>
      </c>
      <c r="P896" t="str">
        <f>VLOOKUP(B896,PTN!A:B,2,FALSE)</f>
        <v>UPN VETERAN JAKARTA</v>
      </c>
      <c r="Q896" t="str">
        <f t="shared" si="13"/>
        <v>UPN VETERAN JAKARTATEKNIK MESIN</v>
      </c>
    </row>
    <row r="897" spans="1:17" ht="15.75" thickBot="1" x14ac:dyDescent="0.3">
      <c r="A897" s="7">
        <v>896</v>
      </c>
      <c r="B897" s="6">
        <v>27</v>
      </c>
      <c r="C897" s="14">
        <v>3241022</v>
      </c>
      <c r="D897" t="s">
        <v>295</v>
      </c>
      <c r="E897" s="14">
        <v>14</v>
      </c>
      <c r="F897" s="10" t="s">
        <v>20</v>
      </c>
      <c r="I897" s="26"/>
      <c r="J897" s="138">
        <v>599.16</v>
      </c>
      <c r="K897" s="138">
        <v>605.36500000000001</v>
      </c>
      <c r="L897" s="138">
        <v>592.95499999999993</v>
      </c>
      <c r="M897" s="27"/>
      <c r="N897" s="83">
        <v>599.16</v>
      </c>
      <c r="P897" t="str">
        <f>VLOOKUP(B897,PTN!A:B,2,FALSE)</f>
        <v>UPN VETERAN JAKARTA</v>
      </c>
      <c r="Q897" t="str">
        <f t="shared" si="13"/>
        <v>UPN VETERAN JAKARTATEKNIK PERKAPALAN</v>
      </c>
    </row>
    <row r="898" spans="1:17" ht="16.5" thickTop="1" thickBot="1" x14ac:dyDescent="0.3">
      <c r="A898" s="7">
        <v>897</v>
      </c>
      <c r="B898" s="6">
        <v>27</v>
      </c>
      <c r="C898" s="12">
        <v>3242025</v>
      </c>
      <c r="D898" t="s">
        <v>55</v>
      </c>
      <c r="E898" s="12">
        <v>48</v>
      </c>
      <c r="F898" s="10" t="s">
        <v>13</v>
      </c>
      <c r="I898" s="20"/>
      <c r="J898" s="138">
        <v>617.63</v>
      </c>
      <c r="K898" s="138">
        <v>625.76773000000003</v>
      </c>
      <c r="L898" s="138">
        <v>609.49226999999996</v>
      </c>
      <c r="M898" s="21"/>
      <c r="N898" s="83">
        <v>617.63</v>
      </c>
      <c r="P898" t="str">
        <f>VLOOKUP(B898,PTN!A:B,2,FALSE)</f>
        <v>UPN VETERAN JAKARTA</v>
      </c>
      <c r="Q898" t="str">
        <f t="shared" si="13"/>
        <v>UPN VETERAN JAKARTAAKUNTANSI</v>
      </c>
    </row>
    <row r="899" spans="1:17" ht="15.75" thickBot="1" x14ac:dyDescent="0.3">
      <c r="A899" s="7">
        <v>898</v>
      </c>
      <c r="B899" s="6">
        <v>27</v>
      </c>
      <c r="C899" s="13">
        <v>3242064</v>
      </c>
      <c r="D899" t="s">
        <v>69</v>
      </c>
      <c r="E899" s="13">
        <v>16</v>
      </c>
      <c r="F899" s="10" t="s">
        <v>13</v>
      </c>
      <c r="I899" s="22"/>
      <c r="J899" s="138">
        <v>606.5</v>
      </c>
      <c r="K899" s="138">
        <v>614.63773000000003</v>
      </c>
      <c r="L899" s="138">
        <v>598.36226999999997</v>
      </c>
      <c r="M899" s="21"/>
      <c r="N899" s="83">
        <v>606.5</v>
      </c>
      <c r="P899" t="str">
        <f>VLOOKUP(B899,PTN!A:B,2,FALSE)</f>
        <v>UPN VETERAN JAKARTA</v>
      </c>
      <c r="Q899" t="str">
        <f t="shared" ref="Q899:Q962" si="14">P899&amp;D899</f>
        <v>UPN VETERAN JAKARTAEKONOMI PEMBANGUNAN</v>
      </c>
    </row>
    <row r="900" spans="1:17" ht="16.5" thickTop="1" thickBot="1" x14ac:dyDescent="0.3">
      <c r="A900" s="7">
        <v>899</v>
      </c>
      <c r="B900" s="6">
        <v>27</v>
      </c>
      <c r="C900" s="12">
        <v>3242072</v>
      </c>
      <c r="D900" t="s">
        <v>28</v>
      </c>
      <c r="E900" s="12">
        <v>16</v>
      </c>
      <c r="F900" s="10" t="s">
        <v>13</v>
      </c>
      <c r="I900" s="23"/>
      <c r="J900" s="138">
        <v>596.76</v>
      </c>
      <c r="K900" s="138">
        <v>604.89773000000002</v>
      </c>
      <c r="L900" s="138">
        <v>588.62226999999996</v>
      </c>
      <c r="M900" s="25"/>
      <c r="N900" s="83">
        <v>596.76</v>
      </c>
      <c r="P900" t="str">
        <f>VLOOKUP(B900,PTN!A:B,2,FALSE)</f>
        <v>UPN VETERAN JAKARTA</v>
      </c>
      <c r="Q900" t="str">
        <f t="shared" si="14"/>
        <v>UPN VETERAN JAKARTAEKONOMI SYARIAH</v>
      </c>
    </row>
    <row r="901" spans="1:17" ht="16.5" thickTop="1" thickBot="1" x14ac:dyDescent="0.3">
      <c r="A901" s="7">
        <v>900</v>
      </c>
      <c r="B901" s="6">
        <v>27</v>
      </c>
      <c r="C901" s="13">
        <v>3242033</v>
      </c>
      <c r="D901" t="s">
        <v>223</v>
      </c>
      <c r="E901" s="13">
        <v>32</v>
      </c>
      <c r="F901" s="10" t="s">
        <v>13</v>
      </c>
      <c r="I901" s="26"/>
      <c r="J901" s="138">
        <v>608.46</v>
      </c>
      <c r="K901" s="138">
        <v>616.59773000000007</v>
      </c>
      <c r="L901" s="138">
        <v>600.32227</v>
      </c>
      <c r="M901" s="27"/>
      <c r="N901" s="83">
        <v>608.46</v>
      </c>
      <c r="P901" t="str">
        <f>VLOOKUP(B901,PTN!A:B,2,FALSE)</f>
        <v>UPN VETERAN JAKARTA</v>
      </c>
      <c r="Q901" t="str">
        <f t="shared" si="14"/>
        <v>UPN VETERAN JAKARTAHUBUNGAN INTERNASIONAL</v>
      </c>
    </row>
    <row r="902" spans="1:17" ht="15.75" thickBot="1" x14ac:dyDescent="0.3">
      <c r="A902" s="7">
        <v>901</v>
      </c>
      <c r="B902" s="6">
        <v>27</v>
      </c>
      <c r="C902" s="12">
        <v>3242056</v>
      </c>
      <c r="D902" t="s">
        <v>112</v>
      </c>
      <c r="E902" s="12">
        <v>64</v>
      </c>
      <c r="F902" s="10" t="s">
        <v>13</v>
      </c>
      <c r="I902" s="87"/>
      <c r="J902" s="138">
        <v>604.29</v>
      </c>
      <c r="K902" s="138">
        <v>612.42773</v>
      </c>
      <c r="L902" s="138">
        <v>596.15226999999993</v>
      </c>
      <c r="M902" s="28"/>
      <c r="N902" s="83">
        <v>604.29</v>
      </c>
      <c r="P902" t="str">
        <f>VLOOKUP(B902,PTN!A:B,2,FALSE)</f>
        <v>UPN VETERAN JAKARTA</v>
      </c>
      <c r="Q902" t="str">
        <f t="shared" si="14"/>
        <v>UPN VETERAN JAKARTAHUKUM</v>
      </c>
    </row>
    <row r="903" spans="1:17" ht="15.75" thickBot="1" x14ac:dyDescent="0.3">
      <c r="A903" s="7">
        <v>902</v>
      </c>
      <c r="B903" s="6">
        <v>27</v>
      </c>
      <c r="C903" s="13">
        <v>3242041</v>
      </c>
      <c r="D903" t="s">
        <v>60</v>
      </c>
      <c r="E903" s="13">
        <v>64</v>
      </c>
      <c r="F903" s="10" t="s">
        <v>13</v>
      </c>
      <c r="I903" s="26"/>
      <c r="J903" s="138">
        <v>606.97</v>
      </c>
      <c r="K903" s="138">
        <v>615.10773000000006</v>
      </c>
      <c r="L903" s="138">
        <v>598.83226999999999</v>
      </c>
      <c r="M903" s="27"/>
      <c r="N903" s="83">
        <v>606.97</v>
      </c>
      <c r="P903" t="str">
        <f>VLOOKUP(B903,PTN!A:B,2,FALSE)</f>
        <v>UPN VETERAN JAKARTA</v>
      </c>
      <c r="Q903" t="str">
        <f t="shared" si="14"/>
        <v>UPN VETERAN JAKARTAILMU KOMUNIKASI</v>
      </c>
    </row>
    <row r="904" spans="1:17" ht="15.75" thickBot="1" x14ac:dyDescent="0.3">
      <c r="A904" s="7">
        <v>903</v>
      </c>
      <c r="B904" s="6">
        <v>27</v>
      </c>
      <c r="C904" s="12">
        <v>3242087</v>
      </c>
      <c r="D904" t="s">
        <v>33</v>
      </c>
      <c r="E904" s="12">
        <v>24</v>
      </c>
      <c r="F904" s="10" t="s">
        <v>13</v>
      </c>
      <c r="I904" s="87"/>
      <c r="J904" s="138">
        <v>586.89</v>
      </c>
      <c r="K904" s="138">
        <v>595.02773000000002</v>
      </c>
      <c r="L904" s="138">
        <v>578.75226999999995</v>
      </c>
      <c r="M904" s="28"/>
      <c r="N904" s="83">
        <v>586.89</v>
      </c>
      <c r="P904" t="str">
        <f>VLOOKUP(B904,PTN!A:B,2,FALSE)</f>
        <v>UPN VETERAN JAKARTA</v>
      </c>
      <c r="Q904" t="str">
        <f t="shared" si="14"/>
        <v>UPN VETERAN JAKARTAILMU POLITIK</v>
      </c>
    </row>
    <row r="905" spans="1:17" ht="15.75" thickBot="1" x14ac:dyDescent="0.3">
      <c r="A905" s="7">
        <v>904</v>
      </c>
      <c r="B905" s="6">
        <v>27</v>
      </c>
      <c r="C905" s="16">
        <v>3242017</v>
      </c>
      <c r="D905" t="s">
        <v>61</v>
      </c>
      <c r="E905" s="16">
        <v>56</v>
      </c>
      <c r="F905" s="10" t="s">
        <v>13</v>
      </c>
      <c r="I905" s="26"/>
      <c r="J905" s="138">
        <v>605.41</v>
      </c>
      <c r="K905" s="138">
        <v>613.54773</v>
      </c>
      <c r="L905" s="138">
        <v>597.27226999999993</v>
      </c>
      <c r="M905" s="27"/>
      <c r="N905" s="83">
        <v>605.41</v>
      </c>
      <c r="P905" t="str">
        <f>VLOOKUP(B905,PTN!A:B,2,FALSE)</f>
        <v>UPN VETERAN JAKARTA</v>
      </c>
      <c r="Q905" t="str">
        <f t="shared" si="14"/>
        <v>UPN VETERAN JAKARTAMANAJEMEN</v>
      </c>
    </row>
    <row r="906" spans="1:17" ht="16.5" thickTop="1" thickBot="1" x14ac:dyDescent="0.3">
      <c r="A906" s="7">
        <v>905</v>
      </c>
      <c r="B906" s="6">
        <v>34</v>
      </c>
      <c r="C906" s="12">
        <v>3411017</v>
      </c>
      <c r="D906" t="s">
        <v>37</v>
      </c>
      <c r="E906" s="12">
        <v>55</v>
      </c>
      <c r="F906" s="10" t="s">
        <v>20</v>
      </c>
      <c r="I906" s="22"/>
      <c r="J906" s="138">
        <v>630.64</v>
      </c>
      <c r="K906" s="138">
        <v>641.04999999999995</v>
      </c>
      <c r="L906" s="138">
        <v>620.23</v>
      </c>
      <c r="M906" s="21"/>
      <c r="N906" s="83">
        <v>630.64</v>
      </c>
      <c r="P906" t="str">
        <f>VLOOKUP(B906,PTN!A:B,2,FALSE)</f>
        <v>INSTITUT PERTANIAN BOGOR</v>
      </c>
      <c r="Q906" t="str">
        <f t="shared" si="14"/>
        <v>INSTITUT PERTANIAN BOGORAGRIBISNIS</v>
      </c>
    </row>
    <row r="907" spans="1:17" ht="16.5" thickTop="1" thickBot="1" x14ac:dyDescent="0.3">
      <c r="A907" s="7">
        <v>906</v>
      </c>
      <c r="B907" s="6">
        <v>34</v>
      </c>
      <c r="C907" s="13">
        <v>3411025</v>
      </c>
      <c r="D907" t="s">
        <v>340</v>
      </c>
      <c r="E907" s="13">
        <v>78</v>
      </c>
      <c r="F907" s="10" t="s">
        <v>20</v>
      </c>
      <c r="I907" s="23"/>
      <c r="J907" s="138">
        <v>621.05999999999995</v>
      </c>
      <c r="K907" s="138">
        <v>630.4849999999999</v>
      </c>
      <c r="L907" s="138">
        <v>611.63499999999999</v>
      </c>
      <c r="M907" s="25"/>
      <c r="N907" s="83">
        <v>621.05999999999995</v>
      </c>
      <c r="P907" t="str">
        <f>VLOOKUP(B907,PTN!A:B,2,FALSE)</f>
        <v>INSTITUT PERTANIAN BOGOR</v>
      </c>
      <c r="Q907" t="str">
        <f t="shared" si="14"/>
        <v>INSTITUT PERTANIAN BOGORAGRONOMI DAN HORTIKULTURA</v>
      </c>
    </row>
    <row r="908" spans="1:17" ht="16.5" thickTop="1" thickBot="1" x14ac:dyDescent="0.3">
      <c r="A908" s="7">
        <v>907</v>
      </c>
      <c r="B908" s="6">
        <v>34</v>
      </c>
      <c r="C908" s="12">
        <v>3411497</v>
      </c>
      <c r="D908" t="s">
        <v>288</v>
      </c>
      <c r="E908" s="12">
        <v>27</v>
      </c>
      <c r="F908" s="10" t="s">
        <v>20</v>
      </c>
      <c r="I908" s="26"/>
      <c r="J908" s="138">
        <v>667.16</v>
      </c>
      <c r="K908" s="138">
        <v>676.32499999999993</v>
      </c>
      <c r="L908" s="138">
        <v>657.995</v>
      </c>
      <c r="M908" s="27"/>
      <c r="N908" s="83">
        <v>667.16</v>
      </c>
      <c r="P908" t="str">
        <f>VLOOKUP(B908,PTN!A:B,2,FALSE)</f>
        <v>INSTITUT PERTANIAN BOGOR</v>
      </c>
      <c r="Q908" t="str">
        <f t="shared" si="14"/>
        <v>INSTITUT PERTANIAN BOGORAKTUARIA</v>
      </c>
    </row>
    <row r="909" spans="1:17" ht="15.75" thickBot="1" x14ac:dyDescent="0.3">
      <c r="A909" s="7">
        <v>908</v>
      </c>
      <c r="B909" s="6">
        <v>34</v>
      </c>
      <c r="C909" s="13">
        <v>3411033</v>
      </c>
      <c r="D909" t="s">
        <v>341</v>
      </c>
      <c r="E909" s="13">
        <v>35</v>
      </c>
      <c r="F909" s="10" t="s">
        <v>20</v>
      </c>
      <c r="I909" s="87"/>
      <c r="J909" s="138">
        <v>642.13</v>
      </c>
      <c r="K909" s="138">
        <v>649.4</v>
      </c>
      <c r="L909" s="138">
        <v>634.86</v>
      </c>
      <c r="M909" s="28"/>
      <c r="N909" s="83">
        <v>642.13</v>
      </c>
      <c r="P909" t="str">
        <f>VLOOKUP(B909,PTN!A:B,2,FALSE)</f>
        <v>INSTITUT PERTANIAN BOGOR</v>
      </c>
      <c r="Q909" t="str">
        <f t="shared" si="14"/>
        <v>INSTITUT PERTANIAN BOGORARSITEKTUR LANSEKAP</v>
      </c>
    </row>
    <row r="910" spans="1:17" ht="15.75" thickBot="1" x14ac:dyDescent="0.3">
      <c r="A910" s="7">
        <v>909</v>
      </c>
      <c r="B910" s="6">
        <v>34</v>
      </c>
      <c r="C910" s="12">
        <v>3411041</v>
      </c>
      <c r="D910" t="s">
        <v>342</v>
      </c>
      <c r="E910" s="12">
        <v>40</v>
      </c>
      <c r="F910" s="10" t="s">
        <v>20</v>
      </c>
      <c r="I910" s="26"/>
      <c r="J910" s="138">
        <v>649.44000000000005</v>
      </c>
      <c r="K910" s="138">
        <v>658.6450000000001</v>
      </c>
      <c r="L910" s="138">
        <v>640.23500000000001</v>
      </c>
      <c r="M910" s="27"/>
      <c r="N910" s="83">
        <v>649.44000000000005</v>
      </c>
      <c r="P910" t="str">
        <f>VLOOKUP(B910,PTN!A:B,2,FALSE)</f>
        <v>INSTITUT PERTANIAN BOGOR</v>
      </c>
      <c r="Q910" t="str">
        <f t="shared" si="14"/>
        <v>INSTITUT PERTANIAN BOGORBIOKIMIA</v>
      </c>
    </row>
    <row r="911" spans="1:17" ht="15.75" thickBot="1" x14ac:dyDescent="0.3">
      <c r="A911" s="7">
        <v>910</v>
      </c>
      <c r="B911" s="6">
        <v>34</v>
      </c>
      <c r="C911" s="13">
        <v>3411056</v>
      </c>
      <c r="D911" t="s">
        <v>21</v>
      </c>
      <c r="E911" s="13">
        <v>42</v>
      </c>
      <c r="F911" s="10" t="s">
        <v>20</v>
      </c>
      <c r="I911" s="87"/>
      <c r="J911" s="138">
        <v>626.39</v>
      </c>
      <c r="K911" s="138">
        <v>632.41</v>
      </c>
      <c r="L911" s="138">
        <v>620.37</v>
      </c>
      <c r="M911" s="28"/>
      <c r="N911" s="83">
        <v>626.39</v>
      </c>
      <c r="P911" t="str">
        <f>VLOOKUP(B911,PTN!A:B,2,FALSE)</f>
        <v>INSTITUT PERTANIAN BOGOR</v>
      </c>
      <c r="Q911" t="str">
        <f t="shared" si="14"/>
        <v>INSTITUT PERTANIAN BOGORBIOLOGI</v>
      </c>
    </row>
    <row r="912" spans="1:17" ht="15.75" thickBot="1" x14ac:dyDescent="0.3">
      <c r="A912" s="7">
        <v>911</v>
      </c>
      <c r="B912" s="6">
        <v>34</v>
      </c>
      <c r="C912" s="12">
        <v>3411474</v>
      </c>
      <c r="D912" t="s">
        <v>343</v>
      </c>
      <c r="E912" s="12">
        <v>41</v>
      </c>
      <c r="F912" s="10" t="s">
        <v>20</v>
      </c>
      <c r="I912" s="26"/>
      <c r="J912" s="138">
        <v>636.97</v>
      </c>
      <c r="K912" s="138">
        <v>644.75</v>
      </c>
      <c r="L912" s="138">
        <v>629.19000000000005</v>
      </c>
      <c r="M912" s="27"/>
      <c r="N912" s="83">
        <v>636.97</v>
      </c>
      <c r="P912" t="str">
        <f>VLOOKUP(B912,PTN!A:B,2,FALSE)</f>
        <v>INSTITUT PERTANIAN BOGOR</v>
      </c>
      <c r="Q912" t="str">
        <f t="shared" si="14"/>
        <v>INSTITUT PERTANIAN BOGORBISNIS</v>
      </c>
    </row>
    <row r="913" spans="1:17" ht="15.75" thickBot="1" x14ac:dyDescent="0.3">
      <c r="A913" s="7">
        <v>912</v>
      </c>
      <c r="B913" s="6">
        <v>34</v>
      </c>
      <c r="C913" s="13">
        <v>3411331</v>
      </c>
      <c r="D913" t="s">
        <v>69</v>
      </c>
      <c r="E913" s="13">
        <v>37</v>
      </c>
      <c r="F913" s="10" t="s">
        <v>20</v>
      </c>
      <c r="I913" s="87"/>
      <c r="J913" s="138">
        <v>636.29</v>
      </c>
      <c r="K913" s="138">
        <v>643.58499999999992</v>
      </c>
      <c r="L913" s="138">
        <v>628.995</v>
      </c>
      <c r="M913" s="28"/>
      <c r="N913" s="83">
        <v>636.29</v>
      </c>
      <c r="P913" t="str">
        <f>VLOOKUP(B913,PTN!A:B,2,FALSE)</f>
        <v>INSTITUT PERTANIAN BOGOR</v>
      </c>
      <c r="Q913" t="str">
        <f t="shared" si="14"/>
        <v>INSTITUT PERTANIAN BOGOREKONOMI PEMBANGUNAN</v>
      </c>
    </row>
    <row r="914" spans="1:17" ht="15.75" thickBot="1" x14ac:dyDescent="0.3">
      <c r="A914" s="7">
        <v>913</v>
      </c>
      <c r="B914" s="6">
        <v>34</v>
      </c>
      <c r="C914" s="12">
        <v>3411064</v>
      </c>
      <c r="D914" t="s">
        <v>344</v>
      </c>
      <c r="E914" s="12">
        <v>40</v>
      </c>
      <c r="F914" s="10" t="s">
        <v>20</v>
      </c>
      <c r="I914" s="26"/>
      <c r="J914" s="138">
        <v>621.29999999999995</v>
      </c>
      <c r="K914" s="138">
        <v>627.96999999999991</v>
      </c>
      <c r="L914" s="138">
        <v>614.63</v>
      </c>
      <c r="M914" s="27"/>
      <c r="N914" s="83">
        <v>621.29999999999995</v>
      </c>
      <c r="P914" t="str">
        <f>VLOOKUP(B914,PTN!A:B,2,FALSE)</f>
        <v>INSTITUT PERTANIAN BOGOR</v>
      </c>
      <c r="Q914" t="str">
        <f t="shared" si="14"/>
        <v>INSTITUT PERTANIAN BOGOREKONOMI SUMBERDAYA DAN LINGKUNGAN</v>
      </c>
    </row>
    <row r="915" spans="1:17" ht="15.75" thickBot="1" x14ac:dyDescent="0.3">
      <c r="A915" s="7">
        <v>914</v>
      </c>
      <c r="B915" s="6">
        <v>34</v>
      </c>
      <c r="C915" s="13">
        <v>3411362</v>
      </c>
      <c r="D915" t="s">
        <v>28</v>
      </c>
      <c r="E915" s="13">
        <v>34</v>
      </c>
      <c r="F915" s="10" t="s">
        <v>20</v>
      </c>
      <c r="I915" s="87"/>
      <c r="J915" s="138">
        <v>622.47</v>
      </c>
      <c r="K915" s="138">
        <v>632.83000000000004</v>
      </c>
      <c r="L915" s="138">
        <v>612.11</v>
      </c>
      <c r="M915" s="28"/>
      <c r="N915" s="83">
        <v>622.47</v>
      </c>
      <c r="P915" t="str">
        <f>VLOOKUP(B915,PTN!A:B,2,FALSE)</f>
        <v>INSTITUT PERTANIAN BOGOR</v>
      </c>
      <c r="Q915" t="str">
        <f t="shared" si="14"/>
        <v>INSTITUT PERTANIAN BOGOREKONOMI SYARIAH</v>
      </c>
    </row>
    <row r="916" spans="1:17" ht="15.75" thickBot="1" x14ac:dyDescent="0.3">
      <c r="A916" s="7">
        <v>915</v>
      </c>
      <c r="B916" s="6">
        <v>34</v>
      </c>
      <c r="C916" s="12">
        <v>3411451</v>
      </c>
      <c r="D916" t="s">
        <v>65</v>
      </c>
      <c r="E916" s="12">
        <v>35</v>
      </c>
      <c r="F916" s="10" t="s">
        <v>20</v>
      </c>
      <c r="I916" s="26"/>
      <c r="J916" s="138">
        <v>619.09</v>
      </c>
      <c r="K916" s="138">
        <v>627.25</v>
      </c>
      <c r="L916" s="138">
        <v>610.93000000000006</v>
      </c>
      <c r="M916" s="27"/>
      <c r="N916" s="83">
        <v>619.09</v>
      </c>
      <c r="P916" t="str">
        <f>VLOOKUP(B916,PTN!A:B,2,FALSE)</f>
        <v>INSTITUT PERTANIAN BOGOR</v>
      </c>
      <c r="Q916" t="str">
        <f t="shared" si="14"/>
        <v>INSTITUT PERTANIAN BOGORFISIKA</v>
      </c>
    </row>
    <row r="917" spans="1:17" ht="15.75" thickBot="1" x14ac:dyDescent="0.3">
      <c r="A917" s="7">
        <v>916</v>
      </c>
      <c r="B917" s="6">
        <v>34</v>
      </c>
      <c r="C917" s="13">
        <v>3411087</v>
      </c>
      <c r="D917" t="s">
        <v>345</v>
      </c>
      <c r="E917" s="13">
        <v>41</v>
      </c>
      <c r="F917" s="10" t="s">
        <v>20</v>
      </c>
      <c r="I917" s="87"/>
      <c r="J917" s="138">
        <v>621.38</v>
      </c>
      <c r="K917" s="138">
        <v>627.745</v>
      </c>
      <c r="L917" s="138">
        <v>615.01499999999999</v>
      </c>
      <c r="M917" s="28"/>
      <c r="N917" s="83">
        <v>621.38</v>
      </c>
      <c r="P917" t="str">
        <f>VLOOKUP(B917,PTN!A:B,2,FALSE)</f>
        <v>INSTITUT PERTANIAN BOGOR</v>
      </c>
      <c r="Q917" t="str">
        <f t="shared" si="14"/>
        <v>INSTITUT PERTANIAN BOGORILMU DAN TEKNOLOGI KELAUTAN</v>
      </c>
    </row>
    <row r="918" spans="1:17" ht="15.75" thickBot="1" x14ac:dyDescent="0.3">
      <c r="A918" s="7">
        <v>917</v>
      </c>
      <c r="B918" s="6">
        <v>34</v>
      </c>
      <c r="C918" s="12">
        <v>3411354</v>
      </c>
      <c r="D918" t="s">
        <v>346</v>
      </c>
      <c r="E918" s="12">
        <v>38</v>
      </c>
      <c r="F918" s="10" t="s">
        <v>20</v>
      </c>
      <c r="I918" s="26"/>
      <c r="J918" s="138">
        <v>650.77</v>
      </c>
      <c r="K918" s="138">
        <v>658.41</v>
      </c>
      <c r="L918" s="138">
        <v>643.13</v>
      </c>
      <c r="M918" s="27"/>
      <c r="N918" s="83">
        <v>650.77</v>
      </c>
      <c r="P918" t="str">
        <f>VLOOKUP(B918,PTN!A:B,2,FALSE)</f>
        <v>INSTITUT PERTANIAN BOGOR</v>
      </c>
      <c r="Q918" t="str">
        <f t="shared" si="14"/>
        <v>INSTITUT PERTANIAN BOGORILMU GIZI</v>
      </c>
    </row>
    <row r="919" spans="1:17" ht="15.75" thickBot="1" x14ac:dyDescent="0.3">
      <c r="A919" s="7">
        <v>918</v>
      </c>
      <c r="B919" s="6">
        <v>34</v>
      </c>
      <c r="C919" s="13">
        <v>3411466</v>
      </c>
      <c r="D919" t="s">
        <v>347</v>
      </c>
      <c r="E919" s="13">
        <v>37</v>
      </c>
      <c r="F919" s="10" t="s">
        <v>20</v>
      </c>
      <c r="I919" s="87"/>
      <c r="J919" s="138">
        <v>610.1</v>
      </c>
      <c r="K919" s="138">
        <v>620.13499999999999</v>
      </c>
      <c r="L919" s="138">
        <v>600.06500000000005</v>
      </c>
      <c r="M919" s="28"/>
      <c r="N919" s="83">
        <v>610.1</v>
      </c>
      <c r="P919" t="str">
        <f>VLOOKUP(B919,PTN!A:B,2,FALSE)</f>
        <v>INSTITUT PERTANIAN BOGOR</v>
      </c>
      <c r="Q919" t="str">
        <f t="shared" si="14"/>
        <v>INSTITUT PERTANIAN BOGORILMU KELUARGA DAN KONSUMEN</v>
      </c>
    </row>
    <row r="920" spans="1:17" ht="15.75" thickBot="1" x14ac:dyDescent="0.3">
      <c r="A920" s="7">
        <v>919</v>
      </c>
      <c r="B920" s="6">
        <v>34</v>
      </c>
      <c r="C920" s="12">
        <v>3411106</v>
      </c>
      <c r="D920" t="s">
        <v>111</v>
      </c>
      <c r="E920" s="12">
        <v>49</v>
      </c>
      <c r="F920" s="10" t="s">
        <v>20</v>
      </c>
      <c r="I920" s="26"/>
      <c r="J920" s="138">
        <v>663.79</v>
      </c>
      <c r="K920" s="138">
        <v>671.96499999999992</v>
      </c>
      <c r="L920" s="138">
        <v>655.61500000000001</v>
      </c>
      <c r="M920" s="27"/>
      <c r="N920" s="83">
        <v>663.79</v>
      </c>
      <c r="P920" t="str">
        <f>VLOOKUP(B920,PTN!A:B,2,FALSE)</f>
        <v>INSTITUT PERTANIAN BOGOR</v>
      </c>
      <c r="Q920" t="str">
        <f t="shared" si="14"/>
        <v>INSTITUT PERTANIAN BOGORILMU KOMPUTER</v>
      </c>
    </row>
    <row r="921" spans="1:17" ht="15.75" thickBot="1" x14ac:dyDescent="0.3">
      <c r="A921" s="7">
        <v>920</v>
      </c>
      <c r="B921" s="6">
        <v>34</v>
      </c>
      <c r="C921" s="13">
        <v>3411114</v>
      </c>
      <c r="D921" t="s">
        <v>348</v>
      </c>
      <c r="E921" s="13">
        <v>86</v>
      </c>
      <c r="F921" s="10" t="s">
        <v>20</v>
      </c>
      <c r="I921" s="87"/>
      <c r="J921" s="138">
        <v>636.91</v>
      </c>
      <c r="K921" s="138">
        <v>649.39</v>
      </c>
      <c r="L921" s="138">
        <v>624.42999999999995</v>
      </c>
      <c r="M921" s="28"/>
      <c r="N921" s="83">
        <v>636.91</v>
      </c>
      <c r="P921" t="str">
        <f>VLOOKUP(B921,PTN!A:B,2,FALSE)</f>
        <v>INSTITUT PERTANIAN BOGOR</v>
      </c>
      <c r="Q921" t="str">
        <f t="shared" si="14"/>
        <v>INSTITUT PERTANIAN BOGORKEDOKTERAN HEWAN</v>
      </c>
    </row>
    <row r="922" spans="1:17" ht="15.75" thickBot="1" x14ac:dyDescent="0.3">
      <c r="A922" s="7">
        <v>921</v>
      </c>
      <c r="B922" s="6">
        <v>34</v>
      </c>
      <c r="C922" s="12">
        <v>3411122</v>
      </c>
      <c r="D922" t="s">
        <v>22</v>
      </c>
      <c r="E922" s="12">
        <v>41</v>
      </c>
      <c r="F922" s="10" t="s">
        <v>20</v>
      </c>
      <c r="I922" s="26"/>
      <c r="J922" s="138">
        <v>643.41</v>
      </c>
      <c r="K922" s="138">
        <v>652.96499999999992</v>
      </c>
      <c r="L922" s="138">
        <v>633.85500000000002</v>
      </c>
      <c r="M922" s="27"/>
      <c r="N922" s="83">
        <v>643.41</v>
      </c>
      <c r="P922" t="str">
        <f>VLOOKUP(B922,PTN!A:B,2,FALSE)</f>
        <v>INSTITUT PERTANIAN BOGOR</v>
      </c>
      <c r="Q922" t="str">
        <f t="shared" si="14"/>
        <v>INSTITUT PERTANIAN BOGORKIMIA</v>
      </c>
    </row>
    <row r="923" spans="1:17" ht="15.75" thickBot="1" x14ac:dyDescent="0.3">
      <c r="A923" s="7">
        <v>922</v>
      </c>
      <c r="B923" s="6">
        <v>34</v>
      </c>
      <c r="C923" s="13">
        <v>3411137</v>
      </c>
      <c r="D923" t="s">
        <v>349</v>
      </c>
      <c r="E923" s="13">
        <v>53</v>
      </c>
      <c r="F923" s="10" t="s">
        <v>20</v>
      </c>
      <c r="I923" s="87"/>
      <c r="J923" s="138">
        <v>620.53</v>
      </c>
      <c r="K923" s="138">
        <v>627.755</v>
      </c>
      <c r="L923" s="138">
        <v>613.30499999999995</v>
      </c>
      <c r="M923" s="28"/>
      <c r="N923" s="83">
        <v>620.53</v>
      </c>
      <c r="P923" t="str">
        <f>VLOOKUP(B923,PTN!A:B,2,FALSE)</f>
        <v>INSTITUT PERTANIAN BOGOR</v>
      </c>
      <c r="Q923" t="str">
        <f t="shared" si="14"/>
        <v>INSTITUT PERTANIAN BOGORKOMUNIKASI DAN PENGEMBANGAN MASYARAKAT</v>
      </c>
    </row>
    <row r="924" spans="1:17" ht="15.75" thickBot="1" x14ac:dyDescent="0.3">
      <c r="A924" s="7">
        <v>923</v>
      </c>
      <c r="B924" s="6">
        <v>34</v>
      </c>
      <c r="C924" s="12">
        <v>3411145</v>
      </c>
      <c r="D924" t="s">
        <v>350</v>
      </c>
      <c r="E924" s="12">
        <v>45</v>
      </c>
      <c r="F924" s="10" t="s">
        <v>20</v>
      </c>
      <c r="I924" s="26"/>
      <c r="J924" s="138">
        <v>618.23</v>
      </c>
      <c r="K924" s="138">
        <v>630.58500000000004</v>
      </c>
      <c r="L924" s="138">
        <v>605.875</v>
      </c>
      <c r="M924" s="27"/>
      <c r="N924" s="83">
        <v>618.23</v>
      </c>
      <c r="P924" t="str">
        <f>VLOOKUP(B924,PTN!A:B,2,FALSE)</f>
        <v>INSTITUT PERTANIAN BOGOR</v>
      </c>
      <c r="Q924" t="str">
        <f t="shared" si="14"/>
        <v>INSTITUT PERTANIAN BOGORKONSERVASI SUMBERDAYAHUTAN&amp; EKOWISATA</v>
      </c>
    </row>
    <row r="925" spans="1:17" ht="15.75" thickBot="1" x14ac:dyDescent="0.3">
      <c r="A925" s="7">
        <v>924</v>
      </c>
      <c r="B925" s="6">
        <v>34</v>
      </c>
      <c r="C925" s="13">
        <v>3411346</v>
      </c>
      <c r="D925" t="s">
        <v>61</v>
      </c>
      <c r="E925" s="13">
        <v>53</v>
      </c>
      <c r="F925" s="10" t="s">
        <v>20</v>
      </c>
      <c r="I925" s="87"/>
      <c r="J925" s="138">
        <v>641.34</v>
      </c>
      <c r="K925" s="138">
        <v>648.46</v>
      </c>
      <c r="L925" s="138">
        <v>634.22</v>
      </c>
      <c r="M925" s="28"/>
      <c r="N925" s="83">
        <v>641.34</v>
      </c>
      <c r="P925" t="str">
        <f>VLOOKUP(B925,PTN!A:B,2,FALSE)</f>
        <v>INSTITUT PERTANIAN BOGOR</v>
      </c>
      <c r="Q925" t="str">
        <f t="shared" si="14"/>
        <v>INSTITUT PERTANIAN BOGORMANAJEMEN</v>
      </c>
    </row>
    <row r="926" spans="1:17" ht="15.75" thickBot="1" x14ac:dyDescent="0.3">
      <c r="A926" s="7">
        <v>925</v>
      </c>
      <c r="B926" s="6">
        <v>34</v>
      </c>
      <c r="C926" s="12">
        <v>3411153</v>
      </c>
      <c r="D926" t="s">
        <v>351</v>
      </c>
      <c r="E926" s="12">
        <v>43</v>
      </c>
      <c r="F926" s="10" t="s">
        <v>20</v>
      </c>
      <c r="I926" s="26"/>
      <c r="J926" s="138">
        <v>605.75</v>
      </c>
      <c r="K926" s="138">
        <v>612.61</v>
      </c>
      <c r="L926" s="138">
        <v>598.89</v>
      </c>
      <c r="M926" s="27"/>
      <c r="N926" s="83">
        <v>605.75</v>
      </c>
      <c r="P926" t="str">
        <f>VLOOKUP(B926,PTN!A:B,2,FALSE)</f>
        <v>INSTITUT PERTANIAN BOGOR</v>
      </c>
      <c r="Q926" t="str">
        <f t="shared" si="14"/>
        <v>INSTITUT PERTANIAN BOGORMANAJEMEN HUTAN</v>
      </c>
    </row>
    <row r="927" spans="1:17" ht="15.75" thickBot="1" x14ac:dyDescent="0.3">
      <c r="A927" s="7">
        <v>926</v>
      </c>
      <c r="B927" s="6">
        <v>34</v>
      </c>
      <c r="C927" s="13">
        <v>3411377</v>
      </c>
      <c r="D927" t="s">
        <v>352</v>
      </c>
      <c r="E927" s="13">
        <v>35</v>
      </c>
      <c r="F927" s="10" t="s">
        <v>20</v>
      </c>
      <c r="I927" s="87"/>
      <c r="J927" s="138">
        <v>615.13</v>
      </c>
      <c r="K927" s="138">
        <v>621.58000000000004</v>
      </c>
      <c r="L927" s="138">
        <v>608.67999999999995</v>
      </c>
      <c r="M927" s="28"/>
      <c r="N927" s="83">
        <v>615.13</v>
      </c>
      <c r="P927" t="str">
        <f>VLOOKUP(B927,PTN!A:B,2,FALSE)</f>
        <v>INSTITUT PERTANIAN BOGOR</v>
      </c>
      <c r="Q927" t="str">
        <f t="shared" si="14"/>
        <v>INSTITUT PERTANIAN BOGORMANAJEMEN SUMBERDAYA LAHAN</v>
      </c>
    </row>
    <row r="928" spans="1:17" ht="15.75" thickBot="1" x14ac:dyDescent="0.3">
      <c r="A928" s="7">
        <v>927</v>
      </c>
      <c r="B928" s="6">
        <v>34</v>
      </c>
      <c r="C928" s="12">
        <v>3411393</v>
      </c>
      <c r="D928" t="s">
        <v>213</v>
      </c>
      <c r="E928" s="12">
        <v>39</v>
      </c>
      <c r="F928" s="10" t="s">
        <v>20</v>
      </c>
      <c r="I928" s="26"/>
      <c r="J928" s="138">
        <v>610.44000000000005</v>
      </c>
      <c r="K928" s="138">
        <v>617.59</v>
      </c>
      <c r="L928" s="138">
        <v>603.29000000000008</v>
      </c>
      <c r="M928" s="27"/>
      <c r="N928" s="83">
        <v>610.44000000000005</v>
      </c>
      <c r="P928" t="str">
        <f>VLOOKUP(B928,PTN!A:B,2,FALSE)</f>
        <v>INSTITUT PERTANIAN BOGOR</v>
      </c>
      <c r="Q928" t="str">
        <f t="shared" si="14"/>
        <v>INSTITUT PERTANIAN BOGORMANAJEMEN SUMBERDAYA PERAIRAN</v>
      </c>
    </row>
    <row r="929" spans="1:17" ht="15.75" thickBot="1" x14ac:dyDescent="0.3">
      <c r="A929" s="7">
        <v>928</v>
      </c>
      <c r="B929" s="6">
        <v>34</v>
      </c>
      <c r="C929" s="13">
        <v>3411443</v>
      </c>
      <c r="D929" t="s">
        <v>66</v>
      </c>
      <c r="E929" s="13">
        <v>31</v>
      </c>
      <c r="F929" s="10" t="s">
        <v>20</v>
      </c>
      <c r="I929" s="87"/>
      <c r="J929" s="138">
        <v>644.66</v>
      </c>
      <c r="K929" s="138">
        <v>652.34499999999991</v>
      </c>
      <c r="L929" s="138">
        <v>636.97500000000002</v>
      </c>
      <c r="M929" s="28"/>
      <c r="N929" s="83">
        <v>644.66</v>
      </c>
      <c r="P929" t="str">
        <f>VLOOKUP(B929,PTN!A:B,2,FALSE)</f>
        <v>INSTITUT PERTANIAN BOGOR</v>
      </c>
      <c r="Q929" t="str">
        <f t="shared" si="14"/>
        <v>INSTITUT PERTANIAN BOGORMATEMATIKA</v>
      </c>
    </row>
    <row r="930" spans="1:17" ht="15.75" thickBot="1" x14ac:dyDescent="0.3">
      <c r="A930" s="7">
        <v>929</v>
      </c>
      <c r="B930" s="6">
        <v>34</v>
      </c>
      <c r="C930" s="12">
        <v>3411435</v>
      </c>
      <c r="D930" t="s">
        <v>353</v>
      </c>
      <c r="E930" s="12">
        <v>35</v>
      </c>
      <c r="F930" s="10" t="s">
        <v>20</v>
      </c>
      <c r="I930" s="26"/>
      <c r="J930" s="138">
        <v>635.37</v>
      </c>
      <c r="K930" s="138">
        <v>642.5</v>
      </c>
      <c r="L930" s="138">
        <v>628.24</v>
      </c>
      <c r="M930" s="27"/>
      <c r="N930" s="83">
        <v>635.37</v>
      </c>
      <c r="P930" t="str">
        <f>VLOOKUP(B930,PTN!A:B,2,FALSE)</f>
        <v>INSTITUT PERTANIAN BOGOR</v>
      </c>
      <c r="Q930" t="str">
        <f t="shared" si="14"/>
        <v>INSTITUT PERTANIAN BOGORMETEOROLOGI TERAPAN</v>
      </c>
    </row>
    <row r="931" spans="1:17" ht="15.75" thickBot="1" x14ac:dyDescent="0.3">
      <c r="A931" s="7">
        <v>930</v>
      </c>
      <c r="B931" s="6">
        <v>34</v>
      </c>
      <c r="C931" s="13">
        <v>3411281</v>
      </c>
      <c r="D931" t="s">
        <v>354</v>
      </c>
      <c r="E931" s="13">
        <v>50</v>
      </c>
      <c r="F931" s="10" t="s">
        <v>20</v>
      </c>
      <c r="I931" s="87"/>
      <c r="J931" s="138">
        <v>612.14</v>
      </c>
      <c r="K931" s="138">
        <v>622.78499999999997</v>
      </c>
      <c r="L931" s="138">
        <v>601.495</v>
      </c>
      <c r="M931" s="28"/>
      <c r="N931" s="83">
        <v>612.14</v>
      </c>
      <c r="P931" t="str">
        <f>VLOOKUP(B931,PTN!A:B,2,FALSE)</f>
        <v>INSTITUT PERTANIAN BOGOR</v>
      </c>
      <c r="Q931" t="str">
        <f t="shared" si="14"/>
        <v>INSTITUT PERTANIAN BOGORNUTRISI DAN TEKNOLOGI PAKAN</v>
      </c>
    </row>
    <row r="932" spans="1:17" ht="15.75" thickBot="1" x14ac:dyDescent="0.3">
      <c r="A932" s="7">
        <v>931</v>
      </c>
      <c r="B932" s="6">
        <v>34</v>
      </c>
      <c r="C932" s="12">
        <v>3411385</v>
      </c>
      <c r="D932" t="s">
        <v>89</v>
      </c>
      <c r="E932" s="12">
        <v>40</v>
      </c>
      <c r="F932" s="10" t="s">
        <v>20</v>
      </c>
      <c r="I932" s="26"/>
      <c r="J932" s="138">
        <v>613.49</v>
      </c>
      <c r="K932" s="138">
        <v>623.86</v>
      </c>
      <c r="L932" s="138">
        <v>603.12</v>
      </c>
      <c r="M932" s="27"/>
      <c r="N932" s="83">
        <v>613.49</v>
      </c>
      <c r="P932" t="str">
        <f>VLOOKUP(B932,PTN!A:B,2,FALSE)</f>
        <v>INSTITUT PERTANIAN BOGOR</v>
      </c>
      <c r="Q932" t="str">
        <f t="shared" si="14"/>
        <v>INSTITUT PERTANIAN BOGORPROTEKSI TANAMAN</v>
      </c>
    </row>
    <row r="933" spans="1:17" ht="15.75" thickBot="1" x14ac:dyDescent="0.3">
      <c r="A933" s="7">
        <v>932</v>
      </c>
      <c r="B933" s="6">
        <v>34</v>
      </c>
      <c r="C933" s="13">
        <v>3411427</v>
      </c>
      <c r="D933" t="s">
        <v>355</v>
      </c>
      <c r="E933" s="13">
        <v>33</v>
      </c>
      <c r="F933" s="10" t="s">
        <v>20</v>
      </c>
      <c r="I933" s="87"/>
      <c r="J933" s="138">
        <v>599.96</v>
      </c>
      <c r="K933" s="138">
        <v>605.41000000000008</v>
      </c>
      <c r="L933" s="138">
        <v>594.51</v>
      </c>
      <c r="M933" s="28"/>
      <c r="N933" s="83">
        <v>599.96</v>
      </c>
      <c r="P933" t="str">
        <f>VLOOKUP(B933,PTN!A:B,2,FALSE)</f>
        <v>INSTITUT PERTANIAN BOGOR</v>
      </c>
      <c r="Q933" t="str">
        <f t="shared" si="14"/>
        <v>INSTITUT PERTANIAN BOGORSILVIKULTUR</v>
      </c>
    </row>
    <row r="934" spans="1:17" ht="15.75" thickBot="1" x14ac:dyDescent="0.3">
      <c r="A934" s="7">
        <v>933</v>
      </c>
      <c r="B934" s="6">
        <v>34</v>
      </c>
      <c r="C934" s="12">
        <v>3411226</v>
      </c>
      <c r="D934" t="s">
        <v>90</v>
      </c>
      <c r="E934" s="12">
        <v>38</v>
      </c>
      <c r="F934" s="10" t="s">
        <v>20</v>
      </c>
      <c r="I934" s="26"/>
      <c r="J934" s="138">
        <v>673.09</v>
      </c>
      <c r="K934" s="138">
        <v>684.30500000000006</v>
      </c>
      <c r="L934" s="138">
        <v>661.875</v>
      </c>
      <c r="M934" s="27"/>
      <c r="N934" s="83">
        <v>673.09</v>
      </c>
      <c r="P934" t="str">
        <f>VLOOKUP(B934,PTN!A:B,2,FALSE)</f>
        <v>INSTITUT PERTANIAN BOGOR</v>
      </c>
      <c r="Q934" t="str">
        <f t="shared" si="14"/>
        <v>INSTITUT PERTANIAN BOGORSTATISTIKA</v>
      </c>
    </row>
    <row r="935" spans="1:17" ht="15.75" thickBot="1" x14ac:dyDescent="0.3">
      <c r="A935" s="7">
        <v>934</v>
      </c>
      <c r="B935" s="6">
        <v>34</v>
      </c>
      <c r="C935" s="13">
        <v>3411234</v>
      </c>
      <c r="D935" t="s">
        <v>356</v>
      </c>
      <c r="E935" s="13">
        <v>50</v>
      </c>
      <c r="F935" s="10" t="s">
        <v>20</v>
      </c>
      <c r="I935" s="87"/>
      <c r="J935" s="138">
        <v>613.21</v>
      </c>
      <c r="K935" s="138">
        <v>621.83000000000004</v>
      </c>
      <c r="L935" s="138">
        <v>604.59</v>
      </c>
      <c r="M935" s="28"/>
      <c r="N935" s="83">
        <v>613.21</v>
      </c>
      <c r="P935" t="str">
        <f>VLOOKUP(B935,PTN!A:B,2,FALSE)</f>
        <v>INSTITUT PERTANIAN BOGOR</v>
      </c>
      <c r="Q935" t="str">
        <f t="shared" si="14"/>
        <v>INSTITUT PERTANIAN BOGORTEKNIK PERTANIAN DAN BIOSISTEM</v>
      </c>
    </row>
    <row r="936" spans="1:17" ht="15.75" thickBot="1" x14ac:dyDescent="0.3">
      <c r="A936" s="7">
        <v>935</v>
      </c>
      <c r="B936" s="6">
        <v>34</v>
      </c>
      <c r="C936" s="12">
        <v>3411315</v>
      </c>
      <c r="D936" t="s">
        <v>357</v>
      </c>
      <c r="E936" s="12">
        <v>41</v>
      </c>
      <c r="F936" s="10" t="s">
        <v>20</v>
      </c>
      <c r="I936" s="26"/>
      <c r="J936" s="138">
        <v>650.1</v>
      </c>
      <c r="K936" s="138">
        <v>655.09</v>
      </c>
      <c r="L936" s="138">
        <v>645.11</v>
      </c>
      <c r="M936" s="27"/>
      <c r="N936" s="83">
        <v>650.1</v>
      </c>
      <c r="P936" t="str">
        <f>VLOOKUP(B936,PTN!A:B,2,FALSE)</f>
        <v>INSTITUT PERTANIAN BOGOR</v>
      </c>
      <c r="Q936" t="str">
        <f t="shared" si="14"/>
        <v>INSTITUT PERTANIAN BOGORTEKNIK SIPIL DAN LINGKUNGAN</v>
      </c>
    </row>
    <row r="937" spans="1:17" ht="15.75" thickBot="1" x14ac:dyDescent="0.3">
      <c r="A937" s="7">
        <v>936</v>
      </c>
      <c r="B937" s="6">
        <v>34</v>
      </c>
      <c r="C937" s="13">
        <v>3411242</v>
      </c>
      <c r="D937" t="s">
        <v>358</v>
      </c>
      <c r="E937" s="13">
        <v>30</v>
      </c>
      <c r="F937" s="10" t="s">
        <v>20</v>
      </c>
      <c r="I937" s="87"/>
      <c r="J937" s="138">
        <v>570</v>
      </c>
      <c r="K937" s="138" t="s">
        <v>1292</v>
      </c>
      <c r="L937" s="138" t="s">
        <v>1292</v>
      </c>
      <c r="M937" s="28"/>
      <c r="N937" s="83">
        <v>570</v>
      </c>
      <c r="P937" t="str">
        <f>VLOOKUP(B937,PTN!A:B,2,FALSE)</f>
        <v>INSTITUT PERTANIAN BOGOR</v>
      </c>
      <c r="Q937" t="str">
        <f t="shared" si="14"/>
        <v>INSTITUT PERTANIAN BOGORTEKNOLOGI HASIL HUTAN</v>
      </c>
    </row>
    <row r="938" spans="1:17" ht="15.75" thickBot="1" x14ac:dyDescent="0.3">
      <c r="A938" s="7">
        <v>937</v>
      </c>
      <c r="B938" s="6">
        <v>34</v>
      </c>
      <c r="C938" s="12">
        <v>3411404</v>
      </c>
      <c r="D938" t="s">
        <v>359</v>
      </c>
      <c r="E938" s="12">
        <v>39</v>
      </c>
      <c r="F938" s="10" t="s">
        <v>20</v>
      </c>
      <c r="I938" s="26"/>
      <c r="J938" s="138">
        <v>606.91999999999996</v>
      </c>
      <c r="K938" s="138">
        <v>616.04</v>
      </c>
      <c r="L938" s="138">
        <v>597.79999999999995</v>
      </c>
      <c r="M938" s="27"/>
      <c r="N938" s="83">
        <v>606.91999999999996</v>
      </c>
      <c r="P938" t="str">
        <f>VLOOKUP(B938,PTN!A:B,2,FALSE)</f>
        <v>INSTITUT PERTANIAN BOGOR</v>
      </c>
      <c r="Q938" t="str">
        <f t="shared" si="14"/>
        <v>INSTITUT PERTANIAN BOGORTEKNOLOGI HASIL PERAIRAN</v>
      </c>
    </row>
    <row r="939" spans="1:17" ht="15.75" thickBot="1" x14ac:dyDescent="0.3">
      <c r="A939" s="7">
        <v>938</v>
      </c>
      <c r="B939" s="6">
        <v>34</v>
      </c>
      <c r="C939" s="13">
        <v>3411482</v>
      </c>
      <c r="D939" t="s">
        <v>360</v>
      </c>
      <c r="E939" s="13">
        <v>29</v>
      </c>
      <c r="F939" s="10" t="s">
        <v>20</v>
      </c>
      <c r="I939" s="87"/>
      <c r="J939" s="138">
        <v>604.94000000000005</v>
      </c>
      <c r="K939" s="138">
        <v>613.0100000000001</v>
      </c>
      <c r="L939" s="138">
        <v>596.87</v>
      </c>
      <c r="M939" s="28"/>
      <c r="N939" s="83">
        <v>604.94000000000005</v>
      </c>
      <c r="P939" t="str">
        <f>VLOOKUP(B939,PTN!A:B,2,FALSE)</f>
        <v>INSTITUT PERTANIAN BOGOR</v>
      </c>
      <c r="Q939" t="str">
        <f t="shared" si="14"/>
        <v>INSTITUT PERTANIAN BOGORTEKNOLOGI HASIL TERNAK</v>
      </c>
    </row>
    <row r="940" spans="1:17" ht="15.75" thickBot="1" x14ac:dyDescent="0.3">
      <c r="A940" s="7">
        <v>939</v>
      </c>
      <c r="B940" s="6">
        <v>34</v>
      </c>
      <c r="C940" s="12">
        <v>3411265</v>
      </c>
      <c r="D940" t="s">
        <v>166</v>
      </c>
      <c r="E940" s="12">
        <v>63</v>
      </c>
      <c r="F940" s="10" t="s">
        <v>20</v>
      </c>
      <c r="I940" s="26"/>
      <c r="J940" s="138">
        <v>635.34</v>
      </c>
      <c r="K940" s="138">
        <v>642.40500000000009</v>
      </c>
      <c r="L940" s="138">
        <v>628.27499999999998</v>
      </c>
      <c r="M940" s="27"/>
      <c r="N940" s="83">
        <v>635.34</v>
      </c>
      <c r="P940" t="str">
        <f>VLOOKUP(B940,PTN!A:B,2,FALSE)</f>
        <v>INSTITUT PERTANIAN BOGOR</v>
      </c>
      <c r="Q940" t="str">
        <f t="shared" si="14"/>
        <v>INSTITUT PERTANIAN BOGORTEKNOLOGI INDUSTRI PERTANIAN</v>
      </c>
    </row>
    <row r="941" spans="1:17" ht="15.75" thickBot="1" x14ac:dyDescent="0.3">
      <c r="A941" s="7">
        <v>940</v>
      </c>
      <c r="B941" s="6">
        <v>34</v>
      </c>
      <c r="C941" s="13">
        <v>3411323</v>
      </c>
      <c r="D941" t="s">
        <v>361</v>
      </c>
      <c r="E941" s="13">
        <v>50</v>
      </c>
      <c r="F941" s="10" t="s">
        <v>20</v>
      </c>
      <c r="I941" s="87"/>
      <c r="J941" s="138" t="s">
        <v>1292</v>
      </c>
      <c r="K941" s="138" t="s">
        <v>1292</v>
      </c>
      <c r="L941" s="138" t="s">
        <v>1292</v>
      </c>
      <c r="M941" s="28"/>
      <c r="N941" s="83" t="s">
        <v>1292</v>
      </c>
      <c r="P941" t="str">
        <f>VLOOKUP(B941,PTN!A:B,2,FALSE)</f>
        <v>INSTITUT PERTANIAN BOGOR</v>
      </c>
      <c r="Q941" t="str">
        <f t="shared" si="14"/>
        <v>INSTITUT PERTANIAN BOGORTEKNOLOGI &amp; MANAJEMEN PERIKANAN BUDIDAYA</v>
      </c>
    </row>
    <row r="942" spans="1:17" ht="15.75" thickBot="1" x14ac:dyDescent="0.3">
      <c r="A942" s="7">
        <v>941</v>
      </c>
      <c r="B942" s="6">
        <v>34</v>
      </c>
      <c r="C942" s="12">
        <v>3411412</v>
      </c>
      <c r="D942" t="s">
        <v>362</v>
      </c>
      <c r="E942" s="12">
        <v>37</v>
      </c>
      <c r="F942" s="10" t="s">
        <v>20</v>
      </c>
      <c r="I942" s="26"/>
      <c r="J942" s="138">
        <v>611.99</v>
      </c>
      <c r="K942" s="138">
        <v>618.79999999999995</v>
      </c>
      <c r="L942" s="138">
        <v>605.18000000000006</v>
      </c>
      <c r="M942" s="27"/>
      <c r="N942" s="83">
        <v>611.99</v>
      </c>
      <c r="P942" t="str">
        <f>VLOOKUP(B942,PTN!A:B,2,FALSE)</f>
        <v>INSTITUT PERTANIAN BOGOR</v>
      </c>
      <c r="Q942" t="str">
        <f t="shared" si="14"/>
        <v>INSTITUT PERTANIAN BOGORTEKNOLOGI &amp; MANAJEMEN PERIKANAN TANGKAP</v>
      </c>
    </row>
    <row r="943" spans="1:17" ht="15.75" thickBot="1" x14ac:dyDescent="0.3">
      <c r="A943" s="7">
        <v>942</v>
      </c>
      <c r="B943" s="6">
        <v>34</v>
      </c>
      <c r="C943" s="13">
        <v>3411273</v>
      </c>
      <c r="D943" t="s">
        <v>271</v>
      </c>
      <c r="E943" s="13">
        <v>65</v>
      </c>
      <c r="F943" s="10" t="s">
        <v>20</v>
      </c>
      <c r="I943" s="87"/>
      <c r="J943" s="138">
        <v>657.46</v>
      </c>
      <c r="K943" s="138">
        <v>666.78500000000008</v>
      </c>
      <c r="L943" s="138">
        <v>648.13499999999999</v>
      </c>
      <c r="M943" s="28"/>
      <c r="N943" s="83">
        <v>657.46</v>
      </c>
      <c r="P943" t="str">
        <f>VLOOKUP(B943,PTN!A:B,2,FALSE)</f>
        <v>INSTITUT PERTANIAN BOGOR</v>
      </c>
      <c r="Q943" t="str">
        <f t="shared" si="14"/>
        <v>INSTITUT PERTANIAN BOGORTEKNOLOGI PANGAN</v>
      </c>
    </row>
    <row r="944" spans="1:17" ht="15.75" thickBot="1" x14ac:dyDescent="0.3">
      <c r="A944" s="7">
        <v>943</v>
      </c>
      <c r="B944" s="6">
        <v>34</v>
      </c>
      <c r="C944" s="14">
        <v>3411296</v>
      </c>
      <c r="D944" t="s">
        <v>363</v>
      </c>
      <c r="E944" s="14">
        <v>40</v>
      </c>
      <c r="F944" s="10" t="s">
        <v>20</v>
      </c>
      <c r="I944" s="26"/>
      <c r="J944" s="138" t="s">
        <v>1292</v>
      </c>
      <c r="K944" s="138" t="s">
        <v>1292</v>
      </c>
      <c r="L944" s="138" t="s">
        <v>1292</v>
      </c>
      <c r="M944" s="27"/>
      <c r="N944" s="83" t="s">
        <v>1292</v>
      </c>
      <c r="P944" t="str">
        <f>VLOOKUP(B944,PTN!A:B,2,FALSE)</f>
        <v>INSTITUT PERTANIAN BOGOR</v>
      </c>
      <c r="Q944" t="str">
        <f t="shared" si="14"/>
        <v>INSTITUT PERTANIAN BOGORTEKNOLOGI PRODUKSI TERNAK</v>
      </c>
    </row>
    <row r="945" spans="1:17" ht="16.5" thickTop="1" thickBot="1" x14ac:dyDescent="0.3">
      <c r="A945" s="7">
        <v>944</v>
      </c>
      <c r="B945" s="6">
        <v>29</v>
      </c>
      <c r="C945" s="12">
        <v>3321011</v>
      </c>
      <c r="D945" t="s">
        <v>364</v>
      </c>
      <c r="E945" s="12">
        <v>112</v>
      </c>
      <c r="F945" s="10" t="s">
        <v>20</v>
      </c>
      <c r="I945" s="20"/>
      <c r="J945" s="138">
        <v>668.94</v>
      </c>
      <c r="K945" s="138">
        <v>677.45</v>
      </c>
      <c r="L945" s="138">
        <v>660.43000000000006</v>
      </c>
      <c r="M945" s="21"/>
      <c r="N945" s="83">
        <v>668.94</v>
      </c>
      <c r="P945" t="str">
        <f>VLOOKUP(B945,PTN!A:B,2,FALSE)</f>
        <v>INSTITUT TEKNOLOGI BANDUNG</v>
      </c>
      <c r="Q945" t="str">
        <f t="shared" si="14"/>
        <v>INSTITUT TEKNOLOGI BANDUNGFAK. ILMU DAN TEKNOLOGI KEBUMIAN (FITB)</v>
      </c>
    </row>
    <row r="946" spans="1:17" ht="15.75" thickBot="1" x14ac:dyDescent="0.3">
      <c r="A946" s="7">
        <v>945</v>
      </c>
      <c r="B946" s="6">
        <v>29</v>
      </c>
      <c r="C946" s="13">
        <v>3321034</v>
      </c>
      <c r="D946" t="s">
        <v>365</v>
      </c>
      <c r="E946" s="13">
        <v>180</v>
      </c>
      <c r="F946" s="10" t="s">
        <v>20</v>
      </c>
      <c r="I946" s="22"/>
      <c r="J946" s="138">
        <v>682.26</v>
      </c>
      <c r="K946" s="138">
        <v>692.49</v>
      </c>
      <c r="L946" s="138">
        <v>672.03</v>
      </c>
      <c r="M946" s="21"/>
      <c r="N946" s="83">
        <v>682.26</v>
      </c>
      <c r="P946" t="str">
        <f>VLOOKUP(B946,PTN!A:B,2,FALSE)</f>
        <v>INSTITUT TEKNOLOGI BANDUNG</v>
      </c>
      <c r="Q946" t="str">
        <f t="shared" si="14"/>
        <v>INSTITUT TEKNOLOGI BANDUNGFAK. MATEMATIKA &amp; ILMU PENGET. ALAM (FMIPA)</v>
      </c>
    </row>
    <row r="947" spans="1:17" ht="16.5" thickTop="1" thickBot="1" x14ac:dyDescent="0.3">
      <c r="A947" s="7">
        <v>946</v>
      </c>
      <c r="B947" s="6">
        <v>29</v>
      </c>
      <c r="C947" s="12">
        <v>3321026</v>
      </c>
      <c r="D947" t="s">
        <v>366</v>
      </c>
      <c r="E947" s="12">
        <v>136</v>
      </c>
      <c r="F947" s="10" t="s">
        <v>20</v>
      </c>
      <c r="I947" s="23"/>
      <c r="J947" s="138">
        <v>685.38</v>
      </c>
      <c r="K947" s="138">
        <v>697.28499999999997</v>
      </c>
      <c r="L947" s="138">
        <v>673.47500000000002</v>
      </c>
      <c r="M947" s="25"/>
      <c r="N947" s="83">
        <v>685.38</v>
      </c>
      <c r="P947" t="str">
        <f>VLOOKUP(B947,PTN!A:B,2,FALSE)</f>
        <v>INSTITUT TEKNOLOGI BANDUNG</v>
      </c>
      <c r="Q947" t="str">
        <f t="shared" si="14"/>
        <v>INSTITUT TEKNOLOGI BANDUNGFAK. TEKNIK PERTAMB. &amp; PERMINYAKAN (FTTM)</v>
      </c>
    </row>
    <row r="948" spans="1:17" ht="16.5" thickTop="1" thickBot="1" x14ac:dyDescent="0.3">
      <c r="A948" s="7">
        <v>947</v>
      </c>
      <c r="B948" s="6">
        <v>29</v>
      </c>
      <c r="C948" s="13">
        <v>3321096</v>
      </c>
      <c r="D948" t="s">
        <v>367</v>
      </c>
      <c r="E948" s="13">
        <v>120</v>
      </c>
      <c r="F948" s="10" t="s">
        <v>20</v>
      </c>
      <c r="I948" s="26"/>
      <c r="J948" s="138">
        <v>710.29</v>
      </c>
      <c r="K948" s="138">
        <v>722.69499999999994</v>
      </c>
      <c r="L948" s="138">
        <v>697.88499999999999</v>
      </c>
      <c r="M948" s="27"/>
      <c r="N948" s="83">
        <v>710.29</v>
      </c>
      <c r="P948" t="str">
        <f>VLOOKUP(B948,PTN!A:B,2,FALSE)</f>
        <v>INSTITUT TEKNOLOGI BANDUNG</v>
      </c>
      <c r="Q948" t="str">
        <f t="shared" si="14"/>
        <v>INSTITUT TEKNOLOGI BANDUNGFAKULTAS TEKNIK MESIN &amp; DIRGANTARA (FTMD)</v>
      </c>
    </row>
    <row r="949" spans="1:17" ht="15.75" thickBot="1" x14ac:dyDescent="0.3">
      <c r="A949" s="7">
        <v>948</v>
      </c>
      <c r="B949" s="6">
        <v>29</v>
      </c>
      <c r="C949" s="12">
        <v>3321131</v>
      </c>
      <c r="D949" t="s">
        <v>368</v>
      </c>
      <c r="E949" s="12">
        <v>32</v>
      </c>
      <c r="F949" s="10" t="s">
        <v>20</v>
      </c>
      <c r="I949" s="87"/>
      <c r="J949" s="138">
        <v>656.61</v>
      </c>
      <c r="K949" s="138">
        <v>663.38499999999999</v>
      </c>
      <c r="L949" s="138">
        <v>649.83500000000004</v>
      </c>
      <c r="M949" s="28"/>
      <c r="N949" s="83">
        <v>656.61</v>
      </c>
      <c r="P949" t="str">
        <f>VLOOKUP(B949,PTN!A:B,2,FALSE)</f>
        <v>INSTITUT TEKNOLOGI BANDUNG</v>
      </c>
      <c r="Q949" t="str">
        <f t="shared" si="14"/>
        <v>INSTITUT TEKNOLOGI BANDUNGFAKULTAS TEKNIK SIPIL DAN LINGKUNGAN (FTSL) - KAMPUS JATINANGOR</v>
      </c>
    </row>
    <row r="950" spans="1:17" ht="15.75" thickBot="1" x14ac:dyDescent="0.3">
      <c r="A950" s="7">
        <v>949</v>
      </c>
      <c r="B950" s="6">
        <v>29</v>
      </c>
      <c r="C950" s="13">
        <v>3321042</v>
      </c>
      <c r="D950" t="s">
        <v>369</v>
      </c>
      <c r="E950" s="13">
        <v>136</v>
      </c>
      <c r="F950" s="10" t="s">
        <v>20</v>
      </c>
      <c r="I950" s="26"/>
      <c r="J950" s="138">
        <v>693.77</v>
      </c>
      <c r="K950" s="138">
        <v>705.07999999999993</v>
      </c>
      <c r="L950" s="138">
        <v>682.46</v>
      </c>
      <c r="M950" s="27"/>
      <c r="N950" s="83">
        <v>693.77</v>
      </c>
      <c r="P950" t="str">
        <f>VLOOKUP(B950,PTN!A:B,2,FALSE)</f>
        <v>INSTITUT TEKNOLOGI BANDUNG</v>
      </c>
      <c r="Q950" t="str">
        <f t="shared" si="14"/>
        <v>INSTITUT TEKNOLOGI BANDUNGFAKULTAS TEKNIK SIPIL &amp; LINGKUNGAN (FTSL) - Kampus Ganesa</v>
      </c>
    </row>
    <row r="951" spans="1:17" ht="15.75" thickBot="1" x14ac:dyDescent="0.3">
      <c r="A951" s="7">
        <v>950</v>
      </c>
      <c r="B951" s="6">
        <v>29</v>
      </c>
      <c r="C951" s="12">
        <v>3321154</v>
      </c>
      <c r="D951" t="s">
        <v>370</v>
      </c>
      <c r="E951" s="12">
        <v>20</v>
      </c>
      <c r="F951" s="10" t="s">
        <v>20</v>
      </c>
      <c r="I951" s="87"/>
      <c r="J951" s="138">
        <v>653.49</v>
      </c>
      <c r="K951" s="138">
        <v>660.97</v>
      </c>
      <c r="L951" s="138">
        <v>646.01</v>
      </c>
      <c r="M951" s="28"/>
      <c r="N951" s="83">
        <v>653.49</v>
      </c>
      <c r="P951" t="str">
        <f>VLOOKUP(B951,PTN!A:B,2,FALSE)</f>
        <v>INSTITUT TEKNOLOGI BANDUNG</v>
      </c>
      <c r="Q951" t="str">
        <f t="shared" si="14"/>
        <v>INSTITUT TEKNOLOGI BANDUNGFAKULTAS TEKNOLOGI INDUSTRI (FTI) - KAMPUS CIREBON</v>
      </c>
    </row>
    <row r="952" spans="1:17" ht="15.75" thickBot="1" x14ac:dyDescent="0.3">
      <c r="A952" s="7">
        <v>951</v>
      </c>
      <c r="B952" s="6">
        <v>29</v>
      </c>
      <c r="C952" s="13">
        <v>3321081</v>
      </c>
      <c r="D952" t="s">
        <v>371</v>
      </c>
      <c r="E952" s="13">
        <v>144</v>
      </c>
      <c r="F952" s="10" t="s">
        <v>20</v>
      </c>
      <c r="I952" s="26"/>
      <c r="J952" s="138">
        <v>710.97</v>
      </c>
      <c r="K952" s="138">
        <v>722.60500000000002</v>
      </c>
      <c r="L952" s="138">
        <v>699.33500000000004</v>
      </c>
      <c r="M952" s="27"/>
      <c r="N952" s="83">
        <v>710.97</v>
      </c>
      <c r="P952" t="str">
        <f>VLOOKUP(B952,PTN!A:B,2,FALSE)</f>
        <v>INSTITUT TEKNOLOGI BANDUNG</v>
      </c>
      <c r="Q952" t="str">
        <f t="shared" si="14"/>
        <v>INSTITUT TEKNOLOGI BANDUNGFAKULTAS TEKNOLOGI INDUSTRI (FTI) - Kampus Ganesa</v>
      </c>
    </row>
    <row r="953" spans="1:17" ht="15.75" thickBot="1" x14ac:dyDescent="0.3">
      <c r="A953" s="7">
        <v>952</v>
      </c>
      <c r="B953" s="6">
        <v>29</v>
      </c>
      <c r="C953" s="12">
        <v>3321146</v>
      </c>
      <c r="D953" t="s">
        <v>372</v>
      </c>
      <c r="E953" s="12">
        <v>32</v>
      </c>
      <c r="F953" s="10" t="s">
        <v>20</v>
      </c>
      <c r="I953" s="87"/>
      <c r="J953" s="138">
        <v>662.02</v>
      </c>
      <c r="K953" s="138">
        <v>676.81</v>
      </c>
      <c r="L953" s="138">
        <v>647.23</v>
      </c>
      <c r="M953" s="28"/>
      <c r="N953" s="83">
        <v>662.02</v>
      </c>
      <c r="P953" t="str">
        <f>VLOOKUP(B953,PTN!A:B,2,FALSE)</f>
        <v>INSTITUT TEKNOLOGI BANDUNG</v>
      </c>
      <c r="Q953" t="str">
        <f t="shared" si="14"/>
        <v>INSTITUT TEKNOLOGI BANDUNGFAKULTAS TEKNOLOGI INDUSTRI (FTI) - KAMPUS JATINANGOR</v>
      </c>
    </row>
    <row r="954" spans="1:17" ht="15.75" thickBot="1" x14ac:dyDescent="0.3">
      <c r="A954" s="7">
        <v>953</v>
      </c>
      <c r="B954" s="6">
        <v>29</v>
      </c>
      <c r="C954" s="13">
        <v>3321162</v>
      </c>
      <c r="D954" t="s">
        <v>373</v>
      </c>
      <c r="E954" s="13">
        <v>14</v>
      </c>
      <c r="F954" s="10" t="s">
        <v>20</v>
      </c>
      <c r="I954" s="26"/>
      <c r="J954" s="138">
        <v>639.96</v>
      </c>
      <c r="K954" s="138">
        <v>649.32000000000005</v>
      </c>
      <c r="L954" s="138">
        <v>630.6</v>
      </c>
      <c r="M954" s="27"/>
      <c r="N954" s="83">
        <v>639.96</v>
      </c>
      <c r="P954" t="str">
        <f>VLOOKUP(B954,PTN!A:B,2,FALSE)</f>
        <v>INSTITUT TEKNOLOGI BANDUNG</v>
      </c>
      <c r="Q954" t="str">
        <f t="shared" si="14"/>
        <v>INSTITUT TEKNOLOGI BANDUNGSEK. ARSITEKTUR, PERENC &amp;amp; PENGEMB KEBIJAKAN (SAPPK) - KAMPUS CIREBON</v>
      </c>
    </row>
    <row r="955" spans="1:17" ht="15.75" thickBot="1" x14ac:dyDescent="0.3">
      <c r="A955" s="7">
        <v>954</v>
      </c>
      <c r="B955" s="6">
        <v>29</v>
      </c>
      <c r="C955" s="12">
        <v>3321107</v>
      </c>
      <c r="D955" t="s">
        <v>374</v>
      </c>
      <c r="E955" s="12">
        <v>68</v>
      </c>
      <c r="F955" s="10" t="s">
        <v>20</v>
      </c>
      <c r="I955" s="87"/>
      <c r="J955" s="138">
        <v>693.39</v>
      </c>
      <c r="K955" s="138">
        <v>704.61500000000001</v>
      </c>
      <c r="L955" s="138">
        <v>682.16499999999996</v>
      </c>
      <c r="M955" s="28"/>
      <c r="N955" s="83">
        <v>693.39</v>
      </c>
      <c r="P955" t="str">
        <f>VLOOKUP(B955,PTN!A:B,2,FALSE)</f>
        <v>INSTITUT TEKNOLOGI BANDUNG</v>
      </c>
      <c r="Q955" t="str">
        <f t="shared" si="14"/>
        <v>INSTITUT TEKNOLOGI BANDUNGSEK. ARSITEKTUR, PERENC &amp; PENGEMB KEBIJAKAN</v>
      </c>
    </row>
    <row r="956" spans="1:17" ht="15.75" thickBot="1" x14ac:dyDescent="0.3">
      <c r="A956" s="7">
        <v>955</v>
      </c>
      <c r="B956" s="6">
        <v>29</v>
      </c>
      <c r="C956" s="13">
        <v>3321057</v>
      </c>
      <c r="D956" t="s">
        <v>375</v>
      </c>
      <c r="E956" s="13">
        <v>60</v>
      </c>
      <c r="F956" s="10" t="s">
        <v>20</v>
      </c>
      <c r="I956" s="26"/>
      <c r="J956" s="138">
        <v>683.68</v>
      </c>
      <c r="K956" s="138">
        <v>697.16</v>
      </c>
      <c r="L956" s="138">
        <v>670.19999999999993</v>
      </c>
      <c r="M956" s="27"/>
      <c r="N956" s="83">
        <v>683.68</v>
      </c>
      <c r="P956" t="str">
        <f>VLOOKUP(B956,PTN!A:B,2,FALSE)</f>
        <v>INSTITUT TEKNOLOGI BANDUNG</v>
      </c>
      <c r="Q956" t="str">
        <f t="shared" si="14"/>
        <v>INSTITUT TEKNOLOGI BANDUNGSEKOLAH FARMASI (SF)</v>
      </c>
    </row>
    <row r="957" spans="1:17" ht="15.75" thickBot="1" x14ac:dyDescent="0.3">
      <c r="A957" s="7">
        <v>956</v>
      </c>
      <c r="B957" s="6">
        <v>29</v>
      </c>
      <c r="C957" s="12">
        <v>3321123</v>
      </c>
      <c r="D957" t="s">
        <v>376</v>
      </c>
      <c r="E957" s="12">
        <v>80</v>
      </c>
      <c r="F957" s="10" t="s">
        <v>20</v>
      </c>
      <c r="I957" s="87"/>
      <c r="J957" s="138">
        <v>664.06</v>
      </c>
      <c r="K957" s="138">
        <v>670.9799999999999</v>
      </c>
      <c r="L957" s="138">
        <v>657.14</v>
      </c>
      <c r="M957" s="28"/>
      <c r="N957" s="83">
        <v>664.06</v>
      </c>
      <c r="P957" t="str">
        <f>VLOOKUP(B957,PTN!A:B,2,FALSE)</f>
        <v>INSTITUT TEKNOLOGI BANDUNG</v>
      </c>
      <c r="Q957" t="str">
        <f t="shared" si="14"/>
        <v>INSTITUT TEKNOLOGI BANDUNGSEKOLAH ILMU &amp; TEKNO HAYATI - PROG REKAYASA</v>
      </c>
    </row>
    <row r="958" spans="1:17" ht="15.75" thickBot="1" x14ac:dyDescent="0.3">
      <c r="A958" s="7">
        <v>957</v>
      </c>
      <c r="B958" s="6">
        <v>29</v>
      </c>
      <c r="C958" s="13">
        <v>3321065</v>
      </c>
      <c r="D958" t="s">
        <v>377</v>
      </c>
      <c r="E958" s="13">
        <v>64</v>
      </c>
      <c r="F958" s="10" t="s">
        <v>20</v>
      </c>
      <c r="I958" s="26"/>
      <c r="J958" s="138">
        <v>672.96</v>
      </c>
      <c r="K958" s="138">
        <v>682.30500000000006</v>
      </c>
      <c r="L958" s="138">
        <v>663.61500000000001</v>
      </c>
      <c r="M958" s="27"/>
      <c r="N958" s="83">
        <v>672.96</v>
      </c>
      <c r="P958" t="str">
        <f>VLOOKUP(B958,PTN!A:B,2,FALSE)</f>
        <v>INSTITUT TEKNOLOGI BANDUNG</v>
      </c>
      <c r="Q958" t="str">
        <f t="shared" si="14"/>
        <v>INSTITUT TEKNOLOGI BANDUNGSEKOLAH ILMU &amp; TEKNO. HAYATI - PROG. SAINS</v>
      </c>
    </row>
    <row r="959" spans="1:17" ht="15.75" thickBot="1" x14ac:dyDescent="0.3">
      <c r="A959" s="7">
        <v>958</v>
      </c>
      <c r="B959" s="6">
        <v>29</v>
      </c>
      <c r="C959" s="14">
        <v>3321073</v>
      </c>
      <c r="D959" t="s">
        <v>378</v>
      </c>
      <c r="E959" s="14">
        <v>168</v>
      </c>
      <c r="F959" s="10" t="s">
        <v>20</v>
      </c>
      <c r="I959" s="87"/>
      <c r="J959" s="138">
        <v>716.69</v>
      </c>
      <c r="K959" s="138">
        <v>728.31000000000006</v>
      </c>
      <c r="L959" s="138">
        <v>705.07</v>
      </c>
      <c r="M959" s="28"/>
      <c r="N959" s="83">
        <v>716.69</v>
      </c>
      <c r="P959" t="str">
        <f>VLOOKUP(B959,PTN!A:B,2,FALSE)</f>
        <v>INSTITUT TEKNOLOGI BANDUNG</v>
      </c>
      <c r="Q959" t="str">
        <f t="shared" si="14"/>
        <v>INSTITUT TEKNOLOGI BANDUNGSEKOLAH TEK. ELEKTRO &amp; INFORMATIKA (STEI)</v>
      </c>
    </row>
    <row r="960" spans="1:17" ht="16.5" thickTop="1" thickBot="1" x14ac:dyDescent="0.3">
      <c r="A960" s="7">
        <v>959</v>
      </c>
      <c r="B960" s="6">
        <v>29</v>
      </c>
      <c r="C960" s="12">
        <v>3322014</v>
      </c>
      <c r="D960" t="s">
        <v>379</v>
      </c>
      <c r="E960" s="12">
        <v>75</v>
      </c>
      <c r="F960" s="10" t="s">
        <v>13</v>
      </c>
      <c r="I960" s="20"/>
      <c r="J960" s="138">
        <v>648.64</v>
      </c>
      <c r="K960" s="138">
        <v>656.77773000000002</v>
      </c>
      <c r="L960" s="138">
        <v>640.50226999999995</v>
      </c>
      <c r="M960" s="21"/>
      <c r="N960" s="83">
        <v>648.64</v>
      </c>
      <c r="P960" t="str">
        <f>VLOOKUP(B960,PTN!A:B,2,FALSE)</f>
        <v>INSTITUT TEKNOLOGI BANDUNG</v>
      </c>
      <c r="Q960" t="str">
        <f t="shared" si="14"/>
        <v>INSTITUT TEKNOLOGI BANDUNGFAKULTAS SENIRUPA DAN DESAIN (FSRD)</v>
      </c>
    </row>
    <row r="961" spans="1:17" ht="15.75" thickBot="1" x14ac:dyDescent="0.3">
      <c r="A961" s="7">
        <v>960</v>
      </c>
      <c r="B961" s="6">
        <v>29</v>
      </c>
      <c r="C961" s="13">
        <v>3322037</v>
      </c>
      <c r="D961" t="s">
        <v>380</v>
      </c>
      <c r="E961" s="13">
        <v>9</v>
      </c>
      <c r="F961" s="10" t="s">
        <v>13</v>
      </c>
      <c r="J961" s="138">
        <v>612.28</v>
      </c>
      <c r="K961" s="138">
        <v>620.41773000000001</v>
      </c>
      <c r="L961" s="138">
        <v>604.14226999999994</v>
      </c>
      <c r="M961" s="21"/>
      <c r="N961" s="83">
        <v>612.28</v>
      </c>
      <c r="P961" t="str">
        <f>VLOOKUP(B961,PTN!A:B,2,FALSE)</f>
        <v>INSTITUT TEKNOLOGI BANDUNG</v>
      </c>
      <c r="Q961" t="str">
        <f t="shared" si="14"/>
        <v>INSTITUT TEKNOLOGI BANDUNGFAKULTAS SENIRUPA DAN DESAIN (FSRD) - KAMPUS CIREBON</v>
      </c>
    </row>
    <row r="962" spans="1:17" ht="15.75" thickBot="1" x14ac:dyDescent="0.3">
      <c r="A962" s="7">
        <v>961</v>
      </c>
      <c r="B962" s="6">
        <v>29</v>
      </c>
      <c r="C962" s="14">
        <v>3322022</v>
      </c>
      <c r="D962" t="s">
        <v>381</v>
      </c>
      <c r="E962" s="14">
        <v>96</v>
      </c>
      <c r="F962" s="10" t="s">
        <v>13</v>
      </c>
      <c r="I962" s="22"/>
      <c r="J962" s="138">
        <v>683.51</v>
      </c>
      <c r="K962" s="138">
        <v>691.64773000000002</v>
      </c>
      <c r="L962" s="138">
        <v>675.37226999999996</v>
      </c>
      <c r="M962" s="21"/>
      <c r="N962" s="83">
        <v>683.51</v>
      </c>
      <c r="P962" t="str">
        <f>VLOOKUP(B962,PTN!A:B,2,FALSE)</f>
        <v>INSTITUT TEKNOLOGI BANDUNG</v>
      </c>
      <c r="Q962" t="str">
        <f t="shared" si="14"/>
        <v>INSTITUT TEKNOLOGI BANDUNGSEKOLAH BISNIS DAN MANAJEMEN (SBM)</v>
      </c>
    </row>
    <row r="963" spans="1:17" ht="16.5" thickTop="1" thickBot="1" x14ac:dyDescent="0.3">
      <c r="A963" s="7">
        <v>962</v>
      </c>
      <c r="B963" s="6">
        <v>32</v>
      </c>
      <c r="C963" s="12">
        <v>3352052</v>
      </c>
      <c r="D963" t="s">
        <v>154</v>
      </c>
      <c r="E963" s="12">
        <v>16</v>
      </c>
      <c r="F963" s="10" t="s">
        <v>13</v>
      </c>
      <c r="I963" s="23"/>
      <c r="J963" s="138" t="s">
        <v>1292</v>
      </c>
      <c r="K963" s="138" t="s">
        <v>1292</v>
      </c>
      <c r="L963" s="138" t="s">
        <v>1292</v>
      </c>
      <c r="M963" s="25"/>
      <c r="N963" s="83" t="s">
        <v>1292</v>
      </c>
      <c r="P963" t="str">
        <f>VLOOKUP(B963,PTN!A:B,2,FALSE)</f>
        <v>ISBI BANDUNG</v>
      </c>
      <c r="Q963" t="str">
        <f t="shared" ref="Q963:Q1026" si="15">P963&amp;D963</f>
        <v>ISBI BANDUNGANTROPOLOGI BUDAYA</v>
      </c>
    </row>
    <row r="964" spans="1:17" ht="16.5" thickTop="1" thickBot="1" x14ac:dyDescent="0.3">
      <c r="A964" s="7">
        <v>963</v>
      </c>
      <c r="B964" s="6">
        <v>32</v>
      </c>
      <c r="C964" s="13">
        <v>3352021</v>
      </c>
      <c r="D964" t="s">
        <v>382</v>
      </c>
      <c r="E964" s="13">
        <v>20</v>
      </c>
      <c r="F964" s="10" t="s">
        <v>13</v>
      </c>
      <c r="I964" s="26"/>
      <c r="J964" s="138" t="s">
        <v>1292</v>
      </c>
      <c r="K964" s="138" t="s">
        <v>1292</v>
      </c>
      <c r="L964" s="138" t="s">
        <v>1292</v>
      </c>
      <c r="M964" s="27"/>
      <c r="N964" s="83" t="s">
        <v>1292</v>
      </c>
      <c r="P964" t="str">
        <f>VLOOKUP(B964,PTN!A:B,2,FALSE)</f>
        <v>ISBI BANDUNG</v>
      </c>
      <c r="Q964" t="str">
        <f t="shared" si="15"/>
        <v>ISBI BANDUNGKARAWITAN</v>
      </c>
    </row>
    <row r="965" spans="1:17" ht="15.75" thickBot="1" x14ac:dyDescent="0.3">
      <c r="A965" s="7">
        <v>964</v>
      </c>
      <c r="B965" s="6">
        <v>32</v>
      </c>
      <c r="C965" s="12">
        <v>3352044</v>
      </c>
      <c r="D965" t="s">
        <v>159</v>
      </c>
      <c r="E965" s="12">
        <v>7</v>
      </c>
      <c r="F965" s="10" t="s">
        <v>13</v>
      </c>
      <c r="I965" s="87"/>
      <c r="J965" s="138" t="s">
        <v>1292</v>
      </c>
      <c r="K965" s="138" t="s">
        <v>1292</v>
      </c>
      <c r="L965" s="138" t="s">
        <v>1292</v>
      </c>
      <c r="M965" s="28"/>
      <c r="N965" s="83" t="s">
        <v>1292</v>
      </c>
      <c r="P965" t="str">
        <f>VLOOKUP(B965,PTN!A:B,2,FALSE)</f>
        <v>ISBI BANDUNG</v>
      </c>
      <c r="Q965" t="str">
        <f t="shared" si="15"/>
        <v>ISBI BANDUNGSENI MURNI</v>
      </c>
    </row>
    <row r="966" spans="1:17" ht="15.75" thickBot="1" x14ac:dyDescent="0.3">
      <c r="A966" s="7">
        <v>965</v>
      </c>
      <c r="B966" s="6">
        <v>32</v>
      </c>
      <c r="C966" s="13">
        <v>3352013</v>
      </c>
      <c r="D966" t="s">
        <v>383</v>
      </c>
      <c r="E966" s="13">
        <v>14</v>
      </c>
      <c r="F966" s="10" t="s">
        <v>13</v>
      </c>
      <c r="I966" s="26"/>
      <c r="J966" s="138" t="s">
        <v>1292</v>
      </c>
      <c r="K966" s="138" t="s">
        <v>1292</v>
      </c>
      <c r="L966" s="138" t="s">
        <v>1292</v>
      </c>
      <c r="M966" s="27"/>
      <c r="N966" s="83" t="s">
        <v>1292</v>
      </c>
      <c r="P966" t="str">
        <f>VLOOKUP(B966,PTN!A:B,2,FALSE)</f>
        <v>ISBI BANDUNG</v>
      </c>
      <c r="Q966" t="str">
        <f t="shared" si="15"/>
        <v>ISBI BANDUNGTARI</v>
      </c>
    </row>
    <row r="967" spans="1:17" ht="15.75" thickBot="1" x14ac:dyDescent="0.3">
      <c r="A967" s="7">
        <v>966</v>
      </c>
      <c r="B967" s="6">
        <v>32</v>
      </c>
      <c r="C967" s="14">
        <v>3352036</v>
      </c>
      <c r="D967" t="s">
        <v>384</v>
      </c>
      <c r="E967" s="14">
        <v>16</v>
      </c>
      <c r="F967" s="10" t="s">
        <v>13</v>
      </c>
      <c r="I967" s="20"/>
      <c r="J967" s="138">
        <v>580</v>
      </c>
      <c r="K967" s="138" t="s">
        <v>1292</v>
      </c>
      <c r="L967" s="138" t="s">
        <v>1292</v>
      </c>
      <c r="M967" s="21"/>
      <c r="N967" s="83">
        <v>580</v>
      </c>
      <c r="P967" t="str">
        <f>VLOOKUP(B967,PTN!A:B,2,FALSE)</f>
        <v>ISBI BANDUNG</v>
      </c>
      <c r="Q967" t="str">
        <f t="shared" si="15"/>
        <v>ISBI BANDUNGTEATER</v>
      </c>
    </row>
    <row r="968" spans="1:17" ht="16.5" thickTop="1" thickBot="1" x14ac:dyDescent="0.3">
      <c r="A968" s="7">
        <v>967</v>
      </c>
      <c r="B968" s="6">
        <v>33</v>
      </c>
      <c r="C968" s="17">
        <v>3361082</v>
      </c>
      <c r="D968" t="s">
        <v>64</v>
      </c>
      <c r="E968" s="17">
        <v>24</v>
      </c>
      <c r="F968" s="10" t="s">
        <v>20</v>
      </c>
      <c r="I968" s="22"/>
      <c r="J968" s="138" t="s">
        <v>1292</v>
      </c>
      <c r="K968" s="138" t="s">
        <v>1292</v>
      </c>
      <c r="L968" s="138" t="s">
        <v>1292</v>
      </c>
      <c r="M968" s="21"/>
      <c r="N968" s="83" t="s">
        <v>1292</v>
      </c>
      <c r="P968" t="str">
        <f>VLOOKUP(B968,PTN!A:B,2,FALSE)</f>
        <v>UIN SUNAN GUNUNG DJATI BANDUNG</v>
      </c>
      <c r="Q968" t="str">
        <f t="shared" si="15"/>
        <v>UIN SUNAN GUNUNG DJATI BANDUNGAGROTEKNOLOGI</v>
      </c>
    </row>
    <row r="969" spans="1:17" ht="16.5" thickTop="1" thickBot="1" x14ac:dyDescent="0.3">
      <c r="A969" s="7">
        <v>968</v>
      </c>
      <c r="B969" s="6">
        <v>33</v>
      </c>
      <c r="C969" s="18">
        <v>3361035</v>
      </c>
      <c r="D969" t="s">
        <v>21</v>
      </c>
      <c r="E969" s="18">
        <v>24</v>
      </c>
      <c r="F969" s="10" t="s">
        <v>20</v>
      </c>
      <c r="I969" s="36"/>
      <c r="J969" s="138" t="s">
        <v>1292</v>
      </c>
      <c r="K969" s="138" t="s">
        <v>1292</v>
      </c>
      <c r="L969" s="138" t="s">
        <v>1292</v>
      </c>
      <c r="M969" s="31"/>
      <c r="N969" s="83" t="s">
        <v>1292</v>
      </c>
      <c r="P969" t="str">
        <f>VLOOKUP(B969,PTN!A:B,2,FALSE)</f>
        <v>UIN SUNAN GUNUNG DJATI BANDUNG</v>
      </c>
      <c r="Q969" t="str">
        <f t="shared" si="15"/>
        <v>UIN SUNAN GUNUNG DJATI BANDUNGBIOLOGI</v>
      </c>
    </row>
    <row r="970" spans="1:17" ht="16.5" thickTop="1" thickBot="1" x14ac:dyDescent="0.3">
      <c r="A970" s="7">
        <v>969</v>
      </c>
      <c r="B970" s="6">
        <v>33</v>
      </c>
      <c r="C970" s="17">
        <v>3361043</v>
      </c>
      <c r="D970" t="s">
        <v>65</v>
      </c>
      <c r="E970" s="17">
        <v>12</v>
      </c>
      <c r="F970" s="10" t="s">
        <v>20</v>
      </c>
      <c r="I970" s="38"/>
      <c r="J970" s="138" t="s">
        <v>1292</v>
      </c>
      <c r="K970" s="138" t="s">
        <v>1292</v>
      </c>
      <c r="L970" s="138" t="s">
        <v>1292</v>
      </c>
      <c r="M970" s="32"/>
      <c r="N970" s="83" t="s">
        <v>1292</v>
      </c>
      <c r="P970" t="str">
        <f>VLOOKUP(B970,PTN!A:B,2,FALSE)</f>
        <v>UIN SUNAN GUNUNG DJATI BANDUNG</v>
      </c>
      <c r="Q970" t="str">
        <f t="shared" si="15"/>
        <v>UIN SUNAN GUNUNG DJATI BANDUNGFISIKA</v>
      </c>
    </row>
    <row r="971" spans="1:17" ht="15.75" thickBot="1" x14ac:dyDescent="0.3">
      <c r="A971" s="7">
        <v>970</v>
      </c>
      <c r="B971" s="6">
        <v>33</v>
      </c>
      <c r="C971" s="18">
        <v>3361051</v>
      </c>
      <c r="D971" t="s">
        <v>22</v>
      </c>
      <c r="E971" s="18">
        <v>24</v>
      </c>
      <c r="F971" s="10" t="s">
        <v>20</v>
      </c>
      <c r="I971" s="39"/>
      <c r="J971" s="138" t="s">
        <v>1292</v>
      </c>
      <c r="K971" s="138" t="s">
        <v>1292</v>
      </c>
      <c r="L971" s="138" t="s">
        <v>1292</v>
      </c>
      <c r="M971" s="33"/>
      <c r="N971" s="83" t="s">
        <v>1292</v>
      </c>
      <c r="P971" t="str">
        <f>VLOOKUP(B971,PTN!A:B,2,FALSE)</f>
        <v>UIN SUNAN GUNUNG DJATI BANDUNG</v>
      </c>
      <c r="Q971" t="str">
        <f t="shared" si="15"/>
        <v>UIN SUNAN GUNUNG DJATI BANDUNGKIMIA</v>
      </c>
    </row>
    <row r="972" spans="1:17" ht="15.75" thickBot="1" x14ac:dyDescent="0.3">
      <c r="A972" s="7">
        <v>971</v>
      </c>
      <c r="B972" s="6">
        <v>33</v>
      </c>
      <c r="C972" s="17">
        <v>3361027</v>
      </c>
      <c r="D972" t="s">
        <v>66</v>
      </c>
      <c r="E972" s="17">
        <v>24</v>
      </c>
      <c r="F972" s="10" t="s">
        <v>20</v>
      </c>
      <c r="I972" s="38"/>
      <c r="J972" s="138">
        <v>500</v>
      </c>
      <c r="K972" s="138" t="s">
        <v>1292</v>
      </c>
      <c r="L972" s="138" t="s">
        <v>1292</v>
      </c>
      <c r="M972" s="32"/>
      <c r="N972" s="83">
        <v>500</v>
      </c>
      <c r="P972" t="str">
        <f>VLOOKUP(B972,PTN!A:B,2,FALSE)</f>
        <v>UIN SUNAN GUNUNG DJATI BANDUNG</v>
      </c>
      <c r="Q972" t="str">
        <f t="shared" si="15"/>
        <v>UIN SUNAN GUNUNG DJATI BANDUNGMATEMATIKA</v>
      </c>
    </row>
    <row r="973" spans="1:17" ht="15.75" thickBot="1" x14ac:dyDescent="0.3">
      <c r="A973" s="7">
        <v>972</v>
      </c>
      <c r="B973" s="6">
        <v>33</v>
      </c>
      <c r="C973" s="18">
        <v>3361074</v>
      </c>
      <c r="D973" t="s">
        <v>48</v>
      </c>
      <c r="E973" s="18">
        <v>24</v>
      </c>
      <c r="F973" s="10" t="s">
        <v>20</v>
      </c>
      <c r="I973" s="39"/>
      <c r="J973" s="138" t="s">
        <v>1292</v>
      </c>
      <c r="K973" s="138" t="s">
        <v>1292</v>
      </c>
      <c r="L973" s="138" t="s">
        <v>1292</v>
      </c>
      <c r="M973" s="33"/>
      <c r="N973" s="83" t="s">
        <v>1292</v>
      </c>
      <c r="P973" t="str">
        <f>VLOOKUP(B973,PTN!A:B,2,FALSE)</f>
        <v>UIN SUNAN GUNUNG DJATI BANDUNG</v>
      </c>
      <c r="Q973" t="str">
        <f t="shared" si="15"/>
        <v>UIN SUNAN GUNUNG DJATI BANDUNGTEKNIK ELEKTRO</v>
      </c>
    </row>
    <row r="974" spans="1:17" ht="15.75" thickBot="1" x14ac:dyDescent="0.3">
      <c r="A974" s="7">
        <v>973</v>
      </c>
      <c r="B974" s="6">
        <v>33</v>
      </c>
      <c r="C974" s="19">
        <v>3361066</v>
      </c>
      <c r="D974" t="s">
        <v>50</v>
      </c>
      <c r="E974" s="19">
        <v>36</v>
      </c>
      <c r="F974" s="10" t="s">
        <v>20</v>
      </c>
      <c r="I974" s="38"/>
      <c r="J974" s="138">
        <v>603.88</v>
      </c>
      <c r="K974" s="138">
        <v>612.255</v>
      </c>
      <c r="L974" s="138">
        <v>595.505</v>
      </c>
      <c r="M974" s="32"/>
      <c r="N974" s="83">
        <v>603.88</v>
      </c>
      <c r="P974" t="str">
        <f>VLOOKUP(B974,PTN!A:B,2,FALSE)</f>
        <v>UIN SUNAN GUNUNG DJATI BANDUNG</v>
      </c>
      <c r="Q974" t="str">
        <f t="shared" si="15"/>
        <v>UIN SUNAN GUNUNG DJATI BANDUNGTEKNIK INFORMATIKA</v>
      </c>
    </row>
    <row r="975" spans="1:17" ht="16.5" thickTop="1" thickBot="1" x14ac:dyDescent="0.3">
      <c r="A975" s="7">
        <v>974</v>
      </c>
      <c r="B975" s="6">
        <v>33</v>
      </c>
      <c r="C975" s="12">
        <v>3362054</v>
      </c>
      <c r="D975" t="s">
        <v>385</v>
      </c>
      <c r="E975" s="12">
        <v>68</v>
      </c>
      <c r="F975" s="10" t="s">
        <v>13</v>
      </c>
      <c r="I975" s="20"/>
      <c r="J975" s="138">
        <v>564.48</v>
      </c>
      <c r="K975" s="138">
        <v>572.61773000000005</v>
      </c>
      <c r="L975" s="138">
        <v>556.34226999999998</v>
      </c>
      <c r="M975" s="21"/>
      <c r="N975" s="83">
        <v>564.48</v>
      </c>
      <c r="P975" t="str">
        <f>VLOOKUP(B975,PTN!A:B,2,FALSE)</f>
        <v>UIN SUNAN GUNUNG DJATI BANDUNG</v>
      </c>
      <c r="Q975" t="str">
        <f t="shared" si="15"/>
        <v>UIN SUNAN GUNUNG DJATI BANDUNGADMINISTRASI PUBLIK</v>
      </c>
    </row>
    <row r="976" spans="1:17" ht="15.75" thickBot="1" x14ac:dyDescent="0.3">
      <c r="A976" s="7">
        <v>975</v>
      </c>
      <c r="B976" s="6">
        <v>33</v>
      </c>
      <c r="C976" s="13">
        <v>3362085</v>
      </c>
      <c r="D976" t="s">
        <v>311</v>
      </c>
      <c r="E976" s="13">
        <v>72</v>
      </c>
      <c r="F976" s="10" t="s">
        <v>13</v>
      </c>
      <c r="I976" s="22"/>
      <c r="J976" s="138">
        <v>550</v>
      </c>
      <c r="K976" s="138" t="s">
        <v>1292</v>
      </c>
      <c r="L976" s="138" t="s">
        <v>1292</v>
      </c>
      <c r="M976" s="21"/>
      <c r="N976" s="83">
        <v>550</v>
      </c>
      <c r="P976" t="str">
        <f>VLOOKUP(B976,PTN!A:B,2,FALSE)</f>
        <v>UIN SUNAN GUNUNG DJATI BANDUNG</v>
      </c>
      <c r="Q976" t="str">
        <f t="shared" si="15"/>
        <v>UIN SUNAN GUNUNG DJATI BANDUNGBAHASA DAN SASTRA INGGRIS</v>
      </c>
    </row>
    <row r="977" spans="1:17" ht="16.5" thickTop="1" thickBot="1" x14ac:dyDescent="0.3">
      <c r="A977" s="7">
        <v>976</v>
      </c>
      <c r="B977" s="6">
        <v>33</v>
      </c>
      <c r="C977" s="12">
        <v>3362031</v>
      </c>
      <c r="D977" t="s">
        <v>31</v>
      </c>
      <c r="E977" s="12">
        <v>41</v>
      </c>
      <c r="F977" s="10" t="s">
        <v>13</v>
      </c>
      <c r="I977" s="23"/>
      <c r="J977" s="138">
        <v>575.24</v>
      </c>
      <c r="K977" s="138">
        <v>583.37773000000004</v>
      </c>
      <c r="L977" s="138">
        <v>567.10226999999998</v>
      </c>
      <c r="M977" s="25"/>
      <c r="N977" s="83">
        <v>575.24</v>
      </c>
      <c r="P977" t="str">
        <f>VLOOKUP(B977,PTN!A:B,2,FALSE)</f>
        <v>UIN SUNAN GUNUNG DJATI BANDUNG</v>
      </c>
      <c r="Q977" t="str">
        <f t="shared" si="15"/>
        <v>UIN SUNAN GUNUNG DJATI BANDUNGILMU HUKUM</v>
      </c>
    </row>
    <row r="978" spans="1:17" ht="16.5" thickTop="1" thickBot="1" x14ac:dyDescent="0.3">
      <c r="A978" s="7">
        <v>977</v>
      </c>
      <c r="B978" s="6">
        <v>33</v>
      </c>
      <c r="C978" s="13">
        <v>3362062</v>
      </c>
      <c r="D978" t="s">
        <v>386</v>
      </c>
      <c r="E978" s="13">
        <v>27</v>
      </c>
      <c r="F978" s="10" t="s">
        <v>13</v>
      </c>
      <c r="I978" s="26"/>
      <c r="J978" s="138">
        <v>570.95000000000005</v>
      </c>
      <c r="K978" s="138">
        <v>579.08773000000008</v>
      </c>
      <c r="L978" s="138">
        <v>562.81227000000001</v>
      </c>
      <c r="M978" s="27"/>
      <c r="N978" s="83">
        <v>570.95000000000005</v>
      </c>
      <c r="P978" t="str">
        <f>VLOOKUP(B978,PTN!A:B,2,FALSE)</f>
        <v>UIN SUNAN GUNUNG DJATI BANDUNG</v>
      </c>
      <c r="Q978" t="str">
        <f t="shared" si="15"/>
        <v>UIN SUNAN GUNUNG DJATI BANDUNGILMU KOM. KONST. HUMAS</v>
      </c>
    </row>
    <row r="979" spans="1:17" ht="15.75" thickBot="1" x14ac:dyDescent="0.3">
      <c r="A979" s="7">
        <v>978</v>
      </c>
      <c r="B979" s="6">
        <v>33</v>
      </c>
      <c r="C979" s="12">
        <v>3362077</v>
      </c>
      <c r="D979" t="s">
        <v>387</v>
      </c>
      <c r="E979" s="12">
        <v>48</v>
      </c>
      <c r="F979" s="10" t="s">
        <v>13</v>
      </c>
      <c r="I979" s="87"/>
      <c r="J979" s="138">
        <v>450</v>
      </c>
      <c r="K979" s="138" t="s">
        <v>1292</v>
      </c>
      <c r="L979" s="138" t="s">
        <v>1292</v>
      </c>
      <c r="M979" s="28"/>
      <c r="N979" s="83">
        <v>450</v>
      </c>
      <c r="P979" t="str">
        <f>VLOOKUP(B979,PTN!A:B,2,FALSE)</f>
        <v>UIN SUNAN GUNUNG DJATI BANDUNG</v>
      </c>
      <c r="Q979" t="str">
        <f t="shared" si="15"/>
        <v>UIN SUNAN GUNUNG DJATI BANDUNGILMU KOM. KONST. JURNALISTIK</v>
      </c>
    </row>
    <row r="980" spans="1:17" ht="15.75" thickBot="1" x14ac:dyDescent="0.3">
      <c r="A980" s="7">
        <v>979</v>
      </c>
      <c r="B980" s="6">
        <v>33</v>
      </c>
      <c r="C980" s="13">
        <v>3362305</v>
      </c>
      <c r="D980" t="s">
        <v>33</v>
      </c>
      <c r="E980" s="13">
        <v>27</v>
      </c>
      <c r="F980" s="10" t="s">
        <v>13</v>
      </c>
      <c r="I980" s="26"/>
      <c r="J980" s="138" t="s">
        <v>1292</v>
      </c>
      <c r="K980" s="138" t="s">
        <v>1292</v>
      </c>
      <c r="L980" s="138" t="s">
        <v>1292</v>
      </c>
      <c r="M980" s="27"/>
      <c r="N980" s="83" t="s">
        <v>1292</v>
      </c>
      <c r="P980" t="str">
        <f>VLOOKUP(B980,PTN!A:B,2,FALSE)</f>
        <v>UIN SUNAN GUNUNG DJATI BANDUNG</v>
      </c>
      <c r="Q980" t="str">
        <f t="shared" si="15"/>
        <v>UIN SUNAN GUNUNG DJATI BANDUNGILMU POLITIK</v>
      </c>
    </row>
    <row r="981" spans="1:17" ht="15.75" thickBot="1" x14ac:dyDescent="0.3">
      <c r="A981" s="7">
        <v>980</v>
      </c>
      <c r="B981" s="6">
        <v>33</v>
      </c>
      <c r="C981" s="12">
        <v>3362046</v>
      </c>
      <c r="D981" t="s">
        <v>61</v>
      </c>
      <c r="E981" s="12">
        <v>54</v>
      </c>
      <c r="F981" s="10" t="s">
        <v>13</v>
      </c>
      <c r="I981" s="87"/>
      <c r="J981" s="138">
        <v>570.09</v>
      </c>
      <c r="K981" s="138">
        <v>578.22773000000007</v>
      </c>
      <c r="L981" s="138">
        <v>561.95227</v>
      </c>
      <c r="M981" s="28"/>
      <c r="N981" s="83">
        <v>570.09</v>
      </c>
      <c r="P981" t="str">
        <f>VLOOKUP(B981,PTN!A:B,2,FALSE)</f>
        <v>UIN SUNAN GUNUNG DJATI BANDUNG</v>
      </c>
      <c r="Q981" t="str">
        <f t="shared" si="15"/>
        <v>UIN SUNAN GUNUNG DJATI BANDUNGMANAJEMEN</v>
      </c>
    </row>
    <row r="982" spans="1:17" ht="15.75" thickBot="1" x14ac:dyDescent="0.3">
      <c r="A982" s="7">
        <v>981</v>
      </c>
      <c r="B982" s="6">
        <v>33</v>
      </c>
      <c r="C982" s="13">
        <v>3362093</v>
      </c>
      <c r="D982" t="s">
        <v>36</v>
      </c>
      <c r="E982" s="13">
        <v>54</v>
      </c>
      <c r="F982" s="10" t="s">
        <v>13</v>
      </c>
      <c r="I982" s="26"/>
      <c r="J982" s="138">
        <v>575.55999999999995</v>
      </c>
      <c r="K982" s="138">
        <v>583.69772999999998</v>
      </c>
      <c r="L982" s="138">
        <v>567.42226999999991</v>
      </c>
      <c r="M982" s="27"/>
      <c r="N982" s="83">
        <v>575.55999999999995</v>
      </c>
      <c r="P982" t="str">
        <f>VLOOKUP(B982,PTN!A:B,2,FALSE)</f>
        <v>UIN SUNAN GUNUNG DJATI BANDUNG</v>
      </c>
      <c r="Q982" t="str">
        <f t="shared" si="15"/>
        <v>UIN SUNAN GUNUNG DJATI BANDUNGPSIKOLOGI</v>
      </c>
    </row>
    <row r="983" spans="1:17" ht="15.75" thickBot="1" x14ac:dyDescent="0.3">
      <c r="A983" s="7">
        <v>982</v>
      </c>
      <c r="B983" s="6">
        <v>33</v>
      </c>
      <c r="C983" s="14">
        <v>3362015</v>
      </c>
      <c r="D983" t="s">
        <v>63</v>
      </c>
      <c r="E983" s="14">
        <v>81</v>
      </c>
      <c r="F983" s="10" t="s">
        <v>13</v>
      </c>
      <c r="I983" s="87"/>
      <c r="J983" s="138">
        <v>450</v>
      </c>
      <c r="K983" s="138" t="s">
        <v>1292</v>
      </c>
      <c r="L983" s="138" t="s">
        <v>1292</v>
      </c>
      <c r="M983" s="28"/>
      <c r="N983" s="83">
        <v>450</v>
      </c>
      <c r="P983" t="str">
        <f>VLOOKUP(B983,PTN!A:B,2,FALSE)</f>
        <v>UIN SUNAN GUNUNG DJATI BANDUNG</v>
      </c>
      <c r="Q983" t="str">
        <f t="shared" si="15"/>
        <v>UIN SUNAN GUNUNG DJATI BANDUNGSOSIOLOGI</v>
      </c>
    </row>
    <row r="984" spans="1:17" ht="16.5" thickTop="1" thickBot="1" x14ac:dyDescent="0.3">
      <c r="A984" s="7">
        <v>983</v>
      </c>
      <c r="B984" s="6">
        <v>30</v>
      </c>
      <c r="C984" s="17">
        <v>3331083</v>
      </c>
      <c r="D984" t="s">
        <v>37</v>
      </c>
      <c r="E984" s="17">
        <v>30</v>
      </c>
      <c r="F984" s="10" t="s">
        <v>20</v>
      </c>
      <c r="I984" s="20"/>
      <c r="J984" s="138">
        <v>626.73</v>
      </c>
      <c r="K984" s="138">
        <v>636.04</v>
      </c>
      <c r="L984" s="138">
        <v>617.42000000000007</v>
      </c>
      <c r="M984" s="21"/>
      <c r="N984" s="83">
        <v>626.73</v>
      </c>
      <c r="P984" t="str">
        <f>VLOOKUP(B984,PTN!A:B,2,FALSE)</f>
        <v>UNIVERSITAS PADJADJARAN</v>
      </c>
      <c r="Q984" t="str">
        <f t="shared" si="15"/>
        <v>UNIVERSITAS PADJADJARANAGRIBISNIS</v>
      </c>
    </row>
    <row r="985" spans="1:17" ht="15.75" thickBot="1" x14ac:dyDescent="0.3">
      <c r="A985" s="7">
        <v>984</v>
      </c>
      <c r="B985" s="6">
        <v>30</v>
      </c>
      <c r="C985" s="18">
        <v>3331075</v>
      </c>
      <c r="D985" t="s">
        <v>64</v>
      </c>
      <c r="E985" s="18">
        <v>75</v>
      </c>
      <c r="F985" s="10" t="s">
        <v>20</v>
      </c>
      <c r="J985" s="138">
        <v>615.21</v>
      </c>
      <c r="K985" s="138">
        <v>622.05000000000007</v>
      </c>
      <c r="L985" s="138">
        <v>608.37</v>
      </c>
      <c r="M985" s="21"/>
      <c r="N985" s="83">
        <v>615.21</v>
      </c>
      <c r="P985" t="str">
        <f>VLOOKUP(B985,PTN!A:B,2,FALSE)</f>
        <v>UNIVERSITAS PADJADJARAN</v>
      </c>
      <c r="Q985" t="str">
        <f t="shared" si="15"/>
        <v>UNIVERSITAS PADJADJARANAGROTEKNOLOGI</v>
      </c>
    </row>
    <row r="986" spans="1:17" ht="16.5" thickTop="1" thickBot="1" x14ac:dyDescent="0.3">
      <c r="A986" s="7">
        <v>985</v>
      </c>
      <c r="B986" s="6">
        <v>30</v>
      </c>
      <c r="C986" s="17">
        <v>3331052</v>
      </c>
      <c r="D986" t="s">
        <v>21</v>
      </c>
      <c r="E986" s="17">
        <v>30</v>
      </c>
      <c r="F986" s="10" t="s">
        <v>20</v>
      </c>
      <c r="I986" s="36"/>
      <c r="J986" s="138">
        <v>632.57000000000005</v>
      </c>
      <c r="K986" s="138">
        <v>640.45000000000005</v>
      </c>
      <c r="L986" s="138">
        <v>624.69000000000005</v>
      </c>
      <c r="M986" s="31"/>
      <c r="N986" s="83">
        <v>632.57000000000005</v>
      </c>
      <c r="P986" t="str">
        <f>VLOOKUP(B986,PTN!A:B,2,FALSE)</f>
        <v>UNIVERSITAS PADJADJARAN</v>
      </c>
      <c r="Q986" t="str">
        <f t="shared" si="15"/>
        <v>UNIVERSITAS PADJADJARANBIOLOGI</v>
      </c>
    </row>
    <row r="987" spans="1:17" ht="16.5" thickTop="1" thickBot="1" x14ac:dyDescent="0.3">
      <c r="A987" s="7">
        <v>986</v>
      </c>
      <c r="B987" s="6">
        <v>30</v>
      </c>
      <c r="C987" s="18">
        <v>3331164</v>
      </c>
      <c r="D987" t="s">
        <v>77</v>
      </c>
      <c r="E987" s="18">
        <v>40</v>
      </c>
      <c r="F987" s="10" t="s">
        <v>20</v>
      </c>
      <c r="I987" s="38"/>
      <c r="J987" s="138">
        <v>659.09</v>
      </c>
      <c r="K987" s="138">
        <v>670.03000000000009</v>
      </c>
      <c r="L987" s="138">
        <v>648.15</v>
      </c>
      <c r="M987" s="32"/>
      <c r="N987" s="83">
        <v>659.09</v>
      </c>
      <c r="P987" t="str">
        <f>VLOOKUP(B987,PTN!A:B,2,FALSE)</f>
        <v>UNIVERSITAS PADJADJARAN</v>
      </c>
      <c r="Q987" t="str">
        <f t="shared" si="15"/>
        <v>UNIVERSITAS PADJADJARANFARMASI</v>
      </c>
    </row>
    <row r="988" spans="1:17" ht="15.75" thickBot="1" x14ac:dyDescent="0.3">
      <c r="A988" s="7">
        <v>987</v>
      </c>
      <c r="B988" s="6">
        <v>30</v>
      </c>
      <c r="C988" s="17">
        <v>3331044</v>
      </c>
      <c r="D988" t="s">
        <v>65</v>
      </c>
      <c r="E988" s="17">
        <v>20</v>
      </c>
      <c r="F988" s="10" t="s">
        <v>20</v>
      </c>
      <c r="I988" s="39"/>
      <c r="J988" s="138">
        <v>631.65</v>
      </c>
      <c r="K988" s="138">
        <v>639.29999999999995</v>
      </c>
      <c r="L988" s="138">
        <v>624</v>
      </c>
      <c r="M988" s="33"/>
      <c r="N988" s="83">
        <v>631.65</v>
      </c>
      <c r="P988" t="str">
        <f>VLOOKUP(B988,PTN!A:B,2,FALSE)</f>
        <v>UNIVERSITAS PADJADJARAN</v>
      </c>
      <c r="Q988" t="str">
        <f t="shared" si="15"/>
        <v>UNIVERSITAS PADJADJARANFISIKA</v>
      </c>
    </row>
    <row r="989" spans="1:17" ht="15.75" thickBot="1" x14ac:dyDescent="0.3">
      <c r="A989" s="7">
        <v>988</v>
      </c>
      <c r="B989" s="6">
        <v>30</v>
      </c>
      <c r="C989" s="18">
        <v>3331195</v>
      </c>
      <c r="D989" t="s">
        <v>246</v>
      </c>
      <c r="E989" s="18">
        <v>15</v>
      </c>
      <c r="F989" s="10" t="s">
        <v>20</v>
      </c>
      <c r="I989" s="38"/>
      <c r="J989" s="138">
        <v>636.78</v>
      </c>
      <c r="K989" s="138">
        <v>642.72</v>
      </c>
      <c r="L989" s="138">
        <v>630.83999999999992</v>
      </c>
      <c r="M989" s="32"/>
      <c r="N989" s="83">
        <v>636.78</v>
      </c>
      <c r="P989" t="str">
        <f>VLOOKUP(B989,PTN!A:B,2,FALSE)</f>
        <v>UNIVERSITAS PADJADJARAN</v>
      </c>
      <c r="Q989" t="str">
        <f t="shared" si="15"/>
        <v>UNIVERSITAS PADJADJARANGEOFISIKA</v>
      </c>
    </row>
    <row r="990" spans="1:17" ht="15.75" thickBot="1" x14ac:dyDescent="0.3">
      <c r="A990" s="7">
        <v>989</v>
      </c>
      <c r="B990" s="6">
        <v>30</v>
      </c>
      <c r="C990" s="17">
        <v>3331133</v>
      </c>
      <c r="D990" t="s">
        <v>40</v>
      </c>
      <c r="E990" s="17">
        <v>25</v>
      </c>
      <c r="F990" s="10" t="s">
        <v>20</v>
      </c>
      <c r="I990" s="39"/>
      <c r="J990" s="138">
        <v>611.53</v>
      </c>
      <c r="K990" s="138">
        <v>620.22500000000002</v>
      </c>
      <c r="L990" s="138">
        <v>602.83499999999992</v>
      </c>
      <c r="M990" s="33"/>
      <c r="N990" s="83">
        <v>611.53</v>
      </c>
      <c r="P990" t="str">
        <f>VLOOKUP(B990,PTN!A:B,2,FALSE)</f>
        <v>UNIVERSITAS PADJADJARAN</v>
      </c>
      <c r="Q990" t="str">
        <f t="shared" si="15"/>
        <v>UNIVERSITAS PADJADJARANILMU KELAUTAN</v>
      </c>
    </row>
    <row r="991" spans="1:17" ht="15.75" thickBot="1" x14ac:dyDescent="0.3">
      <c r="A991" s="7">
        <v>990</v>
      </c>
      <c r="B991" s="6">
        <v>30</v>
      </c>
      <c r="C991" s="18">
        <v>3331125</v>
      </c>
      <c r="D991" t="s">
        <v>78</v>
      </c>
      <c r="E991" s="18">
        <v>40</v>
      </c>
      <c r="F991" s="10" t="s">
        <v>20</v>
      </c>
      <c r="I991" s="38"/>
      <c r="J991" s="138">
        <v>628.70000000000005</v>
      </c>
      <c r="K991" s="138">
        <v>641.08000000000004</v>
      </c>
      <c r="L991" s="138">
        <v>616.32000000000005</v>
      </c>
      <c r="M991" s="32"/>
      <c r="N991" s="83">
        <v>628.70000000000005</v>
      </c>
      <c r="P991" t="str">
        <f>VLOOKUP(B991,PTN!A:B,2,FALSE)</f>
        <v>UNIVERSITAS PADJADJARAN</v>
      </c>
      <c r="Q991" t="str">
        <f t="shared" si="15"/>
        <v>UNIVERSITAS PADJADJARANILMU KEPERAWATAN</v>
      </c>
    </row>
    <row r="992" spans="1:17" ht="15.75" thickBot="1" x14ac:dyDescent="0.3">
      <c r="A992" s="7">
        <v>991</v>
      </c>
      <c r="B992" s="6">
        <v>30</v>
      </c>
      <c r="C992" s="17">
        <v>3331102</v>
      </c>
      <c r="D992" t="s">
        <v>212</v>
      </c>
      <c r="E992" s="17">
        <v>100</v>
      </c>
      <c r="F992" s="10" t="s">
        <v>20</v>
      </c>
      <c r="I992" s="39"/>
      <c r="J992" s="138">
        <v>620</v>
      </c>
      <c r="K992" s="138" t="s">
        <v>1292</v>
      </c>
      <c r="L992" s="138" t="s">
        <v>1292</v>
      </c>
      <c r="M992" s="33"/>
      <c r="N992" s="83">
        <v>620</v>
      </c>
      <c r="P992" t="str">
        <f>VLOOKUP(B992,PTN!A:B,2,FALSE)</f>
        <v>UNIVERSITAS PADJADJARAN</v>
      </c>
      <c r="Q992" t="str">
        <f t="shared" si="15"/>
        <v>UNIVERSITAS PADJADJARANILMU PETERNAKAN</v>
      </c>
    </row>
    <row r="993" spans="1:17" ht="15.75" thickBot="1" x14ac:dyDescent="0.3">
      <c r="A993" s="7">
        <v>992</v>
      </c>
      <c r="B993" s="6">
        <v>30</v>
      </c>
      <c r="C993" s="18">
        <v>3331237</v>
      </c>
      <c r="D993" t="s">
        <v>348</v>
      </c>
      <c r="E993" s="18">
        <v>15</v>
      </c>
      <c r="F993" s="10" t="s">
        <v>20</v>
      </c>
      <c r="I993" s="38"/>
      <c r="J993" s="138">
        <v>626.5</v>
      </c>
      <c r="K993" s="138">
        <v>637.48</v>
      </c>
      <c r="L993" s="138">
        <v>615.52</v>
      </c>
      <c r="M993" s="32"/>
      <c r="N993" s="83">
        <v>626.5</v>
      </c>
      <c r="P993" t="str">
        <f>VLOOKUP(B993,PTN!A:B,2,FALSE)</f>
        <v>UNIVERSITAS PADJADJARAN</v>
      </c>
      <c r="Q993" t="str">
        <f t="shared" si="15"/>
        <v>UNIVERSITAS PADJADJARANKEDOKTERAN HEWAN</v>
      </c>
    </row>
    <row r="994" spans="1:17" ht="15.75" thickBot="1" x14ac:dyDescent="0.3">
      <c r="A994" s="7">
        <v>993</v>
      </c>
      <c r="B994" s="6">
        <v>30</v>
      </c>
      <c r="C994" s="17">
        <v>3331036</v>
      </c>
      <c r="D994" t="s">
        <v>22</v>
      </c>
      <c r="E994" s="17">
        <v>25</v>
      </c>
      <c r="F994" s="10" t="s">
        <v>20</v>
      </c>
      <c r="I994" s="39"/>
      <c r="J994" s="138">
        <v>645.6</v>
      </c>
      <c r="K994" s="138">
        <v>652.16500000000008</v>
      </c>
      <c r="L994" s="138">
        <v>639.03499999999997</v>
      </c>
      <c r="M994" s="33"/>
      <c r="N994" s="83">
        <v>645.6</v>
      </c>
      <c r="P994" t="str">
        <f>VLOOKUP(B994,PTN!A:B,2,FALSE)</f>
        <v>UNIVERSITAS PADJADJARAN</v>
      </c>
      <c r="Q994" t="str">
        <f t="shared" si="15"/>
        <v>UNIVERSITAS PADJADJARANKIMIA</v>
      </c>
    </row>
    <row r="995" spans="1:17" ht="15.75" thickBot="1" x14ac:dyDescent="0.3">
      <c r="A995" s="7">
        <v>994</v>
      </c>
      <c r="B995" s="6">
        <v>30</v>
      </c>
      <c r="C995" s="18">
        <v>3331021</v>
      </c>
      <c r="D995" t="s">
        <v>66</v>
      </c>
      <c r="E995" s="18">
        <v>25</v>
      </c>
      <c r="F995" s="10" t="s">
        <v>20</v>
      </c>
      <c r="I995" s="38"/>
      <c r="J995" s="138">
        <v>652.66999999999996</v>
      </c>
      <c r="K995" s="138">
        <v>662.27499999999998</v>
      </c>
      <c r="L995" s="138">
        <v>643.06499999999994</v>
      </c>
      <c r="M995" s="32"/>
      <c r="N995" s="83">
        <v>652.66999999999996</v>
      </c>
      <c r="P995" t="str">
        <f>VLOOKUP(B995,PTN!A:B,2,FALSE)</f>
        <v>UNIVERSITAS PADJADJARAN</v>
      </c>
      <c r="Q995" t="str">
        <f t="shared" si="15"/>
        <v>UNIVERSITAS PADJADJARANMATEMATIKA</v>
      </c>
    </row>
    <row r="996" spans="1:17" ht="15.75" thickBot="1" x14ac:dyDescent="0.3">
      <c r="A996" s="7">
        <v>995</v>
      </c>
      <c r="B996" s="6">
        <v>30</v>
      </c>
      <c r="C996" s="17">
        <v>3331013</v>
      </c>
      <c r="D996" t="s">
        <v>41</v>
      </c>
      <c r="E996" s="17">
        <v>75</v>
      </c>
      <c r="F996" s="10" t="s">
        <v>20</v>
      </c>
      <c r="I996" s="39"/>
      <c r="J996" s="138">
        <v>717.94</v>
      </c>
      <c r="K996" s="138">
        <v>727.28500000000008</v>
      </c>
      <c r="L996" s="138">
        <v>708.59500000000003</v>
      </c>
      <c r="M996" s="33"/>
      <c r="N996" s="83">
        <v>717.94</v>
      </c>
      <c r="P996" t="str">
        <f>VLOOKUP(B996,PTN!A:B,2,FALSE)</f>
        <v>UNIVERSITAS PADJADJARAN</v>
      </c>
      <c r="Q996" t="str">
        <f t="shared" si="15"/>
        <v>UNIVERSITAS PADJADJARANPENDIDIKAN DOKTER</v>
      </c>
    </row>
    <row r="997" spans="1:17" ht="15.75" thickBot="1" x14ac:dyDescent="0.3">
      <c r="A997" s="7">
        <v>996</v>
      </c>
      <c r="B997" s="6">
        <v>30</v>
      </c>
      <c r="C997" s="18">
        <v>3331091</v>
      </c>
      <c r="D997" t="s">
        <v>85</v>
      </c>
      <c r="E997" s="18">
        <v>35</v>
      </c>
      <c r="F997" s="10" t="s">
        <v>20</v>
      </c>
      <c r="I997" s="38"/>
      <c r="J997" s="138">
        <v>675.26</v>
      </c>
      <c r="K997" s="138">
        <v>685.84</v>
      </c>
      <c r="L997" s="138">
        <v>664.68</v>
      </c>
      <c r="M997" s="32"/>
      <c r="N997" s="83">
        <v>675.26</v>
      </c>
      <c r="P997" t="str">
        <f>VLOOKUP(B997,PTN!A:B,2,FALSE)</f>
        <v>UNIVERSITAS PADJADJARAN</v>
      </c>
      <c r="Q997" t="str">
        <f t="shared" si="15"/>
        <v>UNIVERSITAS PADJADJARANPENDIDIKAN DOKTER GIGI</v>
      </c>
    </row>
    <row r="998" spans="1:17" ht="15.75" thickBot="1" x14ac:dyDescent="0.3">
      <c r="A998" s="7">
        <v>997</v>
      </c>
      <c r="B998" s="6">
        <v>30</v>
      </c>
      <c r="C998" s="17">
        <v>3331117</v>
      </c>
      <c r="D998" t="s">
        <v>108</v>
      </c>
      <c r="E998" s="17">
        <v>40</v>
      </c>
      <c r="F998" s="10" t="s">
        <v>20</v>
      </c>
      <c r="I998" s="39"/>
      <c r="J998" s="138">
        <v>600</v>
      </c>
      <c r="K998" s="138" t="s">
        <v>1292</v>
      </c>
      <c r="L998" s="138" t="s">
        <v>1292</v>
      </c>
      <c r="M998" s="33"/>
      <c r="N998" s="83">
        <v>600</v>
      </c>
      <c r="P998" t="str">
        <f>VLOOKUP(B998,PTN!A:B,2,FALSE)</f>
        <v>UNIVERSITAS PADJADJARAN</v>
      </c>
      <c r="Q998" t="str">
        <f t="shared" si="15"/>
        <v>UNIVERSITAS PADJADJARANPERIKANAN</v>
      </c>
    </row>
    <row r="999" spans="1:17" ht="15.75" thickBot="1" x14ac:dyDescent="0.3">
      <c r="A999" s="7">
        <v>998</v>
      </c>
      <c r="B999" s="6">
        <v>30</v>
      </c>
      <c r="C999" s="18">
        <v>3331187</v>
      </c>
      <c r="D999" t="s">
        <v>36</v>
      </c>
      <c r="E999" s="18">
        <v>40</v>
      </c>
      <c r="F999" s="10" t="s">
        <v>20</v>
      </c>
      <c r="I999" s="38"/>
      <c r="J999" s="138">
        <v>683.58</v>
      </c>
      <c r="K999" s="138">
        <v>695.07</v>
      </c>
      <c r="L999" s="138">
        <v>672.09</v>
      </c>
      <c r="M999" s="32"/>
      <c r="N999" s="83">
        <v>683.58</v>
      </c>
      <c r="P999" t="str">
        <f>VLOOKUP(B999,PTN!A:B,2,FALSE)</f>
        <v>UNIVERSITAS PADJADJARAN</v>
      </c>
      <c r="Q999" t="str">
        <f t="shared" si="15"/>
        <v>UNIVERSITAS PADJADJARANPSIKOLOGI</v>
      </c>
    </row>
    <row r="1000" spans="1:17" ht="15.75" thickBot="1" x14ac:dyDescent="0.3">
      <c r="A1000" s="7">
        <v>999</v>
      </c>
      <c r="B1000" s="6">
        <v>30</v>
      </c>
      <c r="C1000" s="17">
        <v>3331067</v>
      </c>
      <c r="D1000" t="s">
        <v>90</v>
      </c>
      <c r="E1000" s="17">
        <v>25</v>
      </c>
      <c r="F1000" s="10" t="s">
        <v>20</v>
      </c>
      <c r="I1000" s="39"/>
      <c r="J1000" s="138">
        <v>656.38</v>
      </c>
      <c r="K1000" s="138">
        <v>668.375</v>
      </c>
      <c r="L1000" s="138">
        <v>644.38499999999999</v>
      </c>
      <c r="M1000" s="33"/>
      <c r="N1000" s="83">
        <v>656.38</v>
      </c>
      <c r="P1000" t="str">
        <f>VLOOKUP(B1000,PTN!A:B,2,FALSE)</f>
        <v>UNIVERSITAS PADJADJARAN</v>
      </c>
      <c r="Q1000" t="str">
        <f t="shared" si="15"/>
        <v>UNIVERSITAS PADJADJARANSTATISTIKA</v>
      </c>
    </row>
    <row r="1001" spans="1:17" ht="15.75" thickBot="1" x14ac:dyDescent="0.3">
      <c r="A1001" s="7">
        <v>1000</v>
      </c>
      <c r="B1001" s="6">
        <v>30</v>
      </c>
      <c r="C1001" s="18">
        <v>3331222</v>
      </c>
      <c r="D1001" t="s">
        <v>48</v>
      </c>
      <c r="E1001" s="18">
        <v>15</v>
      </c>
      <c r="F1001" s="10" t="s">
        <v>20</v>
      </c>
      <c r="I1001" s="38"/>
      <c r="J1001" s="138">
        <v>648.1</v>
      </c>
      <c r="K1001" s="138">
        <v>657.91500000000008</v>
      </c>
      <c r="L1001" s="138">
        <v>638.28499999999997</v>
      </c>
      <c r="M1001" s="32"/>
      <c r="N1001" s="83">
        <v>648.1</v>
      </c>
      <c r="P1001" t="str">
        <f>VLOOKUP(B1001,PTN!A:B,2,FALSE)</f>
        <v>UNIVERSITAS PADJADJARAN</v>
      </c>
      <c r="Q1001" t="str">
        <f t="shared" si="15"/>
        <v>UNIVERSITAS PADJADJARANTEKNIK ELEKTRO</v>
      </c>
    </row>
    <row r="1002" spans="1:17" ht="15.75" thickBot="1" x14ac:dyDescent="0.3">
      <c r="A1002" s="7">
        <v>1001</v>
      </c>
      <c r="B1002" s="6">
        <v>30</v>
      </c>
      <c r="C1002" s="17">
        <v>3331172</v>
      </c>
      <c r="D1002" t="s">
        <v>92</v>
      </c>
      <c r="E1002" s="17">
        <v>40</v>
      </c>
      <c r="F1002" s="10" t="s">
        <v>20</v>
      </c>
      <c r="I1002" s="39"/>
      <c r="J1002" s="138">
        <v>645.72</v>
      </c>
      <c r="K1002" s="138">
        <v>655.95</v>
      </c>
      <c r="L1002" s="138">
        <v>635.49</v>
      </c>
      <c r="M1002" s="33"/>
      <c r="N1002" s="83">
        <v>645.72</v>
      </c>
      <c r="P1002" t="str">
        <f>VLOOKUP(B1002,PTN!A:B,2,FALSE)</f>
        <v>UNIVERSITAS PADJADJARAN</v>
      </c>
      <c r="Q1002" t="str">
        <f t="shared" si="15"/>
        <v>UNIVERSITAS PADJADJARANTEKNIK GEOLOGI</v>
      </c>
    </row>
    <row r="1003" spans="1:17" ht="15.75" thickBot="1" x14ac:dyDescent="0.3">
      <c r="A1003" s="7">
        <v>1002</v>
      </c>
      <c r="B1003" s="6">
        <v>30</v>
      </c>
      <c r="C1003" s="18">
        <v>3331206</v>
      </c>
      <c r="D1003" t="s">
        <v>50</v>
      </c>
      <c r="E1003" s="18">
        <v>20</v>
      </c>
      <c r="F1003" s="10" t="s">
        <v>20</v>
      </c>
      <c r="I1003" s="38"/>
      <c r="J1003" s="138">
        <v>663.9</v>
      </c>
      <c r="K1003" s="138">
        <v>671.44499999999994</v>
      </c>
      <c r="L1003" s="138">
        <v>656.35500000000002</v>
      </c>
      <c r="M1003" s="32"/>
      <c r="N1003" s="83">
        <v>663.9</v>
      </c>
      <c r="P1003" t="str">
        <f>VLOOKUP(B1003,PTN!A:B,2,FALSE)</f>
        <v>UNIVERSITAS PADJADJARAN</v>
      </c>
      <c r="Q1003" t="str">
        <f t="shared" si="15"/>
        <v>UNIVERSITAS PADJADJARANTEKNIK INFORMATIKA</v>
      </c>
    </row>
    <row r="1004" spans="1:17" ht="15.75" thickBot="1" x14ac:dyDescent="0.3">
      <c r="A1004" s="7">
        <v>1003</v>
      </c>
      <c r="B1004" s="6">
        <v>30</v>
      </c>
      <c r="C1004" s="17">
        <v>3331156</v>
      </c>
      <c r="D1004" t="s">
        <v>95</v>
      </c>
      <c r="E1004" s="17">
        <v>25</v>
      </c>
      <c r="F1004" s="10" t="s">
        <v>20</v>
      </c>
      <c r="I1004" s="39"/>
      <c r="J1004" s="138">
        <v>609.92999999999995</v>
      </c>
      <c r="K1004" s="138">
        <v>617.38</v>
      </c>
      <c r="L1004" s="138">
        <v>602.4799999999999</v>
      </c>
      <c r="M1004" s="33"/>
      <c r="N1004" s="83">
        <v>609.92999999999995</v>
      </c>
      <c r="P1004" t="str">
        <f>VLOOKUP(B1004,PTN!A:B,2,FALSE)</f>
        <v>UNIVERSITAS PADJADJARAN</v>
      </c>
      <c r="Q1004" t="str">
        <f t="shared" si="15"/>
        <v>UNIVERSITAS PADJADJARANTEKNIK PERTANIAN</v>
      </c>
    </row>
    <row r="1005" spans="1:17" ht="15.75" thickBot="1" x14ac:dyDescent="0.3">
      <c r="A1005" s="7">
        <v>1004</v>
      </c>
      <c r="B1005" s="6">
        <v>30</v>
      </c>
      <c r="C1005" s="18">
        <v>3331214</v>
      </c>
      <c r="D1005" t="s">
        <v>166</v>
      </c>
      <c r="E1005" s="18">
        <v>15</v>
      </c>
      <c r="F1005" s="10" t="s">
        <v>20</v>
      </c>
      <c r="I1005" s="38"/>
      <c r="J1005" s="138">
        <v>619.66</v>
      </c>
      <c r="K1005" s="138">
        <v>625.93999999999994</v>
      </c>
      <c r="L1005" s="138">
        <v>613.38</v>
      </c>
      <c r="M1005" s="32"/>
      <c r="N1005" s="83">
        <v>619.66</v>
      </c>
      <c r="P1005" t="str">
        <f>VLOOKUP(B1005,PTN!A:B,2,FALSE)</f>
        <v>UNIVERSITAS PADJADJARAN</v>
      </c>
      <c r="Q1005" t="str">
        <f t="shared" si="15"/>
        <v>UNIVERSITAS PADJADJARANTEKNOLOGI INDUSTRI PERTANIAN</v>
      </c>
    </row>
    <row r="1006" spans="1:17" ht="15.75" thickBot="1" x14ac:dyDescent="0.3">
      <c r="A1006" s="7">
        <v>1005</v>
      </c>
      <c r="B1006" s="6">
        <v>30</v>
      </c>
      <c r="C1006" s="19">
        <v>3331141</v>
      </c>
      <c r="D1006" t="s">
        <v>271</v>
      </c>
      <c r="E1006" s="19">
        <v>30</v>
      </c>
      <c r="F1006" s="10" t="s">
        <v>20</v>
      </c>
      <c r="I1006" s="39"/>
      <c r="J1006" s="138">
        <v>651.11</v>
      </c>
      <c r="K1006" s="138">
        <v>660.93500000000006</v>
      </c>
      <c r="L1006" s="138">
        <v>641.28499999999997</v>
      </c>
      <c r="M1006" s="33"/>
      <c r="N1006" s="83">
        <v>651.11</v>
      </c>
      <c r="P1006" t="str">
        <f>VLOOKUP(B1006,PTN!A:B,2,FALSE)</f>
        <v>UNIVERSITAS PADJADJARAN</v>
      </c>
      <c r="Q1006" t="str">
        <f t="shared" si="15"/>
        <v>UNIVERSITAS PADJADJARANTEKNOLOGI PANGAN</v>
      </c>
    </row>
    <row r="1007" spans="1:17" ht="16.5" thickTop="1" thickBot="1" x14ac:dyDescent="0.3">
      <c r="A1007" s="7">
        <v>1006</v>
      </c>
      <c r="B1007" s="6">
        <v>30</v>
      </c>
      <c r="C1007" s="12">
        <v>3332024</v>
      </c>
      <c r="D1007" t="s">
        <v>55</v>
      </c>
      <c r="E1007" s="12">
        <v>34</v>
      </c>
      <c r="F1007" s="10" t="s">
        <v>13</v>
      </c>
      <c r="I1007" s="20"/>
      <c r="J1007" s="138">
        <v>662.04</v>
      </c>
      <c r="K1007" s="138">
        <v>670.17773</v>
      </c>
      <c r="L1007" s="138">
        <v>653.90226999999993</v>
      </c>
      <c r="M1007" s="21"/>
      <c r="N1007" s="83">
        <v>662.04</v>
      </c>
      <c r="P1007" t="str">
        <f>VLOOKUP(B1007,PTN!A:B,2,FALSE)</f>
        <v>UNIVERSITAS PADJADJARAN</v>
      </c>
      <c r="Q1007" t="str">
        <f t="shared" si="15"/>
        <v>UNIVERSITAS PADJADJARANAKUNTANSI</v>
      </c>
    </row>
    <row r="1008" spans="1:17" ht="15.75" thickBot="1" x14ac:dyDescent="0.3">
      <c r="A1008" s="7">
        <v>1007</v>
      </c>
      <c r="B1008" s="6">
        <v>30</v>
      </c>
      <c r="C1008" s="13">
        <v>3332094</v>
      </c>
      <c r="D1008" t="s">
        <v>56</v>
      </c>
      <c r="E1008" s="13">
        <v>15</v>
      </c>
      <c r="F1008" s="10" t="s">
        <v>13</v>
      </c>
      <c r="I1008" s="22"/>
      <c r="J1008" s="138">
        <v>619.25</v>
      </c>
      <c r="K1008" s="138">
        <v>627.38773000000003</v>
      </c>
      <c r="L1008" s="138">
        <v>611.11226999999997</v>
      </c>
      <c r="M1008" s="21"/>
      <c r="N1008" s="83">
        <v>619.25</v>
      </c>
      <c r="P1008" t="str">
        <f>VLOOKUP(B1008,PTN!A:B,2,FALSE)</f>
        <v>UNIVERSITAS PADJADJARAN</v>
      </c>
      <c r="Q1008" t="str">
        <f t="shared" si="15"/>
        <v>UNIVERSITAS PADJADJARANANTROPOLOGI</v>
      </c>
    </row>
    <row r="1009" spans="1:17" ht="16.5" thickTop="1" thickBot="1" x14ac:dyDescent="0.3">
      <c r="A1009" s="7">
        <v>1008</v>
      </c>
      <c r="B1009" s="6">
        <v>30</v>
      </c>
      <c r="C1009" s="12">
        <v>3332256</v>
      </c>
      <c r="D1009" t="s">
        <v>57</v>
      </c>
      <c r="E1009" s="12">
        <v>20</v>
      </c>
      <c r="F1009" s="10" t="s">
        <v>13</v>
      </c>
      <c r="I1009" s="23"/>
      <c r="J1009" s="138">
        <v>639</v>
      </c>
      <c r="K1009" s="138">
        <v>647.13773000000003</v>
      </c>
      <c r="L1009" s="138">
        <v>630.86226999999997</v>
      </c>
      <c r="M1009" s="25"/>
      <c r="N1009" s="83">
        <v>639</v>
      </c>
      <c r="P1009" t="str">
        <f>VLOOKUP(B1009,PTN!A:B,2,FALSE)</f>
        <v>UNIVERSITAS PADJADJARAN</v>
      </c>
      <c r="Q1009" t="str">
        <f t="shared" si="15"/>
        <v>UNIVERSITAS PADJADJARANEKONOMI ISLAM</v>
      </c>
    </row>
    <row r="1010" spans="1:17" ht="16.5" thickTop="1" thickBot="1" x14ac:dyDescent="0.3">
      <c r="A1010" s="7">
        <v>1009</v>
      </c>
      <c r="B1010" s="6">
        <v>30</v>
      </c>
      <c r="C1010" s="13">
        <v>3332032</v>
      </c>
      <c r="D1010" t="s">
        <v>69</v>
      </c>
      <c r="E1010" s="13">
        <v>20</v>
      </c>
      <c r="F1010" s="10" t="s">
        <v>13</v>
      </c>
      <c r="I1010" s="26"/>
      <c r="J1010" s="138">
        <v>643.29999999999995</v>
      </c>
      <c r="K1010" s="138">
        <v>651.43772999999999</v>
      </c>
      <c r="L1010" s="138">
        <v>635.16226999999992</v>
      </c>
      <c r="M1010" s="27"/>
      <c r="N1010" s="83">
        <v>643.29999999999995</v>
      </c>
      <c r="P1010" t="str">
        <f>VLOOKUP(B1010,PTN!A:B,2,FALSE)</f>
        <v>UNIVERSITAS PADJADJARAN</v>
      </c>
      <c r="Q1010" t="str">
        <f t="shared" si="15"/>
        <v>UNIVERSITAS PADJADJARANEKONOMI PEMBANGUNAN</v>
      </c>
    </row>
    <row r="1011" spans="1:17" ht="15.75" thickBot="1" x14ac:dyDescent="0.3">
      <c r="A1011" s="7">
        <v>1010</v>
      </c>
      <c r="B1011" s="6">
        <v>30</v>
      </c>
      <c r="C1011" s="12">
        <v>3332241</v>
      </c>
      <c r="D1011" t="s">
        <v>388</v>
      </c>
      <c r="E1011" s="12">
        <v>20</v>
      </c>
      <c r="F1011" s="10" t="s">
        <v>13</v>
      </c>
      <c r="I1011" s="87"/>
      <c r="J1011" s="138">
        <v>638.88</v>
      </c>
      <c r="K1011" s="138">
        <v>647.01773000000003</v>
      </c>
      <c r="L1011" s="138">
        <v>630.74226999999996</v>
      </c>
      <c r="M1011" s="28"/>
      <c r="N1011" s="83">
        <v>638.88</v>
      </c>
      <c r="P1011" t="str">
        <f>VLOOKUP(B1011,PTN!A:B,2,FALSE)</f>
        <v>UNIVERSITAS PADJADJARAN</v>
      </c>
      <c r="Q1011" t="str">
        <f t="shared" si="15"/>
        <v>UNIVERSITAS PADJADJARANHUBUNGAN MASYARAKAT</v>
      </c>
    </row>
    <row r="1012" spans="1:17" ht="15.75" thickBot="1" x14ac:dyDescent="0.3">
      <c r="A1012" s="7">
        <v>1011</v>
      </c>
      <c r="B1012" s="6">
        <v>30</v>
      </c>
      <c r="C1012" s="13">
        <v>3332105</v>
      </c>
      <c r="D1012" t="s">
        <v>389</v>
      </c>
      <c r="E1012" s="13">
        <v>25</v>
      </c>
      <c r="F1012" s="10" t="s">
        <v>13</v>
      </c>
      <c r="I1012" s="26"/>
      <c r="J1012" s="138">
        <v>641.20000000000005</v>
      </c>
      <c r="K1012" s="138">
        <v>649.33773000000008</v>
      </c>
      <c r="L1012" s="138">
        <v>633.06227000000001</v>
      </c>
      <c r="M1012" s="27"/>
      <c r="N1012" s="83">
        <v>641.20000000000005</v>
      </c>
      <c r="P1012" t="str">
        <f>VLOOKUP(B1012,PTN!A:B,2,FALSE)</f>
        <v>UNIVERSITAS PADJADJARAN</v>
      </c>
      <c r="Q1012" t="str">
        <f t="shared" si="15"/>
        <v>UNIVERSITAS PADJADJARANILMU ADMINISTRASI BISNIS</v>
      </c>
    </row>
    <row r="1013" spans="1:17" ht="15.75" thickBot="1" x14ac:dyDescent="0.3">
      <c r="A1013" s="7">
        <v>1012</v>
      </c>
      <c r="B1013" s="6">
        <v>30</v>
      </c>
      <c r="C1013" s="12">
        <v>3332055</v>
      </c>
      <c r="D1013" t="s">
        <v>29</v>
      </c>
      <c r="E1013" s="12">
        <v>25</v>
      </c>
      <c r="F1013" s="10" t="s">
        <v>13</v>
      </c>
      <c r="I1013" s="87"/>
      <c r="J1013" s="138">
        <v>631.15</v>
      </c>
      <c r="K1013" s="138">
        <v>639.28773000000001</v>
      </c>
      <c r="L1013" s="138">
        <v>623.01226999999994</v>
      </c>
      <c r="M1013" s="28"/>
      <c r="N1013" s="83">
        <v>631.15</v>
      </c>
      <c r="P1013" t="str">
        <f>VLOOKUP(B1013,PTN!A:B,2,FALSE)</f>
        <v>UNIVERSITAS PADJADJARAN</v>
      </c>
      <c r="Q1013" t="str">
        <f t="shared" si="15"/>
        <v>UNIVERSITAS PADJADJARANILMU ADMINISTRASI NEGARA</v>
      </c>
    </row>
    <row r="1014" spans="1:17" ht="15.75" thickBot="1" x14ac:dyDescent="0.3">
      <c r="A1014" s="7">
        <v>1013</v>
      </c>
      <c r="B1014" s="6">
        <v>30</v>
      </c>
      <c r="C1014" s="13">
        <v>3332063</v>
      </c>
      <c r="D1014" t="s">
        <v>168</v>
      </c>
      <c r="E1014" s="13">
        <v>30</v>
      </c>
      <c r="F1014" s="10" t="s">
        <v>13</v>
      </c>
      <c r="I1014" s="26"/>
      <c r="J1014" s="138">
        <v>666.77</v>
      </c>
      <c r="K1014" s="138">
        <v>674.90773000000002</v>
      </c>
      <c r="L1014" s="138">
        <v>658.63226999999995</v>
      </c>
      <c r="M1014" s="27"/>
      <c r="N1014" s="83">
        <v>666.77</v>
      </c>
      <c r="P1014" t="str">
        <f>VLOOKUP(B1014,PTN!A:B,2,FALSE)</f>
        <v>UNIVERSITAS PADJADJARAN</v>
      </c>
      <c r="Q1014" t="str">
        <f t="shared" si="15"/>
        <v>UNIVERSITAS PADJADJARANILMU HUBUNGAN INTERNASIONAL</v>
      </c>
    </row>
    <row r="1015" spans="1:17" ht="15.75" thickBot="1" x14ac:dyDescent="0.3">
      <c r="A1015" s="7">
        <v>1014</v>
      </c>
      <c r="B1015" s="6">
        <v>30</v>
      </c>
      <c r="C1015" s="12">
        <v>3332016</v>
      </c>
      <c r="D1015" t="s">
        <v>31</v>
      </c>
      <c r="E1015" s="12">
        <v>100</v>
      </c>
      <c r="F1015" s="10" t="s">
        <v>13</v>
      </c>
      <c r="I1015" s="87"/>
      <c r="J1015" s="138">
        <v>643.46</v>
      </c>
      <c r="K1015" s="138">
        <v>651.59773000000007</v>
      </c>
      <c r="L1015" s="138">
        <v>635.32227</v>
      </c>
      <c r="M1015" s="28"/>
      <c r="N1015" s="83">
        <v>643.46</v>
      </c>
      <c r="P1015" t="str">
        <f>VLOOKUP(B1015,PTN!A:B,2,FALSE)</f>
        <v>UNIVERSITAS PADJADJARAN</v>
      </c>
      <c r="Q1015" t="str">
        <f t="shared" si="15"/>
        <v>UNIVERSITAS PADJADJARANILMU HUKUM</v>
      </c>
    </row>
    <row r="1016" spans="1:17" ht="15.75" thickBot="1" x14ac:dyDescent="0.3">
      <c r="A1016" s="7">
        <v>1015</v>
      </c>
      <c r="B1016" s="6">
        <v>30</v>
      </c>
      <c r="C1016" s="13">
        <v>3332071</v>
      </c>
      <c r="D1016" t="s">
        <v>147</v>
      </c>
      <c r="E1016" s="13">
        <v>20</v>
      </c>
      <c r="F1016" s="10" t="s">
        <v>13</v>
      </c>
      <c r="I1016" s="26"/>
      <c r="J1016" s="138">
        <v>624.04</v>
      </c>
      <c r="K1016" s="138">
        <v>632.17773</v>
      </c>
      <c r="L1016" s="138">
        <v>615.90226999999993</v>
      </c>
      <c r="M1016" s="27"/>
      <c r="N1016" s="83">
        <v>624.04</v>
      </c>
      <c r="P1016" t="str">
        <f>VLOOKUP(B1016,PTN!A:B,2,FALSE)</f>
        <v>UNIVERSITAS PADJADJARAN</v>
      </c>
      <c r="Q1016" t="str">
        <f t="shared" si="15"/>
        <v>UNIVERSITAS PADJADJARANILMU KESEJAHTERAAN SOSIAL</v>
      </c>
    </row>
    <row r="1017" spans="1:17" ht="15.75" thickBot="1" x14ac:dyDescent="0.3">
      <c r="A1017" s="7">
        <v>1016</v>
      </c>
      <c r="B1017" s="6">
        <v>30</v>
      </c>
      <c r="C1017" s="12">
        <v>3332202</v>
      </c>
      <c r="D1017" t="s">
        <v>60</v>
      </c>
      <c r="E1017" s="12">
        <v>30</v>
      </c>
      <c r="F1017" s="10" t="s">
        <v>13</v>
      </c>
      <c r="I1017" s="87"/>
      <c r="J1017" s="138">
        <v>640.29999999999995</v>
      </c>
      <c r="K1017" s="138">
        <v>648.43772999999999</v>
      </c>
      <c r="L1017" s="138">
        <v>632.16226999999992</v>
      </c>
      <c r="M1017" s="28"/>
      <c r="N1017" s="83">
        <v>640.29999999999995</v>
      </c>
      <c r="P1017" t="str">
        <f>VLOOKUP(B1017,PTN!A:B,2,FALSE)</f>
        <v>UNIVERSITAS PADJADJARAN</v>
      </c>
      <c r="Q1017" t="str">
        <f t="shared" si="15"/>
        <v>UNIVERSITAS PADJADJARANILMU KOMUNIKASI</v>
      </c>
    </row>
    <row r="1018" spans="1:17" ht="15.75" thickBot="1" x14ac:dyDescent="0.3">
      <c r="A1018" s="7">
        <v>1017</v>
      </c>
      <c r="B1018" s="6">
        <v>30</v>
      </c>
      <c r="C1018" s="13">
        <v>3332086</v>
      </c>
      <c r="D1018" t="s">
        <v>97</v>
      </c>
      <c r="E1018" s="13">
        <v>25</v>
      </c>
      <c r="F1018" s="10" t="s">
        <v>13</v>
      </c>
      <c r="I1018" s="26"/>
      <c r="J1018" s="138">
        <v>625.96</v>
      </c>
      <c r="K1018" s="138">
        <v>634.09773000000007</v>
      </c>
      <c r="L1018" s="138">
        <v>617.82227</v>
      </c>
      <c r="M1018" s="27"/>
      <c r="N1018" s="83">
        <v>625.96</v>
      </c>
      <c r="P1018" t="str">
        <f>VLOOKUP(B1018,PTN!A:B,2,FALSE)</f>
        <v>UNIVERSITAS PADJADJARAN</v>
      </c>
      <c r="Q1018" t="str">
        <f t="shared" si="15"/>
        <v>UNIVERSITAS PADJADJARANILMU PEMERINTAHAN</v>
      </c>
    </row>
    <row r="1019" spans="1:17" ht="15.75" thickBot="1" x14ac:dyDescent="0.3">
      <c r="A1019" s="7">
        <v>1018</v>
      </c>
      <c r="B1019" s="6">
        <v>30</v>
      </c>
      <c r="C1019" s="12">
        <v>3332217</v>
      </c>
      <c r="D1019" t="s">
        <v>32</v>
      </c>
      <c r="E1019" s="12">
        <v>30</v>
      </c>
      <c r="F1019" s="10" t="s">
        <v>13</v>
      </c>
      <c r="I1019" s="87"/>
      <c r="J1019" s="138">
        <v>607.15</v>
      </c>
      <c r="K1019" s="138">
        <v>615.28773000000001</v>
      </c>
      <c r="L1019" s="138">
        <v>599.01226999999994</v>
      </c>
      <c r="M1019" s="28"/>
      <c r="N1019" s="83">
        <v>607.15</v>
      </c>
      <c r="P1019" t="str">
        <f>VLOOKUP(B1019,PTN!A:B,2,FALSE)</f>
        <v>UNIVERSITAS PADJADJARAN</v>
      </c>
      <c r="Q1019" t="str">
        <f t="shared" si="15"/>
        <v>UNIVERSITAS PADJADJARANILMU PERPUSTAKAAN</v>
      </c>
    </row>
    <row r="1020" spans="1:17" ht="15.75" thickBot="1" x14ac:dyDescent="0.3">
      <c r="A1020" s="7">
        <v>1019</v>
      </c>
      <c r="B1020" s="6">
        <v>30</v>
      </c>
      <c r="C1020" s="13">
        <v>3332233</v>
      </c>
      <c r="D1020" t="s">
        <v>33</v>
      </c>
      <c r="E1020" s="13">
        <v>15</v>
      </c>
      <c r="F1020" s="10" t="s">
        <v>13</v>
      </c>
      <c r="I1020" s="26"/>
      <c r="J1020" s="138">
        <v>618.85</v>
      </c>
      <c r="K1020" s="138">
        <v>626.98773000000006</v>
      </c>
      <c r="L1020" s="138">
        <v>610.71226999999999</v>
      </c>
      <c r="M1020" s="27"/>
      <c r="N1020" s="83">
        <v>618.85</v>
      </c>
      <c r="P1020" t="str">
        <f>VLOOKUP(B1020,PTN!A:B,2,FALSE)</f>
        <v>UNIVERSITAS PADJADJARAN</v>
      </c>
      <c r="Q1020" t="str">
        <f t="shared" si="15"/>
        <v>UNIVERSITAS PADJADJARANILMU POLITIK</v>
      </c>
    </row>
    <row r="1021" spans="1:17" ht="15.75" thickBot="1" x14ac:dyDescent="0.3">
      <c r="A1021" s="7">
        <v>1020</v>
      </c>
      <c r="B1021" s="6">
        <v>30</v>
      </c>
      <c r="C1021" s="12">
        <v>3332136</v>
      </c>
      <c r="D1021" t="s">
        <v>148</v>
      </c>
      <c r="E1021" s="12">
        <v>25</v>
      </c>
      <c r="F1021" s="10" t="s">
        <v>13</v>
      </c>
      <c r="I1021" s="87"/>
      <c r="J1021" s="138">
        <v>594.79</v>
      </c>
      <c r="K1021" s="138">
        <v>602.92773</v>
      </c>
      <c r="L1021" s="138">
        <v>586.65226999999993</v>
      </c>
      <c r="M1021" s="28"/>
      <c r="N1021" s="83">
        <v>594.79</v>
      </c>
      <c r="P1021" t="str">
        <f>VLOOKUP(B1021,PTN!A:B,2,FALSE)</f>
        <v>UNIVERSITAS PADJADJARAN</v>
      </c>
      <c r="Q1021" t="str">
        <f t="shared" si="15"/>
        <v>UNIVERSITAS PADJADJARANILMU SEJARAH</v>
      </c>
    </row>
    <row r="1022" spans="1:17" ht="15.75" thickBot="1" x14ac:dyDescent="0.3">
      <c r="A1022" s="7">
        <v>1021</v>
      </c>
      <c r="B1022" s="6">
        <v>30</v>
      </c>
      <c r="C1022" s="13">
        <v>3332272</v>
      </c>
      <c r="D1022" t="s">
        <v>247</v>
      </c>
      <c r="E1022" s="13">
        <v>20</v>
      </c>
      <c r="F1022" s="10" t="s">
        <v>13</v>
      </c>
      <c r="I1022" s="26"/>
      <c r="J1022" s="138">
        <v>631.44000000000005</v>
      </c>
      <c r="K1022" s="138">
        <v>639.57773000000009</v>
      </c>
      <c r="L1022" s="138">
        <v>623.30227000000002</v>
      </c>
      <c r="M1022" s="27"/>
      <c r="N1022" s="83">
        <v>631.44000000000005</v>
      </c>
      <c r="P1022" t="str">
        <f>VLOOKUP(B1022,PTN!A:B,2,FALSE)</f>
        <v>UNIVERSITAS PADJADJARAN</v>
      </c>
      <c r="Q1022" t="str">
        <f t="shared" si="15"/>
        <v>UNIVERSITAS PADJADJARANJURNALISTIK</v>
      </c>
    </row>
    <row r="1023" spans="1:17" ht="15.75" thickBot="1" x14ac:dyDescent="0.3">
      <c r="A1023" s="7">
        <v>1022</v>
      </c>
      <c r="B1023" s="6">
        <v>30</v>
      </c>
      <c r="C1023" s="12">
        <v>3332047</v>
      </c>
      <c r="D1023" t="s">
        <v>61</v>
      </c>
      <c r="E1023" s="12">
        <v>20</v>
      </c>
      <c r="F1023" s="10" t="s">
        <v>13</v>
      </c>
      <c r="I1023" s="87"/>
      <c r="J1023" s="138">
        <v>644.26</v>
      </c>
      <c r="K1023" s="138">
        <v>652.39773000000002</v>
      </c>
      <c r="L1023" s="138">
        <v>636.12226999999996</v>
      </c>
      <c r="M1023" s="28"/>
      <c r="N1023" s="83">
        <v>644.26</v>
      </c>
      <c r="P1023" t="str">
        <f>VLOOKUP(B1023,PTN!A:B,2,FALSE)</f>
        <v>UNIVERSITAS PADJADJARAN</v>
      </c>
      <c r="Q1023" t="str">
        <f t="shared" si="15"/>
        <v>UNIVERSITAS PADJADJARANMANAJEMEN</v>
      </c>
    </row>
    <row r="1024" spans="1:17" ht="15.75" thickBot="1" x14ac:dyDescent="0.3">
      <c r="A1024" s="7">
        <v>1023</v>
      </c>
      <c r="B1024" s="6">
        <v>30</v>
      </c>
      <c r="C1024" s="13">
        <v>3332264</v>
      </c>
      <c r="D1024" t="s">
        <v>390</v>
      </c>
      <c r="E1024" s="13">
        <v>20</v>
      </c>
      <c r="F1024" s="10" t="s">
        <v>13</v>
      </c>
      <c r="I1024" s="26"/>
      <c r="J1024" s="138">
        <v>642.46</v>
      </c>
      <c r="K1024" s="138">
        <v>650.59773000000007</v>
      </c>
      <c r="L1024" s="138">
        <v>634.32227</v>
      </c>
      <c r="M1024" s="27"/>
      <c r="N1024" s="83">
        <v>642.46</v>
      </c>
      <c r="P1024" t="str">
        <f>VLOOKUP(B1024,PTN!A:B,2,FALSE)</f>
        <v>UNIVERSITAS PADJADJARAN</v>
      </c>
      <c r="Q1024" t="str">
        <f t="shared" si="15"/>
        <v>UNIVERSITAS PADJADJARANMANAJEMEN KOMUNIKASI</v>
      </c>
    </row>
    <row r="1025" spans="1:17" ht="15.75" thickBot="1" x14ac:dyDescent="0.3">
      <c r="A1025" s="7">
        <v>1024</v>
      </c>
      <c r="B1025" s="6">
        <v>30</v>
      </c>
      <c r="C1025" s="12">
        <v>3332191</v>
      </c>
      <c r="D1025" t="s">
        <v>149</v>
      </c>
      <c r="E1025" s="12">
        <v>30</v>
      </c>
      <c r="F1025" s="10" t="s">
        <v>13</v>
      </c>
      <c r="I1025" s="87"/>
      <c r="J1025" s="138">
        <v>593.28</v>
      </c>
      <c r="K1025" s="138">
        <v>601.41773000000001</v>
      </c>
      <c r="L1025" s="138">
        <v>585.14226999999994</v>
      </c>
      <c r="M1025" s="28"/>
      <c r="N1025" s="83">
        <v>593.28</v>
      </c>
      <c r="P1025" t="str">
        <f>VLOOKUP(B1025,PTN!A:B,2,FALSE)</f>
        <v>UNIVERSITAS PADJADJARAN</v>
      </c>
      <c r="Q1025" t="str">
        <f t="shared" si="15"/>
        <v>UNIVERSITAS PADJADJARANSASTRA ARAB</v>
      </c>
    </row>
    <row r="1026" spans="1:17" ht="15.75" thickBot="1" x14ac:dyDescent="0.3">
      <c r="A1026" s="7">
        <v>1025</v>
      </c>
      <c r="B1026" s="6">
        <v>30</v>
      </c>
      <c r="C1026" s="13">
        <v>3332113</v>
      </c>
      <c r="D1026" t="s">
        <v>62</v>
      </c>
      <c r="E1026" s="13">
        <v>25</v>
      </c>
      <c r="F1026" s="10" t="s">
        <v>13</v>
      </c>
      <c r="I1026" s="26"/>
      <c r="J1026" s="138">
        <v>600.48</v>
      </c>
      <c r="K1026" s="138">
        <v>608.61773000000005</v>
      </c>
      <c r="L1026" s="138">
        <v>592.34226999999998</v>
      </c>
      <c r="M1026" s="27"/>
      <c r="N1026" s="83">
        <v>600.48</v>
      </c>
      <c r="P1026" t="str">
        <f>VLOOKUP(B1026,PTN!A:B,2,FALSE)</f>
        <v>UNIVERSITAS PADJADJARAN</v>
      </c>
      <c r="Q1026" t="str">
        <f t="shared" si="15"/>
        <v>UNIVERSITAS PADJADJARANSASTRA INDONESIA</v>
      </c>
    </row>
    <row r="1027" spans="1:17" ht="15.75" thickBot="1" x14ac:dyDescent="0.3">
      <c r="A1027" s="7">
        <v>1026</v>
      </c>
      <c r="B1027" s="6">
        <v>30</v>
      </c>
      <c r="C1027" s="12">
        <v>3332144</v>
      </c>
      <c r="D1027" t="s">
        <v>139</v>
      </c>
      <c r="E1027" s="12">
        <v>25</v>
      </c>
      <c r="F1027" s="10" t="s">
        <v>13</v>
      </c>
      <c r="I1027" s="87"/>
      <c r="J1027" s="138">
        <v>631.12</v>
      </c>
      <c r="K1027" s="138">
        <v>639.25773000000004</v>
      </c>
      <c r="L1027" s="138">
        <v>622.98226999999997</v>
      </c>
      <c r="M1027" s="28"/>
      <c r="N1027" s="83">
        <v>631.12</v>
      </c>
      <c r="P1027" t="str">
        <f>VLOOKUP(B1027,PTN!A:B,2,FALSE)</f>
        <v>UNIVERSITAS PADJADJARAN</v>
      </c>
      <c r="Q1027" t="str">
        <f t="shared" ref="Q1027:Q1090" si="16">P1027&amp;D1027</f>
        <v>UNIVERSITAS PADJADJARANSASTRA INGGRIS</v>
      </c>
    </row>
    <row r="1028" spans="1:17" ht="15.75" thickBot="1" x14ac:dyDescent="0.3">
      <c r="A1028" s="7">
        <v>1027</v>
      </c>
      <c r="B1028" s="6">
        <v>30</v>
      </c>
      <c r="C1028" s="13">
        <v>3332167</v>
      </c>
      <c r="D1028" t="s">
        <v>153</v>
      </c>
      <c r="E1028" s="13">
        <v>25</v>
      </c>
      <c r="F1028" s="10" t="s">
        <v>13</v>
      </c>
      <c r="I1028" s="26"/>
      <c r="J1028" s="138">
        <v>626.29999999999995</v>
      </c>
      <c r="K1028" s="138">
        <v>634.43772999999999</v>
      </c>
      <c r="L1028" s="138">
        <v>618.16226999999992</v>
      </c>
      <c r="M1028" s="27"/>
      <c r="N1028" s="83">
        <v>626.29999999999995</v>
      </c>
      <c r="P1028" t="str">
        <f>VLOOKUP(B1028,PTN!A:B,2,FALSE)</f>
        <v>UNIVERSITAS PADJADJARAN</v>
      </c>
      <c r="Q1028" t="str">
        <f t="shared" si="16"/>
        <v>UNIVERSITAS PADJADJARANSASTRA JEPANG</v>
      </c>
    </row>
    <row r="1029" spans="1:17" ht="15.75" thickBot="1" x14ac:dyDescent="0.3">
      <c r="A1029" s="7">
        <v>1028</v>
      </c>
      <c r="B1029" s="6">
        <v>30</v>
      </c>
      <c r="C1029" s="12">
        <v>3332183</v>
      </c>
      <c r="D1029" t="s">
        <v>307</v>
      </c>
      <c r="E1029" s="12">
        <v>15</v>
      </c>
      <c r="F1029" s="10" t="s">
        <v>13</v>
      </c>
      <c r="I1029" s="87"/>
      <c r="J1029" s="138">
        <v>607.21</v>
      </c>
      <c r="K1029" s="138">
        <v>615.34773000000007</v>
      </c>
      <c r="L1029" s="138">
        <v>599.07227</v>
      </c>
      <c r="M1029" s="28"/>
      <c r="N1029" s="83">
        <v>607.21</v>
      </c>
      <c r="P1029" t="str">
        <f>VLOOKUP(B1029,PTN!A:B,2,FALSE)</f>
        <v>UNIVERSITAS PADJADJARAN</v>
      </c>
      <c r="Q1029" t="str">
        <f t="shared" si="16"/>
        <v>UNIVERSITAS PADJADJARANSASTRA JERMAN</v>
      </c>
    </row>
    <row r="1030" spans="1:17" ht="15.75" thickBot="1" x14ac:dyDescent="0.3">
      <c r="A1030" s="7">
        <v>1029</v>
      </c>
      <c r="B1030" s="6">
        <v>30</v>
      </c>
      <c r="C1030" s="13">
        <v>3332152</v>
      </c>
      <c r="D1030" t="s">
        <v>308</v>
      </c>
      <c r="E1030" s="13">
        <v>15</v>
      </c>
      <c r="F1030" s="10" t="s">
        <v>13</v>
      </c>
      <c r="I1030" s="26"/>
      <c r="J1030" s="138">
        <v>612.45000000000005</v>
      </c>
      <c r="K1030" s="138">
        <v>620.58773000000008</v>
      </c>
      <c r="L1030" s="138">
        <v>604.31227000000001</v>
      </c>
      <c r="M1030" s="27"/>
      <c r="N1030" s="83">
        <v>612.45000000000005</v>
      </c>
      <c r="P1030" t="str">
        <f>VLOOKUP(B1030,PTN!A:B,2,FALSE)</f>
        <v>UNIVERSITAS PADJADJARAN</v>
      </c>
      <c r="Q1030" t="str">
        <f t="shared" si="16"/>
        <v>UNIVERSITAS PADJADJARANSASTRA PERANCIS</v>
      </c>
    </row>
    <row r="1031" spans="1:17" ht="15.75" thickBot="1" x14ac:dyDescent="0.3">
      <c r="A1031" s="7">
        <v>1030</v>
      </c>
      <c r="B1031" s="6">
        <v>30</v>
      </c>
      <c r="C1031" s="12">
        <v>3332175</v>
      </c>
      <c r="D1031" t="s">
        <v>309</v>
      </c>
      <c r="E1031" s="12">
        <v>15</v>
      </c>
      <c r="F1031" s="10" t="s">
        <v>13</v>
      </c>
      <c r="I1031" s="87"/>
      <c r="J1031" s="138">
        <v>591.82000000000005</v>
      </c>
      <c r="K1031" s="138">
        <v>599.95773000000008</v>
      </c>
      <c r="L1031" s="138">
        <v>583.68227000000002</v>
      </c>
      <c r="M1031" s="28"/>
      <c r="N1031" s="83">
        <v>591.82000000000005</v>
      </c>
      <c r="P1031" t="str">
        <f>VLOOKUP(B1031,PTN!A:B,2,FALSE)</f>
        <v>UNIVERSITAS PADJADJARAN</v>
      </c>
      <c r="Q1031" t="str">
        <f t="shared" si="16"/>
        <v>UNIVERSITAS PADJADJARANSASTRA RUSIA</v>
      </c>
    </row>
    <row r="1032" spans="1:17" ht="15.75" thickBot="1" x14ac:dyDescent="0.3">
      <c r="A1032" s="7">
        <v>1031</v>
      </c>
      <c r="B1032" s="6">
        <v>30</v>
      </c>
      <c r="C1032" s="13">
        <v>3332121</v>
      </c>
      <c r="D1032" t="s">
        <v>391</v>
      </c>
      <c r="E1032" s="13">
        <v>25</v>
      </c>
      <c r="F1032" s="10" t="s">
        <v>13</v>
      </c>
      <c r="I1032" s="20"/>
      <c r="J1032" s="138" t="s">
        <v>1292</v>
      </c>
      <c r="K1032" s="138" t="s">
        <v>1292</v>
      </c>
      <c r="L1032" s="138" t="s">
        <v>1292</v>
      </c>
      <c r="M1032" s="21"/>
      <c r="N1032" s="83" t="s">
        <v>1292</v>
      </c>
      <c r="P1032" t="str">
        <f>VLOOKUP(B1032,PTN!A:B,2,FALSE)</f>
        <v>UNIVERSITAS PADJADJARAN</v>
      </c>
      <c r="Q1032" t="str">
        <f t="shared" si="16"/>
        <v>UNIVERSITAS PADJADJARANSASTRA SUNDA</v>
      </c>
    </row>
    <row r="1033" spans="1:17" ht="15.75" thickBot="1" x14ac:dyDescent="0.3">
      <c r="A1033" s="7">
        <v>1032</v>
      </c>
      <c r="B1033" s="6">
        <v>30</v>
      </c>
      <c r="C1033" s="12">
        <v>3332225</v>
      </c>
      <c r="D1033" t="s">
        <v>63</v>
      </c>
      <c r="E1033" s="12">
        <v>15</v>
      </c>
      <c r="F1033" s="10" t="s">
        <v>13</v>
      </c>
      <c r="I1033" s="22"/>
      <c r="J1033" s="138">
        <v>620.16</v>
      </c>
      <c r="K1033" s="138">
        <v>628.29773</v>
      </c>
      <c r="L1033" s="138">
        <v>612.02226999999993</v>
      </c>
      <c r="M1033" s="21"/>
      <c r="N1033" s="83">
        <v>620.16</v>
      </c>
      <c r="P1033" t="str">
        <f>VLOOKUP(B1033,PTN!A:B,2,FALSE)</f>
        <v>UNIVERSITAS PADJADJARAN</v>
      </c>
      <c r="Q1033" t="str">
        <f t="shared" si="16"/>
        <v>UNIVERSITAS PADJADJARANSOSIOLOGI</v>
      </c>
    </row>
    <row r="1034" spans="1:17" ht="16.5" thickTop="1" thickBot="1" x14ac:dyDescent="0.3">
      <c r="A1034" s="7">
        <v>1033</v>
      </c>
      <c r="B1034" s="6">
        <v>30</v>
      </c>
      <c r="C1034" s="16">
        <v>3332287</v>
      </c>
      <c r="D1034" t="s">
        <v>392</v>
      </c>
      <c r="E1034" s="16">
        <v>20</v>
      </c>
      <c r="F1034" s="10" t="s">
        <v>13</v>
      </c>
      <c r="I1034" s="23"/>
      <c r="J1034" s="138">
        <v>619.85</v>
      </c>
      <c r="K1034" s="138">
        <v>627.98773000000006</v>
      </c>
      <c r="L1034" s="138">
        <v>611.71226999999999</v>
      </c>
      <c r="M1034" s="25"/>
      <c r="N1034" s="83">
        <v>619.85</v>
      </c>
      <c r="P1034" t="str">
        <f>VLOOKUP(B1034,PTN!A:B,2,FALSE)</f>
        <v>UNIVERSITAS PADJADJARAN</v>
      </c>
      <c r="Q1034" t="str">
        <f t="shared" si="16"/>
        <v>UNIVERSITAS PADJADJARANTELEVISI DAN FILM</v>
      </c>
    </row>
    <row r="1035" spans="1:17" ht="16.5" thickTop="1" thickBot="1" x14ac:dyDescent="0.3">
      <c r="A1035" s="7">
        <v>1034</v>
      </c>
      <c r="B1035" s="6">
        <v>31</v>
      </c>
      <c r="C1035" s="12">
        <v>3341216</v>
      </c>
      <c r="D1035" t="s">
        <v>19</v>
      </c>
      <c r="E1035" s="12">
        <v>18</v>
      </c>
      <c r="F1035" s="10" t="s">
        <v>20</v>
      </c>
      <c r="I1035" s="26"/>
      <c r="J1035" s="138">
        <v>628.41</v>
      </c>
      <c r="K1035" s="138">
        <v>634.76</v>
      </c>
      <c r="L1035" s="138">
        <v>622.05999999999995</v>
      </c>
      <c r="M1035" s="27"/>
      <c r="N1035" s="83">
        <v>628.41</v>
      </c>
      <c r="P1035" t="str">
        <f>VLOOKUP(B1035,PTN!A:B,2,FALSE)</f>
        <v>UNIVERSITAS PENDIDIKAN INDONESIA</v>
      </c>
      <c r="Q1035" t="str">
        <f t="shared" si="16"/>
        <v>UNIVERSITAS PENDIDIKAN INDONESIAARSITEKTUR</v>
      </c>
    </row>
    <row r="1036" spans="1:17" ht="15.75" thickBot="1" x14ac:dyDescent="0.3">
      <c r="A1036" s="7">
        <v>1035</v>
      </c>
      <c r="B1036" s="6">
        <v>31</v>
      </c>
      <c r="C1036" s="13">
        <v>3341085</v>
      </c>
      <c r="D1036" t="s">
        <v>21</v>
      </c>
      <c r="E1036" s="13">
        <v>14</v>
      </c>
      <c r="F1036" s="10" t="s">
        <v>20</v>
      </c>
      <c r="I1036" s="87"/>
      <c r="J1036" s="138">
        <v>621.82000000000005</v>
      </c>
      <c r="K1036" s="138">
        <v>630.1400000000001</v>
      </c>
      <c r="L1036" s="138">
        <v>613.5</v>
      </c>
      <c r="M1036" s="28"/>
      <c r="N1036" s="83">
        <v>621.82000000000005</v>
      </c>
      <c r="P1036" t="str">
        <f>VLOOKUP(B1036,PTN!A:B,2,FALSE)</f>
        <v>UNIVERSITAS PENDIDIKAN INDONESIA</v>
      </c>
      <c r="Q1036" t="str">
        <f t="shared" si="16"/>
        <v>UNIVERSITAS PENDIDIKAN INDONESIABIOLOGI</v>
      </c>
    </row>
    <row r="1037" spans="1:17" ht="15.75" thickBot="1" x14ac:dyDescent="0.3">
      <c r="A1037" s="7">
        <v>1036</v>
      </c>
      <c r="B1037" s="6">
        <v>31</v>
      </c>
      <c r="C1037" s="12">
        <v>3341077</v>
      </c>
      <c r="D1037" t="s">
        <v>65</v>
      </c>
      <c r="E1037" s="12">
        <v>14</v>
      </c>
      <c r="F1037" s="10" t="s">
        <v>20</v>
      </c>
      <c r="I1037" s="26"/>
      <c r="J1037" s="138">
        <v>617.38</v>
      </c>
      <c r="K1037" s="138">
        <v>623.89</v>
      </c>
      <c r="L1037" s="138">
        <v>610.87</v>
      </c>
      <c r="M1037" s="27"/>
      <c r="N1037" s="83">
        <v>617.38</v>
      </c>
      <c r="P1037" t="str">
        <f>VLOOKUP(B1037,PTN!A:B,2,FALSE)</f>
        <v>UNIVERSITAS PENDIDIKAN INDONESIA</v>
      </c>
      <c r="Q1037" t="str">
        <f t="shared" si="16"/>
        <v>UNIVERSITAS PENDIDIKAN INDONESIAFISIKA</v>
      </c>
    </row>
    <row r="1038" spans="1:17" ht="15.75" thickBot="1" x14ac:dyDescent="0.3">
      <c r="A1038" s="7">
        <v>1037</v>
      </c>
      <c r="B1038" s="6">
        <v>31</v>
      </c>
      <c r="C1038" s="13">
        <v>3341166</v>
      </c>
      <c r="D1038" t="s">
        <v>114</v>
      </c>
      <c r="E1038" s="13">
        <v>39</v>
      </c>
      <c r="F1038" s="10" t="s">
        <v>20</v>
      </c>
      <c r="I1038" s="87"/>
      <c r="J1038" s="138">
        <v>590</v>
      </c>
      <c r="K1038" s="138" t="s">
        <v>1292</v>
      </c>
      <c r="L1038" s="138" t="s">
        <v>1292</v>
      </c>
      <c r="M1038" s="28"/>
      <c r="N1038" s="83">
        <v>590</v>
      </c>
      <c r="P1038" t="str">
        <f>VLOOKUP(B1038,PTN!A:B,2,FALSE)</f>
        <v>UNIVERSITAS PENDIDIKAN INDONESIA</v>
      </c>
      <c r="Q1038" t="str">
        <f t="shared" si="16"/>
        <v>UNIVERSITAS PENDIDIKAN INDONESIAILMU KEOLAHRAGAAN</v>
      </c>
    </row>
    <row r="1039" spans="1:17" ht="15.75" thickBot="1" x14ac:dyDescent="0.3">
      <c r="A1039" s="7">
        <v>1038</v>
      </c>
      <c r="B1039" s="6">
        <v>31</v>
      </c>
      <c r="C1039" s="12">
        <v>3341104</v>
      </c>
      <c r="D1039" t="s">
        <v>111</v>
      </c>
      <c r="E1039" s="12">
        <v>27</v>
      </c>
      <c r="F1039" s="10" t="s">
        <v>20</v>
      </c>
      <c r="I1039" s="26"/>
      <c r="J1039" s="138">
        <v>628.75</v>
      </c>
      <c r="K1039" s="138">
        <v>634.51</v>
      </c>
      <c r="L1039" s="138">
        <v>622.99</v>
      </c>
      <c r="M1039" s="27"/>
      <c r="N1039" s="83">
        <v>628.75</v>
      </c>
      <c r="P1039" t="str">
        <f>VLOOKUP(B1039,PTN!A:B,2,FALSE)</f>
        <v>UNIVERSITAS PENDIDIKAN INDONESIA</v>
      </c>
      <c r="Q1039" t="str">
        <f t="shared" si="16"/>
        <v>UNIVERSITAS PENDIDIKAN INDONESIAILMU KOMPUTER</v>
      </c>
    </row>
    <row r="1040" spans="1:17" ht="15.75" thickBot="1" x14ac:dyDescent="0.3">
      <c r="A1040" s="7">
        <v>1039</v>
      </c>
      <c r="B1040" s="6">
        <v>31</v>
      </c>
      <c r="C1040" s="13">
        <v>3341093</v>
      </c>
      <c r="D1040" t="s">
        <v>22</v>
      </c>
      <c r="E1040" s="13">
        <v>24</v>
      </c>
      <c r="F1040" s="10" t="s">
        <v>20</v>
      </c>
      <c r="I1040" s="87"/>
      <c r="J1040" s="138">
        <v>629.97</v>
      </c>
      <c r="K1040" s="138">
        <v>635.92500000000007</v>
      </c>
      <c r="L1040" s="138">
        <v>624.01499999999999</v>
      </c>
      <c r="M1040" s="28"/>
      <c r="N1040" s="83">
        <v>629.97</v>
      </c>
      <c r="P1040" t="str">
        <f>VLOOKUP(B1040,PTN!A:B,2,FALSE)</f>
        <v>UNIVERSITAS PENDIDIKAN INDONESIA</v>
      </c>
      <c r="Q1040" t="str">
        <f t="shared" si="16"/>
        <v>UNIVERSITAS PENDIDIKAN INDONESIAKIMIA</v>
      </c>
    </row>
    <row r="1041" spans="1:17" ht="15.75" thickBot="1" x14ac:dyDescent="0.3">
      <c r="A1041" s="7">
        <v>1040</v>
      </c>
      <c r="B1041" s="6">
        <v>31</v>
      </c>
      <c r="C1041" s="12">
        <v>3341062</v>
      </c>
      <c r="D1041" t="s">
        <v>66</v>
      </c>
      <c r="E1041" s="12">
        <v>27</v>
      </c>
      <c r="F1041" s="10" t="s">
        <v>20</v>
      </c>
      <c r="I1041" s="26"/>
      <c r="J1041" s="138">
        <v>629.67999999999995</v>
      </c>
      <c r="K1041" s="138">
        <v>636.39</v>
      </c>
      <c r="L1041" s="138">
        <v>622.96999999999991</v>
      </c>
      <c r="M1041" s="27"/>
      <c r="N1041" s="83">
        <v>629.67999999999995</v>
      </c>
      <c r="P1041" t="str">
        <f>VLOOKUP(B1041,PTN!A:B,2,FALSE)</f>
        <v>UNIVERSITAS PENDIDIKAN INDONESIA</v>
      </c>
      <c r="Q1041" t="str">
        <f t="shared" si="16"/>
        <v>UNIVERSITAS PENDIDIKAN INDONESIAMATEMATIKA</v>
      </c>
    </row>
    <row r="1042" spans="1:17" ht="15.75" thickBot="1" x14ac:dyDescent="0.3">
      <c r="A1042" s="7">
        <v>1041</v>
      </c>
      <c r="B1042" s="6">
        <v>31</v>
      </c>
      <c r="C1042" s="13">
        <v>3341031</v>
      </c>
      <c r="D1042" t="s">
        <v>67</v>
      </c>
      <c r="E1042" s="13">
        <v>27</v>
      </c>
      <c r="F1042" s="10" t="s">
        <v>20</v>
      </c>
      <c r="I1042" s="87"/>
      <c r="J1042" s="138">
        <v>610.29999999999995</v>
      </c>
      <c r="K1042" s="138">
        <v>617.67499999999995</v>
      </c>
      <c r="L1042" s="138">
        <v>602.92499999999995</v>
      </c>
      <c r="M1042" s="28"/>
      <c r="N1042" s="83">
        <v>610.29999999999995</v>
      </c>
      <c r="P1042" t="str">
        <f>VLOOKUP(B1042,PTN!A:B,2,FALSE)</f>
        <v>UNIVERSITAS PENDIDIKAN INDONESIA</v>
      </c>
      <c r="Q1042" t="str">
        <f t="shared" si="16"/>
        <v>UNIVERSITAS PENDIDIKAN INDONESIAPENDIDIKAN BIOLOGI</v>
      </c>
    </row>
    <row r="1043" spans="1:17" ht="15.75" thickBot="1" x14ac:dyDescent="0.3">
      <c r="A1043" s="7">
        <v>1042</v>
      </c>
      <c r="B1043" s="6">
        <v>31</v>
      </c>
      <c r="C1043" s="12">
        <v>3341023</v>
      </c>
      <c r="D1043" t="s">
        <v>42</v>
      </c>
      <c r="E1043" s="12">
        <v>27</v>
      </c>
      <c r="F1043" s="10" t="s">
        <v>20</v>
      </c>
      <c r="I1043" s="26"/>
      <c r="J1043" s="138">
        <v>604.86</v>
      </c>
      <c r="K1043" s="138">
        <v>612.32500000000005</v>
      </c>
      <c r="L1043" s="138">
        <v>597.39499999999998</v>
      </c>
      <c r="M1043" s="27"/>
      <c r="N1043" s="83">
        <v>604.86</v>
      </c>
      <c r="P1043" t="str">
        <f>VLOOKUP(B1043,PTN!A:B,2,FALSE)</f>
        <v>UNIVERSITAS PENDIDIKAN INDONESIA</v>
      </c>
      <c r="Q1043" t="str">
        <f t="shared" si="16"/>
        <v>UNIVERSITAS PENDIDIKAN INDONESIAPENDIDIKAN FISIKA</v>
      </c>
    </row>
    <row r="1044" spans="1:17" ht="15.75" thickBot="1" x14ac:dyDescent="0.3">
      <c r="A1044" s="7">
        <v>1043</v>
      </c>
      <c r="B1044" s="6">
        <v>31</v>
      </c>
      <c r="C1044" s="13">
        <v>3341054</v>
      </c>
      <c r="D1044" t="s">
        <v>393</v>
      </c>
      <c r="E1044" s="13">
        <v>27</v>
      </c>
      <c r="F1044" s="10" t="s">
        <v>20</v>
      </c>
      <c r="I1044" s="87"/>
      <c r="J1044" s="138" t="s">
        <v>1292</v>
      </c>
      <c r="K1044" s="138" t="s">
        <v>1292</v>
      </c>
      <c r="L1044" s="138" t="s">
        <v>1292</v>
      </c>
      <c r="M1044" s="28"/>
      <c r="N1044" s="83" t="s">
        <v>1292</v>
      </c>
      <c r="P1044" t="str">
        <f>VLOOKUP(B1044,PTN!A:B,2,FALSE)</f>
        <v>UNIVERSITAS PENDIDIKAN INDONESIA</v>
      </c>
      <c r="Q1044" t="str">
        <f t="shared" si="16"/>
        <v>UNIVERSITAS PENDIDIKAN INDONESIAPENDIDIKAN ILMU KOMPUTER</v>
      </c>
    </row>
    <row r="1045" spans="1:17" ht="15.75" thickBot="1" x14ac:dyDescent="0.3">
      <c r="A1045" s="7">
        <v>1044</v>
      </c>
      <c r="B1045" s="6">
        <v>31</v>
      </c>
      <c r="C1045" s="12">
        <v>3341201</v>
      </c>
      <c r="D1045" t="s">
        <v>176</v>
      </c>
      <c r="E1045" s="12">
        <v>11</v>
      </c>
      <c r="F1045" s="10" t="s">
        <v>20</v>
      </c>
      <c r="I1045" s="26"/>
      <c r="J1045" s="138">
        <v>596.48</v>
      </c>
      <c r="K1045" s="138">
        <v>607.72500000000002</v>
      </c>
      <c r="L1045" s="138">
        <v>585.23500000000001</v>
      </c>
      <c r="M1045" s="27"/>
      <c r="N1045" s="83">
        <v>596.48</v>
      </c>
      <c r="P1045" t="str">
        <f>VLOOKUP(B1045,PTN!A:B,2,FALSE)</f>
        <v>UNIVERSITAS PENDIDIKAN INDONESIA</v>
      </c>
      <c r="Q1045" t="str">
        <f t="shared" si="16"/>
        <v>UNIVERSITAS PENDIDIKAN INDONESIAPENDIDIKAN ILMU PENGETAHUAN ALAM</v>
      </c>
    </row>
    <row r="1046" spans="1:17" ht="15.75" thickBot="1" x14ac:dyDescent="0.3">
      <c r="A1046" s="7">
        <v>1045</v>
      </c>
      <c r="B1046" s="6">
        <v>31</v>
      </c>
      <c r="C1046" s="13">
        <v>3341224</v>
      </c>
      <c r="D1046" t="s">
        <v>394</v>
      </c>
      <c r="E1046" s="13">
        <v>30</v>
      </c>
      <c r="F1046" s="10" t="s">
        <v>20</v>
      </c>
      <c r="I1046" s="87"/>
      <c r="J1046" s="138" t="s">
        <v>1292</v>
      </c>
      <c r="K1046" s="138" t="s">
        <v>1292</v>
      </c>
      <c r="L1046" s="138" t="s">
        <v>1292</v>
      </c>
      <c r="M1046" s="28"/>
      <c r="N1046" s="83" t="s">
        <v>1292</v>
      </c>
      <c r="P1046" t="str">
        <f>VLOOKUP(B1046,PTN!A:B,2,FALSE)</f>
        <v>UNIVERSITAS PENDIDIKAN INDONESIA</v>
      </c>
      <c r="Q1046" t="str">
        <f t="shared" si="16"/>
        <v>UNIVERSITAS PENDIDIKAN INDONESIAPENDIDIKAN KELAUTAN DAN PERIKANAN KAMPUS SERANG</v>
      </c>
    </row>
    <row r="1047" spans="1:17" ht="15.75" thickBot="1" x14ac:dyDescent="0.3">
      <c r="A1047" s="7">
        <v>1046</v>
      </c>
      <c r="B1047" s="6">
        <v>31</v>
      </c>
      <c r="C1047" s="12">
        <v>3341046</v>
      </c>
      <c r="D1047" t="s">
        <v>43</v>
      </c>
      <c r="E1047" s="12">
        <v>27</v>
      </c>
      <c r="F1047" s="10" t="s">
        <v>20</v>
      </c>
      <c r="I1047" s="26"/>
      <c r="J1047" s="138">
        <v>604.75</v>
      </c>
      <c r="K1047" s="138">
        <v>610.505</v>
      </c>
      <c r="L1047" s="138">
        <v>598.995</v>
      </c>
      <c r="M1047" s="27"/>
      <c r="N1047" s="83">
        <v>604.75</v>
      </c>
      <c r="P1047" t="str">
        <f>VLOOKUP(B1047,PTN!A:B,2,FALSE)</f>
        <v>UNIVERSITAS PENDIDIKAN INDONESIA</v>
      </c>
      <c r="Q1047" t="str">
        <f t="shared" si="16"/>
        <v>UNIVERSITAS PENDIDIKAN INDONESIAPENDIDIKAN KIMIA</v>
      </c>
    </row>
    <row r="1048" spans="1:17" ht="15.75" thickBot="1" x14ac:dyDescent="0.3">
      <c r="A1048" s="7">
        <v>1047</v>
      </c>
      <c r="B1048" s="6">
        <v>31</v>
      </c>
      <c r="C1048" s="13">
        <v>3341015</v>
      </c>
      <c r="D1048" t="s">
        <v>44</v>
      </c>
      <c r="E1048" s="13">
        <v>27</v>
      </c>
      <c r="F1048" s="10" t="s">
        <v>20</v>
      </c>
      <c r="I1048" s="87"/>
      <c r="J1048" s="138">
        <v>623.57000000000005</v>
      </c>
      <c r="K1048" s="138">
        <v>632.59</v>
      </c>
      <c r="L1048" s="138">
        <v>614.55000000000007</v>
      </c>
      <c r="M1048" s="28"/>
      <c r="N1048" s="83">
        <v>623.57000000000005</v>
      </c>
      <c r="P1048" t="str">
        <f>VLOOKUP(B1048,PTN!A:B,2,FALSE)</f>
        <v>UNIVERSITAS PENDIDIKAN INDONESIA</v>
      </c>
      <c r="Q1048" t="str">
        <f t="shared" si="16"/>
        <v>UNIVERSITAS PENDIDIKAN INDONESIAPENDIDIKAN MATEMATIKA</v>
      </c>
    </row>
    <row r="1049" spans="1:17" ht="15.75" thickBot="1" x14ac:dyDescent="0.3">
      <c r="A1049" s="7">
        <v>1048</v>
      </c>
      <c r="B1049" s="6">
        <v>31</v>
      </c>
      <c r="C1049" s="12">
        <v>3341232</v>
      </c>
      <c r="D1049" t="s">
        <v>395</v>
      </c>
      <c r="E1049" s="12">
        <v>30</v>
      </c>
      <c r="F1049" s="10" t="s">
        <v>20</v>
      </c>
      <c r="I1049" s="26"/>
      <c r="J1049" s="138">
        <v>480</v>
      </c>
      <c r="K1049" s="138" t="s">
        <v>1292</v>
      </c>
      <c r="L1049" s="138" t="s">
        <v>1292</v>
      </c>
      <c r="M1049" s="27"/>
      <c r="N1049" s="83">
        <v>480</v>
      </c>
      <c r="P1049" t="str">
        <f>VLOOKUP(B1049,PTN!A:B,2,FALSE)</f>
        <v>UNIVERSITAS PENDIDIKAN INDONESIA</v>
      </c>
      <c r="Q1049" t="str">
        <f t="shared" si="16"/>
        <v>UNIVERSITAS PENDIDIKAN INDONESIAPENDIDIKAN MULTIMEDIA KAMPUS CIBIRU</v>
      </c>
    </row>
    <row r="1050" spans="1:17" ht="15.75" thickBot="1" x14ac:dyDescent="0.3">
      <c r="A1050" s="7">
        <v>1049</v>
      </c>
      <c r="B1050" s="6">
        <v>31</v>
      </c>
      <c r="C1050" s="13">
        <v>3341247</v>
      </c>
      <c r="D1050" t="s">
        <v>396</v>
      </c>
      <c r="E1050" s="13">
        <v>30</v>
      </c>
      <c r="F1050" s="10" t="s">
        <v>20</v>
      </c>
      <c r="I1050" s="87"/>
      <c r="J1050" s="138">
        <v>480</v>
      </c>
      <c r="K1050" s="138" t="s">
        <v>1292</v>
      </c>
      <c r="L1050" s="138" t="s">
        <v>1292</v>
      </c>
      <c r="M1050" s="28"/>
      <c r="N1050" s="83">
        <v>480</v>
      </c>
      <c r="P1050" t="str">
        <f>VLOOKUP(B1050,PTN!A:B,2,FALSE)</f>
        <v>UNIVERSITAS PENDIDIKAN INDONESIA</v>
      </c>
      <c r="Q1050" t="str">
        <f t="shared" si="16"/>
        <v>UNIVERSITAS PENDIDIKAN INDONESIAPENDIDIKAN SISTEM DAN TEKNOLOGI INFORMASI KAMPUS PURWAKARTA</v>
      </c>
    </row>
    <row r="1051" spans="1:17" ht="15.75" thickBot="1" x14ac:dyDescent="0.3">
      <c r="A1051" s="7">
        <v>1050</v>
      </c>
      <c r="B1051" s="6">
        <v>31</v>
      </c>
      <c r="C1051" s="12">
        <v>3341112</v>
      </c>
      <c r="D1051" t="s">
        <v>397</v>
      </c>
      <c r="E1051" s="12">
        <v>18</v>
      </c>
      <c r="F1051" s="10" t="s">
        <v>20</v>
      </c>
      <c r="I1051" s="26"/>
      <c r="J1051" s="138">
        <v>604.32000000000005</v>
      </c>
      <c r="K1051" s="138">
        <v>611.56000000000006</v>
      </c>
      <c r="L1051" s="138">
        <v>597.08000000000004</v>
      </c>
      <c r="M1051" s="27"/>
      <c r="N1051" s="83">
        <v>604.32000000000005</v>
      </c>
      <c r="P1051" t="str">
        <f>VLOOKUP(B1051,PTN!A:B,2,FALSE)</f>
        <v>UNIVERSITAS PENDIDIKAN INDONESIA</v>
      </c>
      <c r="Q1051" t="str">
        <f t="shared" si="16"/>
        <v>UNIVERSITAS PENDIDIKAN INDONESIAPENDIDIKAN TEKNIK ARSITEKTUR</v>
      </c>
    </row>
    <row r="1052" spans="1:17" ht="15.75" thickBot="1" x14ac:dyDescent="0.3">
      <c r="A1052" s="7">
        <v>1051</v>
      </c>
      <c r="B1052" s="6">
        <v>31</v>
      </c>
      <c r="C1052" s="13">
        <v>3341127</v>
      </c>
      <c r="D1052" t="s">
        <v>116</v>
      </c>
      <c r="E1052" s="13">
        <v>18</v>
      </c>
      <c r="F1052" s="10" t="s">
        <v>20</v>
      </c>
      <c r="I1052" s="87"/>
      <c r="J1052" s="138" t="s">
        <v>1292</v>
      </c>
      <c r="K1052" s="138" t="s">
        <v>1292</v>
      </c>
      <c r="L1052" s="138" t="s">
        <v>1292</v>
      </c>
      <c r="M1052" s="28"/>
      <c r="N1052" s="83" t="s">
        <v>1292</v>
      </c>
      <c r="P1052" t="str">
        <f>VLOOKUP(B1052,PTN!A:B,2,FALSE)</f>
        <v>UNIVERSITAS PENDIDIKAN INDONESIA</v>
      </c>
      <c r="Q1052" t="str">
        <f t="shared" si="16"/>
        <v>UNIVERSITAS PENDIDIKAN INDONESIAPENDIDIKAN TEKNIK BANGUNAN</v>
      </c>
    </row>
    <row r="1053" spans="1:17" ht="15.75" thickBot="1" x14ac:dyDescent="0.3">
      <c r="A1053" s="7">
        <v>1052</v>
      </c>
      <c r="B1053" s="6">
        <v>31</v>
      </c>
      <c r="C1053" s="12">
        <v>3341143</v>
      </c>
      <c r="D1053" t="s">
        <v>23</v>
      </c>
      <c r="E1053" s="12">
        <v>33</v>
      </c>
      <c r="F1053" s="10" t="s">
        <v>20</v>
      </c>
      <c r="I1053" s="26"/>
      <c r="J1053" s="138">
        <v>580</v>
      </c>
      <c r="K1053" s="138" t="s">
        <v>1292</v>
      </c>
      <c r="L1053" s="138" t="s">
        <v>1292</v>
      </c>
      <c r="M1053" s="27"/>
      <c r="N1053" s="83">
        <v>580</v>
      </c>
      <c r="P1053" t="str">
        <f>VLOOKUP(B1053,PTN!A:B,2,FALSE)</f>
        <v>UNIVERSITAS PENDIDIKAN INDONESIA</v>
      </c>
      <c r="Q1053" t="str">
        <f t="shared" si="16"/>
        <v>UNIVERSITAS PENDIDIKAN INDONESIAPENDIDIKAN TEKNIK ELEKTRO</v>
      </c>
    </row>
    <row r="1054" spans="1:17" ht="15.75" thickBot="1" x14ac:dyDescent="0.3">
      <c r="A1054" s="7">
        <v>1053</v>
      </c>
      <c r="B1054" s="6">
        <v>31</v>
      </c>
      <c r="C1054" s="13">
        <v>3341151</v>
      </c>
      <c r="D1054" t="s">
        <v>45</v>
      </c>
      <c r="E1054" s="13">
        <v>27</v>
      </c>
      <c r="F1054" s="10" t="s">
        <v>20</v>
      </c>
      <c r="I1054" s="87"/>
      <c r="J1054" s="138">
        <v>580</v>
      </c>
      <c r="K1054" s="138" t="s">
        <v>1292</v>
      </c>
      <c r="L1054" s="138" t="s">
        <v>1292</v>
      </c>
      <c r="M1054" s="28"/>
      <c r="N1054" s="83">
        <v>580</v>
      </c>
      <c r="P1054" t="str">
        <f>VLOOKUP(B1054,PTN!A:B,2,FALSE)</f>
        <v>UNIVERSITAS PENDIDIKAN INDONESIA</v>
      </c>
      <c r="Q1054" t="str">
        <f t="shared" si="16"/>
        <v>UNIVERSITAS PENDIDIKAN INDONESIAPENDIDIKAN TEKNIK MESIN</v>
      </c>
    </row>
    <row r="1055" spans="1:17" ht="15.75" thickBot="1" x14ac:dyDescent="0.3">
      <c r="A1055" s="7">
        <v>1054</v>
      </c>
      <c r="B1055" s="6">
        <v>31</v>
      </c>
      <c r="C1055" s="12">
        <v>3341182</v>
      </c>
      <c r="D1055" t="s">
        <v>398</v>
      </c>
      <c r="E1055" s="12">
        <v>24</v>
      </c>
      <c r="F1055" s="10" t="s">
        <v>20</v>
      </c>
      <c r="I1055" s="26"/>
      <c r="J1055" s="138">
        <v>450</v>
      </c>
      <c r="K1055" s="138" t="s">
        <v>1292</v>
      </c>
      <c r="L1055" s="138" t="s">
        <v>1292</v>
      </c>
      <c r="M1055" s="27"/>
      <c r="N1055" s="83">
        <v>450</v>
      </c>
      <c r="P1055" t="str">
        <f>VLOOKUP(B1055,PTN!A:B,2,FALSE)</f>
        <v>UNIVERSITAS PENDIDIKAN INDONESIA</v>
      </c>
      <c r="Q1055" t="str">
        <f t="shared" si="16"/>
        <v>UNIVERSITAS PENDIDIKAN INDONESIAPENDIDIKAN TEKNOLOGI AGRO INDUSTRI</v>
      </c>
    </row>
    <row r="1056" spans="1:17" ht="15.75" thickBot="1" x14ac:dyDescent="0.3">
      <c r="A1056" s="7">
        <v>1055</v>
      </c>
      <c r="B1056" s="6">
        <v>31</v>
      </c>
      <c r="C1056" s="13">
        <v>3341174</v>
      </c>
      <c r="D1056" t="s">
        <v>48</v>
      </c>
      <c r="E1056" s="13">
        <v>33</v>
      </c>
      <c r="F1056" s="10" t="s">
        <v>20</v>
      </c>
      <c r="I1056" s="87"/>
      <c r="J1056" s="138">
        <v>613.5</v>
      </c>
      <c r="K1056" s="138">
        <v>617.89499999999998</v>
      </c>
      <c r="L1056" s="138">
        <v>609.10500000000002</v>
      </c>
      <c r="M1056" s="28"/>
      <c r="N1056" s="83">
        <v>613.5</v>
      </c>
      <c r="P1056" t="str">
        <f>VLOOKUP(B1056,PTN!A:B,2,FALSE)</f>
        <v>UNIVERSITAS PENDIDIKAN INDONESIA</v>
      </c>
      <c r="Q1056" t="str">
        <f t="shared" si="16"/>
        <v>UNIVERSITAS PENDIDIKAN INDONESIATEKNIK ELEKTRO</v>
      </c>
    </row>
    <row r="1057" spans="1:17" ht="15.75" thickBot="1" x14ac:dyDescent="0.3">
      <c r="A1057" s="7">
        <v>1056</v>
      </c>
      <c r="B1057" s="6">
        <v>31</v>
      </c>
      <c r="C1057" s="14">
        <v>3341197</v>
      </c>
      <c r="D1057" t="s">
        <v>54</v>
      </c>
      <c r="E1057" s="14">
        <v>36</v>
      </c>
      <c r="F1057" s="10" t="s">
        <v>20</v>
      </c>
      <c r="I1057" s="20"/>
      <c r="J1057" s="138">
        <v>615.63</v>
      </c>
      <c r="K1057" s="138">
        <v>622.04999999999995</v>
      </c>
      <c r="L1057" s="138">
        <v>609.21</v>
      </c>
      <c r="M1057" s="21"/>
      <c r="N1057" s="83">
        <v>615.63</v>
      </c>
      <c r="P1057" t="str">
        <f>VLOOKUP(B1057,PTN!A:B,2,FALSE)</f>
        <v>UNIVERSITAS PENDIDIKAN INDONESIA</v>
      </c>
      <c r="Q1057" t="str">
        <f t="shared" si="16"/>
        <v>UNIVERSITAS PENDIDIKAN INDONESIATEKNIK SIPIL</v>
      </c>
    </row>
    <row r="1058" spans="1:17" ht="16.5" thickTop="1" thickBot="1" x14ac:dyDescent="0.3">
      <c r="A1058" s="7">
        <v>1057</v>
      </c>
      <c r="B1058" s="6">
        <v>31</v>
      </c>
      <c r="C1058" s="12">
        <v>3342011</v>
      </c>
      <c r="D1058" t="s">
        <v>183</v>
      </c>
      <c r="E1058" s="12">
        <v>24</v>
      </c>
      <c r="F1058" s="10" t="s">
        <v>13</v>
      </c>
      <c r="I1058" s="22"/>
      <c r="J1058" s="138">
        <v>576.78</v>
      </c>
      <c r="K1058" s="138">
        <v>584.91773000000001</v>
      </c>
      <c r="L1058" s="138">
        <v>568.64226999999994</v>
      </c>
      <c r="M1058" s="21"/>
      <c r="N1058" s="83">
        <v>576.78</v>
      </c>
      <c r="P1058" t="str">
        <f>VLOOKUP(B1058,PTN!A:B,2,FALSE)</f>
        <v>UNIVERSITAS PENDIDIKAN INDONESIA</v>
      </c>
      <c r="Q1058" t="str">
        <f t="shared" si="16"/>
        <v>UNIVERSITAS PENDIDIKAN INDONESIAADMINISTRASI PENDIDIKAN</v>
      </c>
    </row>
    <row r="1059" spans="1:17" ht="16.5" thickTop="1" thickBot="1" x14ac:dyDescent="0.3">
      <c r="A1059" s="7">
        <v>1058</v>
      </c>
      <c r="B1059" s="6">
        <v>31</v>
      </c>
      <c r="C1059" s="13">
        <v>3342363</v>
      </c>
      <c r="D1059" t="s">
        <v>55</v>
      </c>
      <c r="E1059" s="13">
        <v>30</v>
      </c>
      <c r="F1059" s="10" t="s">
        <v>13</v>
      </c>
      <c r="I1059" s="23"/>
      <c r="J1059" s="138">
        <v>622.29999999999995</v>
      </c>
      <c r="K1059" s="138">
        <v>630.43772999999999</v>
      </c>
      <c r="L1059" s="138">
        <v>614.16226999999992</v>
      </c>
      <c r="M1059" s="25"/>
      <c r="N1059" s="83">
        <v>622.29999999999995</v>
      </c>
      <c r="P1059" t="str">
        <f>VLOOKUP(B1059,PTN!A:B,2,FALSE)</f>
        <v>UNIVERSITAS PENDIDIKAN INDONESIA</v>
      </c>
      <c r="Q1059" t="str">
        <f t="shared" si="16"/>
        <v>UNIVERSITAS PENDIDIKAN INDONESIAAKUNTANSI</v>
      </c>
    </row>
    <row r="1060" spans="1:17" ht="16.5" thickTop="1" thickBot="1" x14ac:dyDescent="0.3">
      <c r="A1060" s="7">
        <v>1059</v>
      </c>
      <c r="B1060" s="6">
        <v>31</v>
      </c>
      <c r="C1060" s="12">
        <v>3342251</v>
      </c>
      <c r="D1060" t="s">
        <v>399</v>
      </c>
      <c r="E1060" s="12">
        <v>27</v>
      </c>
      <c r="F1060" s="10" t="s">
        <v>13</v>
      </c>
      <c r="I1060" s="26"/>
      <c r="J1060" s="138">
        <v>574.07000000000005</v>
      </c>
      <c r="K1060" s="138">
        <v>582.20773000000008</v>
      </c>
      <c r="L1060" s="138">
        <v>565.93227000000002</v>
      </c>
      <c r="M1060" s="27"/>
      <c r="N1060" s="83">
        <v>574.07000000000005</v>
      </c>
      <c r="P1060" t="str">
        <f>VLOOKUP(B1060,PTN!A:B,2,FALSE)</f>
        <v>UNIVERSITAS PENDIDIKAN INDONESIA</v>
      </c>
      <c r="Q1060" t="str">
        <f t="shared" si="16"/>
        <v>UNIVERSITAS PENDIDIKAN INDONESIABAHASA DAN SASTRA INDONESIA</v>
      </c>
    </row>
    <row r="1061" spans="1:17" ht="15.75" thickBot="1" x14ac:dyDescent="0.3">
      <c r="A1061" s="7">
        <v>1060</v>
      </c>
      <c r="B1061" s="6">
        <v>31</v>
      </c>
      <c r="C1061" s="13">
        <v>3342243</v>
      </c>
      <c r="D1061" t="s">
        <v>311</v>
      </c>
      <c r="E1061" s="13">
        <v>24</v>
      </c>
      <c r="F1061" s="10" t="s">
        <v>13</v>
      </c>
      <c r="I1061" s="87"/>
      <c r="J1061" s="138">
        <v>609.36</v>
      </c>
      <c r="K1061" s="138">
        <v>617.49773000000005</v>
      </c>
      <c r="L1061" s="138">
        <v>601.22226999999998</v>
      </c>
      <c r="M1061" s="28"/>
      <c r="N1061" s="83">
        <v>609.36</v>
      </c>
      <c r="P1061" t="str">
        <f>VLOOKUP(B1061,PTN!A:B,2,FALSE)</f>
        <v>UNIVERSITAS PENDIDIKAN INDONESIA</v>
      </c>
      <c r="Q1061" t="str">
        <f t="shared" si="16"/>
        <v>UNIVERSITAS PENDIDIKAN INDONESIABAHASA DAN SASTRA INGGRIS</v>
      </c>
    </row>
    <row r="1062" spans="1:17" ht="15.75" thickBot="1" x14ac:dyDescent="0.3">
      <c r="A1062" s="7">
        <v>1061</v>
      </c>
      <c r="B1062" s="6">
        <v>31</v>
      </c>
      <c r="C1062" s="12">
        <v>3342026</v>
      </c>
      <c r="D1062" t="s">
        <v>187</v>
      </c>
      <c r="E1062" s="12">
        <v>27</v>
      </c>
      <c r="F1062" s="10" t="s">
        <v>13</v>
      </c>
      <c r="I1062" s="26"/>
      <c r="J1062" s="138">
        <v>581.04</v>
      </c>
      <c r="K1062" s="138">
        <v>589.17773</v>
      </c>
      <c r="L1062" s="138">
        <v>572.90226999999993</v>
      </c>
      <c r="M1062" s="27"/>
      <c r="N1062" s="83">
        <v>581.04</v>
      </c>
      <c r="P1062" t="str">
        <f>VLOOKUP(B1062,PTN!A:B,2,FALSE)</f>
        <v>UNIVERSITAS PENDIDIKAN INDONESIA</v>
      </c>
      <c r="Q1062" t="str">
        <f t="shared" si="16"/>
        <v>UNIVERSITAS PENDIDIKAN INDONESIABIMBINGAN DAN KONSELING</v>
      </c>
    </row>
    <row r="1063" spans="1:17" ht="15.75" thickBot="1" x14ac:dyDescent="0.3">
      <c r="A1063" s="7">
        <v>1062</v>
      </c>
      <c r="B1063" s="6">
        <v>31</v>
      </c>
      <c r="C1063" s="13">
        <v>3342587</v>
      </c>
      <c r="D1063" t="s">
        <v>12</v>
      </c>
      <c r="E1063" s="13">
        <v>30</v>
      </c>
      <c r="F1063" s="10" t="s">
        <v>13</v>
      </c>
      <c r="I1063" s="87"/>
      <c r="J1063" s="138">
        <v>616.09</v>
      </c>
      <c r="K1063" s="138">
        <v>624.22773000000007</v>
      </c>
      <c r="L1063" s="138">
        <v>607.95227</v>
      </c>
      <c r="M1063" s="28"/>
      <c r="N1063" s="83">
        <v>616.09</v>
      </c>
      <c r="P1063" t="str">
        <f>VLOOKUP(B1063,PTN!A:B,2,FALSE)</f>
        <v>UNIVERSITAS PENDIDIKAN INDONESIA</v>
      </c>
      <c r="Q1063" t="str">
        <f t="shared" si="16"/>
        <v>UNIVERSITAS PENDIDIKAN INDONESIADESAIN KOMUNIKASI VISUAL</v>
      </c>
    </row>
    <row r="1064" spans="1:17" ht="15.75" thickBot="1" x14ac:dyDescent="0.3">
      <c r="A1064" s="7">
        <v>1063</v>
      </c>
      <c r="B1064" s="6">
        <v>31</v>
      </c>
      <c r="C1064" s="12">
        <v>3342525</v>
      </c>
      <c r="D1064" t="s">
        <v>400</v>
      </c>
      <c r="E1064" s="12">
        <v>27</v>
      </c>
      <c r="F1064" s="10" t="s">
        <v>13</v>
      </c>
      <c r="I1064" s="26"/>
      <c r="J1064" s="138">
        <v>593.79999999999995</v>
      </c>
      <c r="K1064" s="138">
        <v>601.93772999999999</v>
      </c>
      <c r="L1064" s="138">
        <v>585.66226999999992</v>
      </c>
      <c r="M1064" s="27"/>
      <c r="N1064" s="83">
        <v>593.79999999999995</v>
      </c>
      <c r="P1064" t="str">
        <f>VLOOKUP(B1064,PTN!A:B,2,FALSE)</f>
        <v>UNIVERSITAS PENDIDIKAN INDONESIA</v>
      </c>
      <c r="Q1064" t="str">
        <f t="shared" si="16"/>
        <v>UNIVERSITAS PENDIDIKAN INDONESIAILMU EKONOMI DAN KEUANGAN ISLAM</v>
      </c>
    </row>
    <row r="1065" spans="1:17" ht="15.75" thickBot="1" x14ac:dyDescent="0.3">
      <c r="A1065" s="7">
        <v>1064</v>
      </c>
      <c r="B1065" s="6">
        <v>31</v>
      </c>
      <c r="C1065" s="13">
        <v>3342502</v>
      </c>
      <c r="D1065" t="s">
        <v>60</v>
      </c>
      <c r="E1065" s="13">
        <v>27</v>
      </c>
      <c r="F1065" s="10" t="s">
        <v>13</v>
      </c>
      <c r="I1065" s="87"/>
      <c r="J1065" s="138">
        <v>614.82000000000005</v>
      </c>
      <c r="K1065" s="138">
        <v>622.95773000000008</v>
      </c>
      <c r="L1065" s="138">
        <v>606.68227000000002</v>
      </c>
      <c r="M1065" s="28"/>
      <c r="N1065" s="83">
        <v>614.82000000000005</v>
      </c>
      <c r="P1065" t="str">
        <f>VLOOKUP(B1065,PTN!A:B,2,FALSE)</f>
        <v>UNIVERSITAS PENDIDIKAN INDONESIA</v>
      </c>
      <c r="Q1065" t="str">
        <f t="shared" si="16"/>
        <v>UNIVERSITAS PENDIDIKAN INDONESIAILMU KOMUNIKASI</v>
      </c>
    </row>
    <row r="1066" spans="1:17" ht="15.75" thickBot="1" x14ac:dyDescent="0.3">
      <c r="A1066" s="7">
        <v>1065</v>
      </c>
      <c r="B1066" s="6">
        <v>31</v>
      </c>
      <c r="C1066" s="12">
        <v>3342107</v>
      </c>
      <c r="D1066" t="s">
        <v>401</v>
      </c>
      <c r="E1066" s="12">
        <v>30</v>
      </c>
      <c r="F1066" s="10" t="s">
        <v>13</v>
      </c>
      <c r="I1066" s="26"/>
      <c r="J1066" s="138">
        <v>575.47</v>
      </c>
      <c r="K1066" s="138">
        <v>583.60773000000006</v>
      </c>
      <c r="L1066" s="138">
        <v>567.33226999999999</v>
      </c>
      <c r="M1066" s="27"/>
      <c r="N1066" s="83">
        <v>575.47</v>
      </c>
      <c r="P1066" t="str">
        <f>VLOOKUP(B1066,PTN!A:B,2,FALSE)</f>
        <v>UNIVERSITAS PENDIDIKAN INDONESIA</v>
      </c>
      <c r="Q1066" t="str">
        <f t="shared" si="16"/>
        <v>UNIVERSITAS PENDIDIKAN INDONESIAILMU PENDIDIKAN AGAMA ISLAM</v>
      </c>
    </row>
    <row r="1067" spans="1:17" ht="15.75" thickBot="1" x14ac:dyDescent="0.3">
      <c r="A1067" s="7">
        <v>1066</v>
      </c>
      <c r="B1067" s="6">
        <v>31</v>
      </c>
      <c r="C1067" s="13">
        <v>3342564</v>
      </c>
      <c r="D1067" t="s">
        <v>402</v>
      </c>
      <c r="E1067" s="13">
        <v>41</v>
      </c>
      <c r="F1067" s="10" t="s">
        <v>13</v>
      </c>
      <c r="I1067" s="87"/>
      <c r="J1067" s="138" t="s">
        <v>1292</v>
      </c>
      <c r="K1067" s="138" t="s">
        <v>1292</v>
      </c>
      <c r="L1067" s="138" t="s">
        <v>1292</v>
      </c>
      <c r="M1067" s="28"/>
      <c r="N1067" s="83" t="s">
        <v>1292</v>
      </c>
      <c r="P1067" t="str">
        <f>VLOOKUP(B1067,PTN!A:B,2,FALSE)</f>
        <v>UNIVERSITAS PENDIDIKAN INDONESIA</v>
      </c>
      <c r="Q1067" t="str">
        <f t="shared" si="16"/>
        <v>UNIVERSITAS PENDIDIKAN INDONESIAKEWIRAUSAHAAN KAMPUS TASIKMALAYA</v>
      </c>
    </row>
    <row r="1068" spans="1:17" ht="15.75" thickBot="1" x14ac:dyDescent="0.3">
      <c r="A1068" s="7">
        <v>1067</v>
      </c>
      <c r="B1068" s="6">
        <v>31</v>
      </c>
      <c r="C1068" s="12">
        <v>3342355</v>
      </c>
      <c r="D1068" t="s">
        <v>61</v>
      </c>
      <c r="E1068" s="12">
        <v>30</v>
      </c>
      <c r="F1068" s="10" t="s">
        <v>13</v>
      </c>
      <c r="I1068" s="26"/>
      <c r="J1068" s="138">
        <v>615.09</v>
      </c>
      <c r="K1068" s="138">
        <v>623.22773000000007</v>
      </c>
      <c r="L1068" s="138">
        <v>606.95227</v>
      </c>
      <c r="M1068" s="27"/>
      <c r="N1068" s="83">
        <v>615.09</v>
      </c>
      <c r="P1068" t="str">
        <f>VLOOKUP(B1068,PTN!A:B,2,FALSE)</f>
        <v>UNIVERSITAS PENDIDIKAN INDONESIA</v>
      </c>
      <c r="Q1068" t="str">
        <f t="shared" si="16"/>
        <v>UNIVERSITAS PENDIDIKAN INDONESIAMANAJEMEN</v>
      </c>
    </row>
    <row r="1069" spans="1:17" ht="15.75" thickBot="1" x14ac:dyDescent="0.3">
      <c r="A1069" s="7">
        <v>1068</v>
      </c>
      <c r="B1069" s="6">
        <v>31</v>
      </c>
      <c r="C1069" s="13">
        <v>3342131</v>
      </c>
      <c r="D1069" t="s">
        <v>403</v>
      </c>
      <c r="E1069" s="13">
        <v>30</v>
      </c>
      <c r="F1069" s="10" t="s">
        <v>13</v>
      </c>
      <c r="I1069" s="87"/>
      <c r="J1069" s="138">
        <v>580.55999999999995</v>
      </c>
      <c r="K1069" s="138">
        <v>588.69772999999998</v>
      </c>
      <c r="L1069" s="138">
        <v>572.42226999999991</v>
      </c>
      <c r="M1069" s="28"/>
      <c r="N1069" s="83">
        <v>580.55999999999995</v>
      </c>
      <c r="P1069" t="str">
        <f>VLOOKUP(B1069,PTN!A:B,2,FALSE)</f>
        <v>UNIVERSITAS PENDIDIKAN INDONESIA</v>
      </c>
      <c r="Q1069" t="str">
        <f t="shared" si="16"/>
        <v>UNIVERSITAS PENDIDIKAN INDONESIAMANAJEMEN INDUSTRI KATERING</v>
      </c>
    </row>
    <row r="1070" spans="1:17" ht="15.75" thickBot="1" x14ac:dyDescent="0.3">
      <c r="A1070" s="7">
        <v>1069</v>
      </c>
      <c r="B1070" s="6">
        <v>31</v>
      </c>
      <c r="C1070" s="12">
        <v>3342123</v>
      </c>
      <c r="D1070" t="s">
        <v>404</v>
      </c>
      <c r="E1070" s="12">
        <v>30</v>
      </c>
      <c r="F1070" s="10" t="s">
        <v>13</v>
      </c>
      <c r="I1070" s="26"/>
      <c r="J1070" s="138">
        <v>587.42999999999995</v>
      </c>
      <c r="K1070" s="138">
        <v>595.56772999999998</v>
      </c>
      <c r="L1070" s="138">
        <v>579.29226999999992</v>
      </c>
      <c r="M1070" s="27"/>
      <c r="N1070" s="83">
        <v>587.42999999999995</v>
      </c>
      <c r="P1070" t="str">
        <f>VLOOKUP(B1070,PTN!A:B,2,FALSE)</f>
        <v>UNIVERSITAS PENDIDIKAN INDONESIA</v>
      </c>
      <c r="Q1070" t="str">
        <f t="shared" si="16"/>
        <v>UNIVERSITAS PENDIDIKAN INDONESIAMANAJEMEN PEMASARAN PARIWISATA</v>
      </c>
    </row>
    <row r="1071" spans="1:17" ht="15.75" thickBot="1" x14ac:dyDescent="0.3">
      <c r="A1071" s="7">
        <v>1070</v>
      </c>
      <c r="B1071" s="6">
        <v>31</v>
      </c>
      <c r="C1071" s="13">
        <v>3342115</v>
      </c>
      <c r="D1071" t="s">
        <v>405</v>
      </c>
      <c r="E1071" s="13">
        <v>30</v>
      </c>
      <c r="F1071" s="10" t="s">
        <v>13</v>
      </c>
      <c r="I1071" s="87"/>
      <c r="J1071" s="138">
        <v>597.96</v>
      </c>
      <c r="K1071" s="138">
        <v>606.09773000000007</v>
      </c>
      <c r="L1071" s="138">
        <v>589.82227</v>
      </c>
      <c r="M1071" s="28"/>
      <c r="N1071" s="83">
        <v>597.96</v>
      </c>
      <c r="P1071" t="str">
        <f>VLOOKUP(B1071,PTN!A:B,2,FALSE)</f>
        <v>UNIVERSITAS PENDIDIKAN INDONESIA</v>
      </c>
      <c r="Q1071" t="str">
        <f t="shared" si="16"/>
        <v>UNIVERSITAS PENDIDIKAN INDONESIAMANAJEMEN RESORT DAN LEISURE</v>
      </c>
    </row>
    <row r="1072" spans="1:17" ht="15.75" thickBot="1" x14ac:dyDescent="0.3">
      <c r="A1072" s="7">
        <v>1071</v>
      </c>
      <c r="B1072" s="6">
        <v>31</v>
      </c>
      <c r="C1072" s="12">
        <v>3342316</v>
      </c>
      <c r="D1072" t="s">
        <v>122</v>
      </c>
      <c r="E1072" s="12">
        <v>30</v>
      </c>
      <c r="F1072" s="10" t="s">
        <v>13</v>
      </c>
      <c r="I1072" s="26"/>
      <c r="J1072" s="138">
        <v>584.47</v>
      </c>
      <c r="K1072" s="138">
        <v>592.60773000000006</v>
      </c>
      <c r="L1072" s="138">
        <v>576.33226999999999</v>
      </c>
      <c r="M1072" s="27"/>
      <c r="N1072" s="83">
        <v>584.47</v>
      </c>
      <c r="P1072" t="str">
        <f>VLOOKUP(B1072,PTN!A:B,2,FALSE)</f>
        <v>UNIVERSITAS PENDIDIKAN INDONESIA</v>
      </c>
      <c r="Q1072" t="str">
        <f t="shared" si="16"/>
        <v>UNIVERSITAS PENDIDIKAN INDONESIAPENDIDIKAN AKUNTANSI</v>
      </c>
    </row>
    <row r="1073" spans="1:17" ht="15.75" thickBot="1" x14ac:dyDescent="0.3">
      <c r="A1073" s="7">
        <v>1072</v>
      </c>
      <c r="B1073" s="6">
        <v>31</v>
      </c>
      <c r="C1073" s="13">
        <v>3342177</v>
      </c>
      <c r="D1073" t="s">
        <v>244</v>
      </c>
      <c r="E1073" s="13">
        <v>27</v>
      </c>
      <c r="F1073" s="10" t="s">
        <v>13</v>
      </c>
      <c r="I1073" s="87"/>
      <c r="J1073" s="138" t="s">
        <v>1292</v>
      </c>
      <c r="K1073" s="138" t="s">
        <v>1292</v>
      </c>
      <c r="L1073" s="138" t="s">
        <v>1292</v>
      </c>
      <c r="M1073" s="28"/>
      <c r="N1073" s="83" t="s">
        <v>1292</v>
      </c>
      <c r="P1073" t="str">
        <f>VLOOKUP(B1073,PTN!A:B,2,FALSE)</f>
        <v>UNIVERSITAS PENDIDIKAN INDONESIA</v>
      </c>
      <c r="Q1073" t="str">
        <f t="shared" si="16"/>
        <v>UNIVERSITAS PENDIDIKAN INDONESIAPENDIDIKAN BAHASA ARAB</v>
      </c>
    </row>
    <row r="1074" spans="1:17" ht="15.75" thickBot="1" x14ac:dyDescent="0.3">
      <c r="A1074" s="7">
        <v>1073</v>
      </c>
      <c r="B1074" s="6">
        <v>31</v>
      </c>
      <c r="C1074" s="12">
        <v>3342162</v>
      </c>
      <c r="D1074" t="s">
        <v>71</v>
      </c>
      <c r="E1074" s="12">
        <v>23</v>
      </c>
      <c r="F1074" s="10" t="s">
        <v>13</v>
      </c>
      <c r="I1074" s="26"/>
      <c r="J1074" s="138">
        <v>603.6</v>
      </c>
      <c r="K1074" s="138">
        <v>611.73773000000006</v>
      </c>
      <c r="L1074" s="138">
        <v>595.46226999999999</v>
      </c>
      <c r="M1074" s="27"/>
      <c r="N1074" s="83">
        <v>603.6</v>
      </c>
      <c r="P1074" t="str">
        <f>VLOOKUP(B1074,PTN!A:B,2,FALSE)</f>
        <v>UNIVERSITAS PENDIDIKAN INDONESIA</v>
      </c>
      <c r="Q1074" t="str">
        <f t="shared" si="16"/>
        <v>UNIVERSITAS PENDIDIKAN INDONESIAPENDIDIKAN BAHASA INGGRIS</v>
      </c>
    </row>
    <row r="1075" spans="1:17" ht="15.75" thickBot="1" x14ac:dyDescent="0.3">
      <c r="A1075" s="7">
        <v>1074</v>
      </c>
      <c r="B1075" s="6">
        <v>31</v>
      </c>
      <c r="C1075" s="13">
        <v>3342185</v>
      </c>
      <c r="D1075" t="s">
        <v>198</v>
      </c>
      <c r="E1075" s="13">
        <v>35</v>
      </c>
      <c r="F1075" s="10" t="s">
        <v>13</v>
      </c>
      <c r="I1075" s="87"/>
      <c r="J1075" s="138">
        <v>596.09</v>
      </c>
      <c r="K1075" s="138">
        <v>604.22773000000007</v>
      </c>
      <c r="L1075" s="138">
        <v>587.95227</v>
      </c>
      <c r="M1075" s="28"/>
      <c r="N1075" s="83">
        <v>596.09</v>
      </c>
      <c r="P1075" t="str">
        <f>VLOOKUP(B1075,PTN!A:B,2,FALSE)</f>
        <v>UNIVERSITAS PENDIDIKAN INDONESIA</v>
      </c>
      <c r="Q1075" t="str">
        <f t="shared" si="16"/>
        <v>UNIVERSITAS PENDIDIKAN INDONESIAPENDIDIKAN BAHASA JEPANG</v>
      </c>
    </row>
    <row r="1076" spans="1:17" ht="15.75" thickBot="1" x14ac:dyDescent="0.3">
      <c r="A1076" s="7">
        <v>1075</v>
      </c>
      <c r="B1076" s="6">
        <v>31</v>
      </c>
      <c r="C1076" s="12">
        <v>3342193</v>
      </c>
      <c r="D1076" t="s">
        <v>124</v>
      </c>
      <c r="E1076" s="12">
        <v>24</v>
      </c>
      <c r="F1076" s="10" t="s">
        <v>13</v>
      </c>
      <c r="I1076" s="26"/>
      <c r="J1076" s="138">
        <v>584.72</v>
      </c>
      <c r="K1076" s="138">
        <v>592.85773000000006</v>
      </c>
      <c r="L1076" s="138">
        <v>576.58226999999999</v>
      </c>
      <c r="M1076" s="27"/>
      <c r="N1076" s="83">
        <v>584.72</v>
      </c>
      <c r="P1076" t="str">
        <f>VLOOKUP(B1076,PTN!A:B,2,FALSE)</f>
        <v>UNIVERSITAS PENDIDIKAN INDONESIA</v>
      </c>
      <c r="Q1076" t="str">
        <f t="shared" si="16"/>
        <v>UNIVERSITAS PENDIDIKAN INDONESIAPENDIDIKAN BAHASA JERMAN</v>
      </c>
    </row>
    <row r="1077" spans="1:17" ht="15.75" thickBot="1" x14ac:dyDescent="0.3">
      <c r="A1077" s="7">
        <v>1076</v>
      </c>
      <c r="B1077" s="6">
        <v>31</v>
      </c>
      <c r="C1077" s="13">
        <v>3342556</v>
      </c>
      <c r="D1077" t="s">
        <v>406</v>
      </c>
      <c r="E1077" s="13">
        <v>24</v>
      </c>
      <c r="F1077" s="10" t="s">
        <v>13</v>
      </c>
      <c r="I1077" s="87"/>
      <c r="J1077" s="138">
        <v>601.83000000000004</v>
      </c>
      <c r="K1077" s="138">
        <v>609.96773000000007</v>
      </c>
      <c r="L1077" s="138">
        <v>593.69227000000001</v>
      </c>
      <c r="M1077" s="28"/>
      <c r="N1077" s="83">
        <v>601.83000000000004</v>
      </c>
      <c r="P1077" t="str">
        <f>VLOOKUP(B1077,PTN!A:B,2,FALSE)</f>
        <v>UNIVERSITAS PENDIDIKAN INDONESIA</v>
      </c>
      <c r="Q1077" t="str">
        <f t="shared" si="16"/>
        <v>UNIVERSITAS PENDIDIKAN INDONESIAPENDIDIKAN BAHASA KOREA</v>
      </c>
    </row>
    <row r="1078" spans="1:17" ht="15.75" thickBot="1" x14ac:dyDescent="0.3">
      <c r="A1078" s="7">
        <v>1077</v>
      </c>
      <c r="B1078" s="6">
        <v>31</v>
      </c>
      <c r="C1078" s="12">
        <v>3342204</v>
      </c>
      <c r="D1078" t="s">
        <v>125</v>
      </c>
      <c r="E1078" s="12">
        <v>24</v>
      </c>
      <c r="F1078" s="10" t="s">
        <v>13</v>
      </c>
      <c r="I1078" s="26"/>
      <c r="J1078" s="138">
        <v>570.32000000000005</v>
      </c>
      <c r="K1078" s="138">
        <v>578.45773000000008</v>
      </c>
      <c r="L1078" s="138">
        <v>562.18227000000002</v>
      </c>
      <c r="M1078" s="27"/>
      <c r="N1078" s="83">
        <v>570.32000000000005</v>
      </c>
      <c r="P1078" t="str">
        <f>VLOOKUP(B1078,PTN!A:B,2,FALSE)</f>
        <v>UNIVERSITAS PENDIDIKAN INDONESIA</v>
      </c>
      <c r="Q1078" t="str">
        <f t="shared" si="16"/>
        <v>UNIVERSITAS PENDIDIKAN INDONESIAPENDIDIKAN BAHASA PERANCIS</v>
      </c>
    </row>
    <row r="1079" spans="1:17" ht="15.75" thickBot="1" x14ac:dyDescent="0.3">
      <c r="A1079" s="7">
        <v>1078</v>
      </c>
      <c r="B1079" s="6">
        <v>31</v>
      </c>
      <c r="C1079" s="13">
        <v>3342154</v>
      </c>
      <c r="D1079" t="s">
        <v>407</v>
      </c>
      <c r="E1079" s="13">
        <v>39</v>
      </c>
      <c r="F1079" s="10" t="s">
        <v>13</v>
      </c>
      <c r="I1079" s="87"/>
      <c r="J1079" s="138" t="s">
        <v>1292</v>
      </c>
      <c r="K1079" s="138" t="s">
        <v>1292</v>
      </c>
      <c r="L1079" s="138" t="s">
        <v>1292</v>
      </c>
      <c r="M1079" s="28"/>
      <c r="N1079" s="83" t="s">
        <v>1292</v>
      </c>
      <c r="P1079" t="str">
        <f>VLOOKUP(B1079,PTN!A:B,2,FALSE)</f>
        <v>UNIVERSITAS PENDIDIKAN INDONESIA</v>
      </c>
      <c r="Q1079" t="str">
        <f t="shared" si="16"/>
        <v>UNIVERSITAS PENDIDIKAN INDONESIAPENDIDIKAN BAHASA SUNDA</v>
      </c>
    </row>
    <row r="1080" spans="1:17" ht="15.75" thickBot="1" x14ac:dyDescent="0.3">
      <c r="A1080" s="7">
        <v>1079</v>
      </c>
      <c r="B1080" s="6">
        <v>31</v>
      </c>
      <c r="C1080" s="12">
        <v>3342146</v>
      </c>
      <c r="D1080" t="s">
        <v>408</v>
      </c>
      <c r="E1080" s="12">
        <v>41</v>
      </c>
      <c r="F1080" s="10" t="s">
        <v>13</v>
      </c>
      <c r="I1080" s="26"/>
      <c r="J1080" s="138">
        <v>580.49</v>
      </c>
      <c r="K1080" s="138">
        <v>588.62773000000004</v>
      </c>
      <c r="L1080" s="138">
        <v>572.35226999999998</v>
      </c>
      <c r="M1080" s="27"/>
      <c r="N1080" s="83">
        <v>580.49</v>
      </c>
      <c r="P1080" t="str">
        <f>VLOOKUP(B1080,PTN!A:B,2,FALSE)</f>
        <v>UNIVERSITAS PENDIDIKAN INDONESIA</v>
      </c>
      <c r="Q1080" t="str">
        <f t="shared" si="16"/>
        <v>UNIVERSITAS PENDIDIKAN INDONESIAPENDIDIKAN BHS.DAN SASTRA INDONESIA</v>
      </c>
    </row>
    <row r="1081" spans="1:17" ht="15.75" thickBot="1" x14ac:dyDescent="0.3">
      <c r="A1081" s="7">
        <v>1080</v>
      </c>
      <c r="B1081" s="6">
        <v>31</v>
      </c>
      <c r="C1081" s="13">
        <v>3342324</v>
      </c>
      <c r="D1081" t="s">
        <v>327</v>
      </c>
      <c r="E1081" s="13">
        <v>30</v>
      </c>
      <c r="F1081" s="10" t="s">
        <v>13</v>
      </c>
      <c r="I1081" s="87"/>
      <c r="J1081" s="138">
        <v>581.53</v>
      </c>
      <c r="K1081" s="138">
        <v>589.66773000000001</v>
      </c>
      <c r="L1081" s="138">
        <v>573.39226999999994</v>
      </c>
      <c r="M1081" s="28"/>
      <c r="N1081" s="83">
        <v>581.53</v>
      </c>
      <c r="P1081" t="str">
        <f>VLOOKUP(B1081,PTN!A:B,2,FALSE)</f>
        <v>UNIVERSITAS PENDIDIKAN INDONESIA</v>
      </c>
      <c r="Q1081" t="str">
        <f t="shared" si="16"/>
        <v>UNIVERSITAS PENDIDIKAN INDONESIAPENDIDIKAN BISNIS</v>
      </c>
    </row>
    <row r="1082" spans="1:17" ht="15.75" thickBot="1" x14ac:dyDescent="0.3">
      <c r="A1082" s="7">
        <v>1081</v>
      </c>
      <c r="B1082" s="6">
        <v>31</v>
      </c>
      <c r="C1082" s="12">
        <v>3342347</v>
      </c>
      <c r="D1082" t="s">
        <v>100</v>
      </c>
      <c r="E1082" s="12">
        <v>30</v>
      </c>
      <c r="F1082" s="10" t="s">
        <v>13</v>
      </c>
      <c r="I1082" s="26"/>
      <c r="J1082" s="138">
        <v>584.99</v>
      </c>
      <c r="K1082" s="138">
        <v>593.12773000000004</v>
      </c>
      <c r="L1082" s="138">
        <v>576.85226999999998</v>
      </c>
      <c r="M1082" s="27"/>
      <c r="N1082" s="83">
        <v>584.99</v>
      </c>
      <c r="P1082" t="str">
        <f>VLOOKUP(B1082,PTN!A:B,2,FALSE)</f>
        <v>UNIVERSITAS PENDIDIKAN INDONESIA</v>
      </c>
      <c r="Q1082" t="str">
        <f t="shared" si="16"/>
        <v>UNIVERSITAS PENDIDIKAN INDONESIAPENDIDIKAN EKONOMI</v>
      </c>
    </row>
    <row r="1083" spans="1:17" ht="15.75" thickBot="1" x14ac:dyDescent="0.3">
      <c r="A1083" s="7">
        <v>1082</v>
      </c>
      <c r="B1083" s="6">
        <v>31</v>
      </c>
      <c r="C1083" s="13">
        <v>3342096</v>
      </c>
      <c r="D1083" t="s">
        <v>72</v>
      </c>
      <c r="E1083" s="13">
        <v>30</v>
      </c>
      <c r="F1083" s="10" t="s">
        <v>13</v>
      </c>
      <c r="I1083" s="87"/>
      <c r="J1083" s="138">
        <v>574.32000000000005</v>
      </c>
      <c r="K1083" s="138">
        <v>582.45773000000008</v>
      </c>
      <c r="L1083" s="138">
        <v>566.18227000000002</v>
      </c>
      <c r="M1083" s="28"/>
      <c r="N1083" s="83">
        <v>574.32000000000005</v>
      </c>
      <c r="P1083" t="str">
        <f>VLOOKUP(B1083,PTN!A:B,2,FALSE)</f>
        <v>UNIVERSITAS PENDIDIKAN INDONESIA</v>
      </c>
      <c r="Q1083" t="str">
        <f t="shared" si="16"/>
        <v>UNIVERSITAS PENDIDIKAN INDONESIAPENDIDIKAN GEOGRAFI</v>
      </c>
    </row>
    <row r="1084" spans="1:17" ht="15.75" thickBot="1" x14ac:dyDescent="0.3">
      <c r="A1084" s="7">
        <v>1083</v>
      </c>
      <c r="B1084" s="6">
        <v>31</v>
      </c>
      <c r="C1084" s="12">
        <v>3342386</v>
      </c>
      <c r="D1084" t="s">
        <v>409</v>
      </c>
      <c r="E1084" s="12">
        <v>30</v>
      </c>
      <c r="F1084" s="10" t="s">
        <v>13</v>
      </c>
      <c r="I1084" s="26"/>
      <c r="J1084" s="138" t="s">
        <v>1292</v>
      </c>
      <c r="K1084" s="138" t="s">
        <v>1292</v>
      </c>
      <c r="L1084" s="138" t="s">
        <v>1292</v>
      </c>
      <c r="M1084" s="27"/>
      <c r="N1084" s="83" t="s">
        <v>1292</v>
      </c>
      <c r="P1084" t="str">
        <f>VLOOKUP(B1084,PTN!A:B,2,FALSE)</f>
        <v>UNIVERSITAS PENDIDIKAN INDONESIA</v>
      </c>
      <c r="Q1084" t="str">
        <f t="shared" si="16"/>
        <v>UNIVERSITAS PENDIDIKAN INDONESIAPENDIDIKAN IPS</v>
      </c>
    </row>
    <row r="1085" spans="1:17" ht="15.75" thickBot="1" x14ac:dyDescent="0.3">
      <c r="A1085" s="7">
        <v>1084</v>
      </c>
      <c r="B1085" s="6">
        <v>31</v>
      </c>
      <c r="C1085" s="13">
        <v>3342297</v>
      </c>
      <c r="D1085" t="s">
        <v>330</v>
      </c>
      <c r="E1085" s="13">
        <v>39</v>
      </c>
      <c r="F1085" s="10" t="s">
        <v>13</v>
      </c>
      <c r="I1085" s="87"/>
      <c r="J1085" s="138">
        <v>590</v>
      </c>
      <c r="K1085" s="138" t="s">
        <v>1292</v>
      </c>
      <c r="L1085" s="138" t="s">
        <v>1292</v>
      </c>
      <c r="M1085" s="28"/>
      <c r="N1085" s="83">
        <v>590</v>
      </c>
      <c r="P1085" t="str">
        <f>VLOOKUP(B1085,PTN!A:B,2,FALSE)</f>
        <v>UNIVERSITAS PENDIDIKAN INDONESIA</v>
      </c>
      <c r="Q1085" t="str">
        <f t="shared" si="16"/>
        <v>UNIVERSITAS PENDIDIKAN INDONESIAPENDIDIKAN KEPELATIHAN OLAHRAGA</v>
      </c>
    </row>
    <row r="1086" spans="1:17" ht="15.75" thickBot="1" x14ac:dyDescent="0.3">
      <c r="A1086" s="7">
        <v>1085</v>
      </c>
      <c r="B1086" s="6">
        <v>31</v>
      </c>
      <c r="C1086" s="12">
        <v>3342266</v>
      </c>
      <c r="D1086" t="s">
        <v>102</v>
      </c>
      <c r="E1086" s="12">
        <v>18</v>
      </c>
      <c r="F1086" s="10" t="s">
        <v>13</v>
      </c>
      <c r="I1086" s="26"/>
      <c r="J1086" s="138">
        <v>510</v>
      </c>
      <c r="K1086" s="138" t="s">
        <v>1292</v>
      </c>
      <c r="L1086" s="138" t="s">
        <v>1292</v>
      </c>
      <c r="M1086" s="27"/>
      <c r="N1086" s="83">
        <v>510</v>
      </c>
      <c r="P1086" t="str">
        <f>VLOOKUP(B1086,PTN!A:B,2,FALSE)</f>
        <v>UNIVERSITAS PENDIDIKAN INDONESIA</v>
      </c>
      <c r="Q1086" t="str">
        <f t="shared" si="16"/>
        <v>UNIVERSITAS PENDIDIKAN INDONESIAPENDIDIKAN KESEJAHTERAAN KELUARGA</v>
      </c>
    </row>
    <row r="1087" spans="1:17" ht="15.75" thickBot="1" x14ac:dyDescent="0.3">
      <c r="A1087" s="7">
        <v>1086</v>
      </c>
      <c r="B1087" s="6">
        <v>31</v>
      </c>
      <c r="C1087" s="13">
        <v>3342042</v>
      </c>
      <c r="D1087" t="s">
        <v>331</v>
      </c>
      <c r="E1087" s="13">
        <v>27</v>
      </c>
      <c r="F1087" s="10" t="s">
        <v>13</v>
      </c>
      <c r="I1087" s="87"/>
      <c r="J1087" s="138">
        <v>579.54999999999995</v>
      </c>
      <c r="K1087" s="138">
        <v>587.68772999999999</v>
      </c>
      <c r="L1087" s="138">
        <v>571.41226999999992</v>
      </c>
      <c r="M1087" s="28"/>
      <c r="N1087" s="83">
        <v>579.54999999999995</v>
      </c>
      <c r="P1087" t="str">
        <f>VLOOKUP(B1087,PTN!A:B,2,FALSE)</f>
        <v>UNIVERSITAS PENDIDIKAN INDONESIA</v>
      </c>
      <c r="Q1087" t="str">
        <f t="shared" si="16"/>
        <v>UNIVERSITAS PENDIDIKAN INDONESIAPENDIDIKAN KHUSUS</v>
      </c>
    </row>
    <row r="1088" spans="1:17" ht="15.75" thickBot="1" x14ac:dyDescent="0.3">
      <c r="A1088" s="7">
        <v>1087</v>
      </c>
      <c r="B1088" s="6">
        <v>31</v>
      </c>
      <c r="C1088" s="12">
        <v>3342332</v>
      </c>
      <c r="D1088" t="s">
        <v>410</v>
      </c>
      <c r="E1088" s="12">
        <v>30</v>
      </c>
      <c r="F1088" s="10" t="s">
        <v>13</v>
      </c>
      <c r="I1088" s="26"/>
      <c r="J1088" s="138">
        <v>574.79999999999995</v>
      </c>
      <c r="K1088" s="138">
        <v>582.93772999999999</v>
      </c>
      <c r="L1088" s="138">
        <v>566.66226999999992</v>
      </c>
      <c r="M1088" s="27"/>
      <c r="N1088" s="83">
        <v>574.79999999999995</v>
      </c>
      <c r="P1088" t="str">
        <f>VLOOKUP(B1088,PTN!A:B,2,FALSE)</f>
        <v>UNIVERSITAS PENDIDIKAN INDONESIA</v>
      </c>
      <c r="Q1088" t="str">
        <f t="shared" si="16"/>
        <v>UNIVERSITAS PENDIDIKAN INDONESIAPENDIDIKAN MANAJEMEN PERKANTORAN</v>
      </c>
    </row>
    <row r="1089" spans="1:17" ht="15.75" thickBot="1" x14ac:dyDescent="0.3">
      <c r="A1089" s="7">
        <v>1088</v>
      </c>
      <c r="B1089" s="6">
        <v>31</v>
      </c>
      <c r="C1089" s="13">
        <v>3342034</v>
      </c>
      <c r="D1089" t="s">
        <v>332</v>
      </c>
      <c r="E1089" s="13">
        <v>27</v>
      </c>
      <c r="F1089" s="10" t="s">
        <v>13</v>
      </c>
      <c r="I1089" s="87"/>
      <c r="J1089" s="138">
        <v>570.16999999999996</v>
      </c>
      <c r="K1089" s="138">
        <v>578.30772999999999</v>
      </c>
      <c r="L1089" s="138">
        <v>562.03226999999993</v>
      </c>
      <c r="M1089" s="28"/>
      <c r="N1089" s="83">
        <v>570.16999999999996</v>
      </c>
      <c r="P1089" t="str">
        <f>VLOOKUP(B1089,PTN!A:B,2,FALSE)</f>
        <v>UNIVERSITAS PENDIDIKAN INDONESIA</v>
      </c>
      <c r="Q1089" t="str">
        <f t="shared" si="16"/>
        <v>UNIVERSITAS PENDIDIKAN INDONESIAPENDIDIKAN MASYARAKAT</v>
      </c>
    </row>
    <row r="1090" spans="1:17" ht="15.75" thickBot="1" x14ac:dyDescent="0.3">
      <c r="A1090" s="7">
        <v>1089</v>
      </c>
      <c r="B1090" s="6">
        <v>31</v>
      </c>
      <c r="C1090" s="12">
        <v>3342081</v>
      </c>
      <c r="D1090" t="s">
        <v>75</v>
      </c>
      <c r="E1090" s="12">
        <v>30</v>
      </c>
      <c r="F1090" s="10" t="s">
        <v>13</v>
      </c>
      <c r="I1090" s="26"/>
      <c r="J1090" s="138">
        <v>589.80999999999995</v>
      </c>
      <c r="K1090" s="138">
        <v>597.94772999999998</v>
      </c>
      <c r="L1090" s="138">
        <v>581.67226999999991</v>
      </c>
      <c r="M1090" s="27"/>
      <c r="N1090" s="83">
        <v>589.80999999999995</v>
      </c>
      <c r="P1090" t="str">
        <f>VLOOKUP(B1090,PTN!A:B,2,FALSE)</f>
        <v>UNIVERSITAS PENDIDIKAN INDONESIA</v>
      </c>
      <c r="Q1090" t="str">
        <f t="shared" si="16"/>
        <v>UNIVERSITAS PENDIDIKAN INDONESIAPENDIDIKAN SEJARAH</v>
      </c>
    </row>
    <row r="1091" spans="1:17" ht="15.75" thickBot="1" x14ac:dyDescent="0.3">
      <c r="A1091" s="7">
        <v>1090</v>
      </c>
      <c r="B1091" s="6">
        <v>31</v>
      </c>
      <c r="C1091" s="13">
        <v>3342235</v>
      </c>
      <c r="D1091" t="s">
        <v>130</v>
      </c>
      <c r="E1091" s="13">
        <v>36</v>
      </c>
      <c r="F1091" s="10" t="s">
        <v>13</v>
      </c>
      <c r="I1091" s="87"/>
      <c r="J1091" s="138">
        <v>530</v>
      </c>
      <c r="K1091" s="138" t="s">
        <v>1292</v>
      </c>
      <c r="L1091" s="138" t="s">
        <v>1292</v>
      </c>
      <c r="M1091" s="28"/>
      <c r="N1091" s="83">
        <v>530</v>
      </c>
      <c r="P1091" t="str">
        <f>VLOOKUP(B1091,PTN!A:B,2,FALSE)</f>
        <v>UNIVERSITAS PENDIDIKAN INDONESIA</v>
      </c>
      <c r="Q1091" t="str">
        <f t="shared" ref="Q1091:Q1154" si="17">P1091&amp;D1091</f>
        <v>UNIVERSITAS PENDIDIKAN INDONESIAPENDIDIKAN SENI MUSIK</v>
      </c>
    </row>
    <row r="1092" spans="1:17" ht="15.75" thickBot="1" x14ac:dyDescent="0.3">
      <c r="A1092" s="7">
        <v>1091</v>
      </c>
      <c r="B1092" s="6">
        <v>31</v>
      </c>
      <c r="C1092" s="12">
        <v>3342212</v>
      </c>
      <c r="D1092" t="s">
        <v>411</v>
      </c>
      <c r="E1092" s="12">
        <v>36</v>
      </c>
      <c r="F1092" s="10" t="s">
        <v>13</v>
      </c>
      <c r="I1092" s="26"/>
      <c r="J1092" s="138">
        <v>550</v>
      </c>
      <c r="K1092" s="138" t="s">
        <v>1292</v>
      </c>
      <c r="L1092" s="138" t="s">
        <v>1292</v>
      </c>
      <c r="M1092" s="27"/>
      <c r="N1092" s="83">
        <v>550</v>
      </c>
      <c r="P1092" t="str">
        <f>VLOOKUP(B1092,PTN!A:B,2,FALSE)</f>
        <v>UNIVERSITAS PENDIDIKAN INDONESIA</v>
      </c>
      <c r="Q1092" t="str">
        <f t="shared" si="17"/>
        <v>UNIVERSITAS PENDIDIKAN INDONESIAPENDIDIKAN SENI RUPA DAN KERAJINAN</v>
      </c>
    </row>
    <row r="1093" spans="1:17" ht="15.75" thickBot="1" x14ac:dyDescent="0.3">
      <c r="A1093" s="7">
        <v>1092</v>
      </c>
      <c r="B1093" s="6">
        <v>31</v>
      </c>
      <c r="C1093" s="13">
        <v>3342227</v>
      </c>
      <c r="D1093" t="s">
        <v>132</v>
      </c>
      <c r="E1093" s="13">
        <v>45</v>
      </c>
      <c r="F1093" s="10" t="s">
        <v>13</v>
      </c>
      <c r="I1093" s="87"/>
      <c r="J1093" s="138" t="s">
        <v>1292</v>
      </c>
      <c r="K1093" s="138" t="s">
        <v>1292</v>
      </c>
      <c r="L1093" s="138" t="s">
        <v>1292</v>
      </c>
      <c r="M1093" s="28"/>
      <c r="N1093" s="83" t="s">
        <v>1292</v>
      </c>
      <c r="P1093" t="str">
        <f>VLOOKUP(B1093,PTN!A:B,2,FALSE)</f>
        <v>UNIVERSITAS PENDIDIKAN INDONESIA</v>
      </c>
      <c r="Q1093" t="str">
        <f t="shared" si="17"/>
        <v>UNIVERSITAS PENDIDIKAN INDONESIAPENDIDIKAN SENI TARI</v>
      </c>
    </row>
    <row r="1094" spans="1:17" ht="15.75" thickBot="1" x14ac:dyDescent="0.3">
      <c r="A1094" s="7">
        <v>1093</v>
      </c>
      <c r="B1094" s="6">
        <v>31</v>
      </c>
      <c r="C1094" s="12">
        <v>3342394</v>
      </c>
      <c r="D1094" t="s">
        <v>334</v>
      </c>
      <c r="E1094" s="12">
        <v>30</v>
      </c>
      <c r="F1094" s="10" t="s">
        <v>13</v>
      </c>
      <c r="I1094" s="26"/>
      <c r="J1094" s="138">
        <v>578.35</v>
      </c>
      <c r="K1094" s="138">
        <v>586.48773000000006</v>
      </c>
      <c r="L1094" s="138">
        <v>570.21226999999999</v>
      </c>
      <c r="M1094" s="27"/>
      <c r="N1094" s="83">
        <v>578.35</v>
      </c>
      <c r="P1094" t="str">
        <f>VLOOKUP(B1094,PTN!A:B,2,FALSE)</f>
        <v>UNIVERSITAS PENDIDIKAN INDONESIA</v>
      </c>
      <c r="Q1094" t="str">
        <f t="shared" si="17"/>
        <v>UNIVERSITAS PENDIDIKAN INDONESIAPENDIDIKAN SOSIOLOGI</v>
      </c>
    </row>
    <row r="1095" spans="1:17" ht="15.75" thickBot="1" x14ac:dyDescent="0.3">
      <c r="A1095" s="7">
        <v>1094</v>
      </c>
      <c r="B1095" s="6">
        <v>31</v>
      </c>
      <c r="C1095" s="13">
        <v>3342274</v>
      </c>
      <c r="D1095" t="s">
        <v>133</v>
      </c>
      <c r="E1095" s="13">
        <v>18</v>
      </c>
      <c r="F1095" s="10" t="s">
        <v>13</v>
      </c>
      <c r="I1095" s="87"/>
      <c r="J1095" s="138">
        <v>570.98</v>
      </c>
      <c r="K1095" s="138">
        <v>579.11773000000005</v>
      </c>
      <c r="L1095" s="138">
        <v>562.84226999999998</v>
      </c>
      <c r="M1095" s="28"/>
      <c r="N1095" s="83">
        <v>570.98</v>
      </c>
      <c r="P1095" t="str">
        <f>VLOOKUP(B1095,PTN!A:B,2,FALSE)</f>
        <v>UNIVERSITAS PENDIDIKAN INDONESIA</v>
      </c>
      <c r="Q1095" t="str">
        <f t="shared" si="17"/>
        <v>UNIVERSITAS PENDIDIKAN INDONESIAPENDIDIKAN TATA BOGA</v>
      </c>
    </row>
    <row r="1096" spans="1:17" ht="15.75" thickBot="1" x14ac:dyDescent="0.3">
      <c r="A1096" s="7">
        <v>1095</v>
      </c>
      <c r="B1096" s="6">
        <v>31</v>
      </c>
      <c r="C1096" s="12">
        <v>3342282</v>
      </c>
      <c r="D1096" t="s">
        <v>134</v>
      </c>
      <c r="E1096" s="12">
        <v>18</v>
      </c>
      <c r="F1096" s="10" t="s">
        <v>13</v>
      </c>
      <c r="I1096" s="26"/>
      <c r="J1096" s="138">
        <v>574.82000000000005</v>
      </c>
      <c r="K1096" s="138">
        <v>582.95773000000008</v>
      </c>
      <c r="L1096" s="138">
        <v>566.68227000000002</v>
      </c>
      <c r="M1096" s="27"/>
      <c r="N1096" s="83">
        <v>574.82000000000005</v>
      </c>
      <c r="P1096" t="str">
        <f>VLOOKUP(B1096,PTN!A:B,2,FALSE)</f>
        <v>UNIVERSITAS PENDIDIKAN INDONESIA</v>
      </c>
      <c r="Q1096" t="str">
        <f t="shared" si="17"/>
        <v>UNIVERSITAS PENDIDIKAN INDONESIAPENDIDIKAN TATA BUSANA</v>
      </c>
    </row>
    <row r="1097" spans="1:17" ht="15.75" thickBot="1" x14ac:dyDescent="0.3">
      <c r="A1097" s="7">
        <v>1096</v>
      </c>
      <c r="B1097" s="6">
        <v>31</v>
      </c>
      <c r="C1097" s="13">
        <v>3342301</v>
      </c>
      <c r="D1097" t="s">
        <v>412</v>
      </c>
      <c r="E1097" s="13">
        <v>51</v>
      </c>
      <c r="F1097" s="10" t="s">
        <v>13</v>
      </c>
      <c r="I1097" s="87"/>
      <c r="J1097" s="138">
        <v>590</v>
      </c>
      <c r="K1097" s="138" t="s">
        <v>1292</v>
      </c>
      <c r="L1097" s="138" t="s">
        <v>1292</v>
      </c>
      <c r="M1097" s="28"/>
      <c r="N1097" s="83">
        <v>590</v>
      </c>
      <c r="P1097" t="str">
        <f>VLOOKUP(B1097,PTN!A:B,2,FALSE)</f>
        <v>UNIVERSITAS PENDIDIKAN INDONESIA</v>
      </c>
      <c r="Q1097" t="str">
        <f t="shared" si="17"/>
        <v>UNIVERSITAS PENDIDIKAN INDONESIAPEND. JASMANI KESEHATAN &amp; REKREASI (PJKR)</v>
      </c>
    </row>
    <row r="1098" spans="1:17" ht="15.75" thickBot="1" x14ac:dyDescent="0.3">
      <c r="A1098" s="7">
        <v>1097</v>
      </c>
      <c r="B1098" s="6">
        <v>31</v>
      </c>
      <c r="C1098" s="12">
        <v>3342371</v>
      </c>
      <c r="D1098" t="s">
        <v>413</v>
      </c>
      <c r="E1098" s="12">
        <v>27</v>
      </c>
      <c r="F1098" s="10" t="s">
        <v>13</v>
      </c>
      <c r="I1098" s="26"/>
      <c r="J1098" s="138">
        <v>587.13</v>
      </c>
      <c r="K1098" s="138">
        <v>595.26773000000003</v>
      </c>
      <c r="L1098" s="138">
        <v>578.99226999999996</v>
      </c>
      <c r="M1098" s="27"/>
      <c r="N1098" s="83">
        <v>587.13</v>
      </c>
      <c r="P1098" t="str">
        <f>VLOOKUP(B1098,PTN!A:B,2,FALSE)</f>
        <v>UNIVERSITAS PENDIDIKAN INDONESIA</v>
      </c>
      <c r="Q1098" t="str">
        <f t="shared" si="17"/>
        <v>UNIVERSITAS PENDIDIKAN INDONESIAPERPUSTAKAAN DAN INFORMASI</v>
      </c>
    </row>
    <row r="1099" spans="1:17" ht="15.75" thickBot="1" x14ac:dyDescent="0.3">
      <c r="A1099" s="7">
        <v>1098</v>
      </c>
      <c r="B1099" s="6">
        <v>31</v>
      </c>
      <c r="C1099" s="13">
        <v>3342491</v>
      </c>
      <c r="D1099" t="s">
        <v>414</v>
      </c>
      <c r="E1099" s="13">
        <v>27</v>
      </c>
      <c r="F1099" s="10" t="s">
        <v>13</v>
      </c>
      <c r="I1099" s="87"/>
      <c r="J1099" s="138">
        <v>435</v>
      </c>
      <c r="K1099" s="138" t="s">
        <v>1292</v>
      </c>
      <c r="L1099" s="138" t="s">
        <v>1292</v>
      </c>
      <c r="M1099" s="28"/>
      <c r="N1099" s="83">
        <v>435</v>
      </c>
      <c r="P1099" t="str">
        <f>VLOOKUP(B1099,PTN!A:B,2,FALSE)</f>
        <v>UNIVERSITAS PENDIDIKAN INDONESIA</v>
      </c>
      <c r="Q1099" t="str">
        <f t="shared" si="17"/>
        <v>UNIVERSITAS PENDIDIKAN INDONESIAPGPAUD KAMPUS BUMI SILIWANGI</v>
      </c>
    </row>
    <row r="1100" spans="1:17" ht="15.75" thickBot="1" x14ac:dyDescent="0.3">
      <c r="A1100" s="7">
        <v>1099</v>
      </c>
      <c r="B1100" s="6">
        <v>31</v>
      </c>
      <c r="C1100" s="12">
        <v>3342421</v>
      </c>
      <c r="D1100" t="s">
        <v>415</v>
      </c>
      <c r="E1100" s="12">
        <v>30</v>
      </c>
      <c r="F1100" s="10" t="s">
        <v>13</v>
      </c>
      <c r="I1100" s="26"/>
      <c r="J1100" s="138">
        <v>400</v>
      </c>
      <c r="K1100" s="138" t="s">
        <v>1292</v>
      </c>
      <c r="L1100" s="138" t="s">
        <v>1292</v>
      </c>
      <c r="M1100" s="27"/>
      <c r="N1100" s="83">
        <v>400</v>
      </c>
      <c r="P1100" t="str">
        <f>VLOOKUP(B1100,PTN!A:B,2,FALSE)</f>
        <v>UNIVERSITAS PENDIDIKAN INDONESIA</v>
      </c>
      <c r="Q1100" t="str">
        <f t="shared" si="17"/>
        <v>UNIVERSITAS PENDIDIKAN INDONESIAPGPAUD KAMPUS CIBIRU</v>
      </c>
    </row>
    <row r="1101" spans="1:17" ht="15.75" thickBot="1" x14ac:dyDescent="0.3">
      <c r="A1101" s="7">
        <v>1100</v>
      </c>
      <c r="B1101" s="6">
        <v>31</v>
      </c>
      <c r="C1101" s="13">
        <v>3342541</v>
      </c>
      <c r="D1101" t="s">
        <v>416</v>
      </c>
      <c r="E1101" s="13">
        <v>30</v>
      </c>
      <c r="F1101" s="10" t="s">
        <v>13</v>
      </c>
      <c r="I1101" s="87"/>
      <c r="J1101" s="138" t="s">
        <v>1292</v>
      </c>
      <c r="K1101" s="138" t="s">
        <v>1292</v>
      </c>
      <c r="L1101" s="138" t="s">
        <v>1292</v>
      </c>
      <c r="M1101" s="28"/>
      <c r="N1101" s="83" t="s">
        <v>1292</v>
      </c>
      <c r="P1101" t="str">
        <f>VLOOKUP(B1101,PTN!A:B,2,FALSE)</f>
        <v>UNIVERSITAS PENDIDIKAN INDONESIA</v>
      </c>
      <c r="Q1101" t="str">
        <f t="shared" si="17"/>
        <v>UNIVERSITAS PENDIDIKAN INDONESIAPGPAUD KAMPUS PURWAKARTA</v>
      </c>
    </row>
    <row r="1102" spans="1:17" ht="15.75" thickBot="1" x14ac:dyDescent="0.3">
      <c r="A1102" s="7">
        <v>1101</v>
      </c>
      <c r="B1102" s="6">
        <v>31</v>
      </c>
      <c r="C1102" s="12">
        <v>3342517</v>
      </c>
      <c r="D1102" t="s">
        <v>417</v>
      </c>
      <c r="E1102" s="12">
        <v>30</v>
      </c>
      <c r="F1102" s="10" t="s">
        <v>13</v>
      </c>
      <c r="I1102" s="26"/>
      <c r="J1102" s="138" t="s">
        <v>1292</v>
      </c>
      <c r="K1102" s="138" t="s">
        <v>1292</v>
      </c>
      <c r="L1102" s="138" t="s">
        <v>1292</v>
      </c>
      <c r="M1102" s="27"/>
      <c r="N1102" s="83" t="s">
        <v>1292</v>
      </c>
      <c r="P1102" t="str">
        <f>VLOOKUP(B1102,PTN!A:B,2,FALSE)</f>
        <v>UNIVERSITAS PENDIDIKAN INDONESIA</v>
      </c>
      <c r="Q1102" t="str">
        <f t="shared" si="17"/>
        <v>UNIVERSITAS PENDIDIKAN INDONESIAPGPAUD KAMPUS SERANG</v>
      </c>
    </row>
    <row r="1103" spans="1:17" ht="15.75" thickBot="1" x14ac:dyDescent="0.3">
      <c r="A1103" s="7">
        <v>1102</v>
      </c>
      <c r="B1103" s="6">
        <v>31</v>
      </c>
      <c r="C1103" s="13">
        <v>3342533</v>
      </c>
      <c r="D1103" t="s">
        <v>418</v>
      </c>
      <c r="E1103" s="13">
        <v>41</v>
      </c>
      <c r="F1103" s="10" t="s">
        <v>13</v>
      </c>
      <c r="I1103" s="87"/>
      <c r="J1103" s="138">
        <v>400</v>
      </c>
      <c r="K1103" s="138" t="s">
        <v>1292</v>
      </c>
      <c r="L1103" s="138" t="s">
        <v>1292</v>
      </c>
      <c r="M1103" s="28"/>
      <c r="N1103" s="83">
        <v>400</v>
      </c>
      <c r="P1103" t="str">
        <f>VLOOKUP(B1103,PTN!A:B,2,FALSE)</f>
        <v>UNIVERSITAS PENDIDIKAN INDONESIA</v>
      </c>
      <c r="Q1103" t="str">
        <f t="shared" si="17"/>
        <v>UNIVERSITAS PENDIDIKAN INDONESIAPGPAUD KAMPUS TASIKMALAYA</v>
      </c>
    </row>
    <row r="1104" spans="1:17" ht="15.75" thickBot="1" x14ac:dyDescent="0.3">
      <c r="A1104" s="7">
        <v>1103</v>
      </c>
      <c r="B1104" s="6">
        <v>31</v>
      </c>
      <c r="C1104" s="12">
        <v>3342483</v>
      </c>
      <c r="D1104" t="s">
        <v>419</v>
      </c>
      <c r="E1104" s="12">
        <v>48</v>
      </c>
      <c r="F1104" s="10" t="s">
        <v>13</v>
      </c>
      <c r="I1104" s="26"/>
      <c r="J1104" s="138">
        <v>550</v>
      </c>
      <c r="K1104" s="138" t="s">
        <v>1292</v>
      </c>
      <c r="L1104" s="138" t="s">
        <v>1292</v>
      </c>
      <c r="M1104" s="27"/>
      <c r="N1104" s="83">
        <v>550</v>
      </c>
      <c r="P1104" t="str">
        <f>VLOOKUP(B1104,PTN!A:B,2,FALSE)</f>
        <v>UNIVERSITAS PENDIDIKAN INDONESIA</v>
      </c>
      <c r="Q1104" t="str">
        <f t="shared" si="17"/>
        <v>UNIVERSITAS PENDIDIKAN INDONESIAPGSD KAMPUS BUMI SILIWANGI</v>
      </c>
    </row>
    <row r="1105" spans="1:17" ht="15.75" thickBot="1" x14ac:dyDescent="0.3">
      <c r="A1105" s="7">
        <v>1104</v>
      </c>
      <c r="B1105" s="6">
        <v>31</v>
      </c>
      <c r="C1105" s="13">
        <v>3342413</v>
      </c>
      <c r="D1105" t="s">
        <v>420</v>
      </c>
      <c r="E1105" s="13">
        <v>78</v>
      </c>
      <c r="F1105" s="10" t="s">
        <v>13</v>
      </c>
      <c r="I1105" s="87"/>
      <c r="J1105" s="138">
        <v>500</v>
      </c>
      <c r="K1105" s="138" t="s">
        <v>1292</v>
      </c>
      <c r="L1105" s="138" t="s">
        <v>1292</v>
      </c>
      <c r="M1105" s="28"/>
      <c r="N1105" s="83">
        <v>500</v>
      </c>
      <c r="P1105" t="str">
        <f>VLOOKUP(B1105,PTN!A:B,2,FALSE)</f>
        <v>UNIVERSITAS PENDIDIKAN INDONESIA</v>
      </c>
      <c r="Q1105" t="str">
        <f t="shared" si="17"/>
        <v>UNIVERSITAS PENDIDIKAN INDONESIAPGSD KAMPUS CIBIRU</v>
      </c>
    </row>
    <row r="1106" spans="1:17" ht="15.75" thickBot="1" x14ac:dyDescent="0.3">
      <c r="A1106" s="7">
        <v>1105</v>
      </c>
      <c r="B1106" s="6">
        <v>31</v>
      </c>
      <c r="C1106" s="12">
        <v>3342452</v>
      </c>
      <c r="D1106" t="s">
        <v>421</v>
      </c>
      <c r="E1106" s="12">
        <v>54</v>
      </c>
      <c r="F1106" s="10" t="s">
        <v>13</v>
      </c>
      <c r="I1106" s="26"/>
      <c r="J1106" s="138" t="s">
        <v>1292</v>
      </c>
      <c r="K1106" s="138" t="s">
        <v>1292</v>
      </c>
      <c r="L1106" s="138" t="s">
        <v>1292</v>
      </c>
      <c r="M1106" s="27"/>
      <c r="N1106" s="83" t="s">
        <v>1292</v>
      </c>
      <c r="P1106" t="str">
        <f>VLOOKUP(B1106,PTN!A:B,2,FALSE)</f>
        <v>UNIVERSITAS PENDIDIKAN INDONESIA</v>
      </c>
      <c r="Q1106" t="str">
        <f t="shared" si="17"/>
        <v>UNIVERSITAS PENDIDIKAN INDONESIAPGSD KAMPUS PURWAKARTA</v>
      </c>
    </row>
    <row r="1107" spans="1:17" ht="15.75" thickBot="1" x14ac:dyDescent="0.3">
      <c r="A1107" s="7">
        <v>1106</v>
      </c>
      <c r="B1107" s="6">
        <v>31</v>
      </c>
      <c r="C1107" s="13">
        <v>3342475</v>
      </c>
      <c r="D1107" t="s">
        <v>422</v>
      </c>
      <c r="E1107" s="13">
        <v>60</v>
      </c>
      <c r="F1107" s="10" t="s">
        <v>13</v>
      </c>
      <c r="I1107" s="87"/>
      <c r="J1107" s="138" t="s">
        <v>1292</v>
      </c>
      <c r="K1107" s="138" t="s">
        <v>1292</v>
      </c>
      <c r="L1107" s="138" t="s">
        <v>1292</v>
      </c>
      <c r="M1107" s="28"/>
      <c r="N1107" s="83" t="s">
        <v>1292</v>
      </c>
      <c r="P1107" t="str">
        <f>VLOOKUP(B1107,PTN!A:B,2,FALSE)</f>
        <v>UNIVERSITAS PENDIDIKAN INDONESIA</v>
      </c>
      <c r="Q1107" t="str">
        <f t="shared" si="17"/>
        <v>UNIVERSITAS PENDIDIKAN INDONESIAPGSD KAMPUS SERANG</v>
      </c>
    </row>
    <row r="1108" spans="1:17" ht="15.75" thickBot="1" x14ac:dyDescent="0.3">
      <c r="A1108" s="7">
        <v>1107</v>
      </c>
      <c r="B1108" s="6">
        <v>31</v>
      </c>
      <c r="C1108" s="12">
        <v>3342436</v>
      </c>
      <c r="D1108" t="s">
        <v>423</v>
      </c>
      <c r="E1108" s="12">
        <v>45</v>
      </c>
      <c r="F1108" s="10" t="s">
        <v>13</v>
      </c>
      <c r="I1108" s="26"/>
      <c r="J1108" s="138">
        <v>490</v>
      </c>
      <c r="K1108" s="138" t="s">
        <v>1292</v>
      </c>
      <c r="L1108" s="138" t="s">
        <v>1292</v>
      </c>
      <c r="M1108" s="27"/>
      <c r="N1108" s="83">
        <v>490</v>
      </c>
      <c r="P1108" t="str">
        <f>VLOOKUP(B1108,PTN!A:B,2,FALSE)</f>
        <v>UNIVERSITAS PENDIDIKAN INDONESIA</v>
      </c>
      <c r="Q1108" t="str">
        <f t="shared" si="17"/>
        <v>UNIVERSITAS PENDIDIKAN INDONESIAPGSD KAMPUS SUMEDANG</v>
      </c>
    </row>
    <row r="1109" spans="1:17" ht="15.75" thickBot="1" x14ac:dyDescent="0.3">
      <c r="A1109" s="7">
        <v>1108</v>
      </c>
      <c r="B1109" s="6">
        <v>31</v>
      </c>
      <c r="C1109" s="13">
        <v>3342467</v>
      </c>
      <c r="D1109" t="s">
        <v>424</v>
      </c>
      <c r="E1109" s="13">
        <v>68</v>
      </c>
      <c r="F1109" s="10" t="s">
        <v>13</v>
      </c>
      <c r="I1109" s="87"/>
      <c r="J1109" s="138" t="s">
        <v>1292</v>
      </c>
      <c r="K1109" s="138" t="s">
        <v>1292</v>
      </c>
      <c r="L1109" s="138" t="s">
        <v>1292</v>
      </c>
      <c r="M1109" s="28"/>
      <c r="N1109" s="83" t="s">
        <v>1292</v>
      </c>
      <c r="P1109" t="str">
        <f>VLOOKUP(B1109,PTN!A:B,2,FALSE)</f>
        <v>UNIVERSITAS PENDIDIKAN INDONESIA</v>
      </c>
      <c r="Q1109" t="str">
        <f t="shared" si="17"/>
        <v>UNIVERSITAS PENDIDIKAN INDONESIAPGSD KAMPUS TASIKMALAYA</v>
      </c>
    </row>
    <row r="1110" spans="1:17" ht="15.75" thickBot="1" x14ac:dyDescent="0.3">
      <c r="A1110" s="7">
        <v>1109</v>
      </c>
      <c r="B1110" s="6">
        <v>31</v>
      </c>
      <c r="C1110" s="12">
        <v>3342444</v>
      </c>
      <c r="D1110" t="s">
        <v>425</v>
      </c>
      <c r="E1110" s="12">
        <v>45</v>
      </c>
      <c r="F1110" s="10" t="s">
        <v>13</v>
      </c>
      <c r="I1110" s="26"/>
      <c r="J1110" s="138">
        <v>480</v>
      </c>
      <c r="K1110" s="138" t="s">
        <v>1292</v>
      </c>
      <c r="L1110" s="138" t="s">
        <v>1292</v>
      </c>
      <c r="M1110" s="27"/>
      <c r="N1110" s="83">
        <v>480</v>
      </c>
      <c r="P1110" t="str">
        <f>VLOOKUP(B1110,PTN!A:B,2,FALSE)</f>
        <v>UNIVERSITAS PENDIDIKAN INDONESIA</v>
      </c>
      <c r="Q1110" t="str">
        <f t="shared" si="17"/>
        <v>UNIVERSITAS PENDIDIKAN INDONESIAPGSD PENDIDIKAN JASMANI KAMPUS SUMEDANG</v>
      </c>
    </row>
    <row r="1111" spans="1:17" ht="15.75" thickBot="1" x14ac:dyDescent="0.3">
      <c r="A1111" s="7">
        <v>1110</v>
      </c>
      <c r="B1111" s="6">
        <v>31</v>
      </c>
      <c r="C1111" s="13">
        <v>3342405</v>
      </c>
      <c r="D1111" t="s">
        <v>426</v>
      </c>
      <c r="E1111" s="13">
        <v>39</v>
      </c>
      <c r="F1111" s="10" t="s">
        <v>13</v>
      </c>
      <c r="I1111" s="87"/>
      <c r="J1111" s="138">
        <v>520</v>
      </c>
      <c r="K1111" s="138" t="s">
        <v>1292</v>
      </c>
      <c r="L1111" s="138" t="s">
        <v>1292</v>
      </c>
      <c r="M1111" s="28"/>
      <c r="N1111" s="83">
        <v>520</v>
      </c>
      <c r="P1111" t="str">
        <f>VLOOKUP(B1111,PTN!A:B,2,FALSE)</f>
        <v>UNIVERSITAS PENDIDIKAN INDONESIA</v>
      </c>
      <c r="Q1111" t="str">
        <f t="shared" si="17"/>
        <v>UNIVERSITAS PENDIDIKAN INDONESIAPGSD PEND. JASMANI KAMPUS BUMI SILIWANGI</v>
      </c>
    </row>
    <row r="1112" spans="1:17" ht="15.75" thickBot="1" x14ac:dyDescent="0.3">
      <c r="A1112" s="7">
        <v>1111</v>
      </c>
      <c r="B1112" s="6">
        <v>31</v>
      </c>
      <c r="C1112" s="12">
        <v>3342073</v>
      </c>
      <c r="D1112" t="s">
        <v>427</v>
      </c>
      <c r="E1112" s="12">
        <v>30</v>
      </c>
      <c r="F1112" s="10" t="s">
        <v>13</v>
      </c>
      <c r="I1112" s="26"/>
      <c r="J1112" s="138">
        <v>573.08000000000004</v>
      </c>
      <c r="K1112" s="138">
        <v>581.21773000000007</v>
      </c>
      <c r="L1112" s="138">
        <v>564.94227000000001</v>
      </c>
      <c r="M1112" s="27"/>
      <c r="N1112" s="83">
        <v>573.08000000000004</v>
      </c>
      <c r="P1112" t="str">
        <f>VLOOKUP(B1112,PTN!A:B,2,FALSE)</f>
        <v>UNIVERSITAS PENDIDIKAN INDONESIA</v>
      </c>
      <c r="Q1112" t="str">
        <f t="shared" si="17"/>
        <v>UNIVERSITAS PENDIDIKAN INDONESIAPKN</v>
      </c>
    </row>
    <row r="1113" spans="1:17" ht="15.75" thickBot="1" x14ac:dyDescent="0.3">
      <c r="A1113" s="7">
        <v>1112</v>
      </c>
      <c r="B1113" s="6">
        <v>31</v>
      </c>
      <c r="C1113" s="13">
        <v>3342065</v>
      </c>
      <c r="D1113" t="s">
        <v>36</v>
      </c>
      <c r="E1113" s="13">
        <v>29</v>
      </c>
      <c r="F1113" s="10" t="s">
        <v>13</v>
      </c>
      <c r="I1113" s="87"/>
      <c r="J1113" s="138">
        <v>621.70000000000005</v>
      </c>
      <c r="K1113" s="138">
        <v>629.83773000000008</v>
      </c>
      <c r="L1113" s="138">
        <v>613.56227000000001</v>
      </c>
      <c r="M1113" s="28"/>
      <c r="N1113" s="83">
        <v>621.70000000000005</v>
      </c>
      <c r="P1113" t="str">
        <f>VLOOKUP(B1113,PTN!A:B,2,FALSE)</f>
        <v>UNIVERSITAS PENDIDIKAN INDONESIA</v>
      </c>
      <c r="Q1113" t="str">
        <f t="shared" si="17"/>
        <v>UNIVERSITAS PENDIDIKAN INDONESIAPSIKOLOGI</v>
      </c>
    </row>
    <row r="1114" spans="1:17" ht="15.75" thickBot="1" x14ac:dyDescent="0.3">
      <c r="A1114" s="7">
        <v>1113</v>
      </c>
      <c r="B1114" s="6">
        <v>31</v>
      </c>
      <c r="C1114" s="12">
        <v>3342572</v>
      </c>
      <c r="D1114" t="s">
        <v>428</v>
      </c>
      <c r="E1114" s="12">
        <v>30</v>
      </c>
      <c r="F1114" s="10" t="s">
        <v>13</v>
      </c>
      <c r="I1114" s="26"/>
      <c r="J1114" s="138">
        <v>596.19000000000005</v>
      </c>
      <c r="K1114" s="138">
        <v>604.32773000000009</v>
      </c>
      <c r="L1114" s="138">
        <v>588.05227000000002</v>
      </c>
      <c r="M1114" s="27"/>
      <c r="N1114" s="83">
        <v>596.19000000000005</v>
      </c>
      <c r="P1114" t="str">
        <f>VLOOKUP(B1114,PTN!A:B,2,FALSE)</f>
        <v>UNIVERSITAS PENDIDIKAN INDONESIA</v>
      </c>
      <c r="Q1114" t="str">
        <f t="shared" si="17"/>
        <v>UNIVERSITAS PENDIDIKAN INDONESIASAINS INFORMASI GEOGRAFI</v>
      </c>
    </row>
    <row r="1115" spans="1:17" ht="15.75" thickBot="1" x14ac:dyDescent="0.3">
      <c r="A1115" s="7">
        <v>1114</v>
      </c>
      <c r="B1115" s="6">
        <v>31</v>
      </c>
      <c r="C1115" s="16">
        <v>3342057</v>
      </c>
      <c r="D1115" t="s">
        <v>210</v>
      </c>
      <c r="E1115" s="16">
        <v>24</v>
      </c>
      <c r="F1115" s="10" t="s">
        <v>13</v>
      </c>
      <c r="I1115" s="87"/>
      <c r="J1115" s="138">
        <v>593.91999999999996</v>
      </c>
      <c r="K1115" s="138">
        <v>602.05772999999999</v>
      </c>
      <c r="L1115" s="138">
        <v>585.78226999999993</v>
      </c>
      <c r="M1115" s="21"/>
      <c r="N1115" s="83">
        <v>593.91999999999996</v>
      </c>
      <c r="P1115" t="str">
        <f>VLOOKUP(B1115,PTN!A:B,2,FALSE)</f>
        <v>UNIVERSITAS PENDIDIKAN INDONESIA</v>
      </c>
      <c r="Q1115" t="str">
        <f t="shared" si="17"/>
        <v>UNIVERSITAS PENDIDIKAN INDONESIATEKNOLOGI PENDIDIKAN</v>
      </c>
    </row>
    <row r="1116" spans="1:17" ht="16.5" thickTop="1" thickBot="1" x14ac:dyDescent="0.3">
      <c r="A1116" s="7">
        <v>1115</v>
      </c>
      <c r="B1116" s="6">
        <v>35</v>
      </c>
      <c r="C1116" s="17">
        <v>3421043</v>
      </c>
      <c r="D1116" t="s">
        <v>37</v>
      </c>
      <c r="E1116" s="17">
        <v>16</v>
      </c>
      <c r="F1116" s="10" t="s">
        <v>20</v>
      </c>
      <c r="I1116" s="26"/>
      <c r="J1116" s="138" t="s">
        <v>1292</v>
      </c>
      <c r="K1116" s="138" t="s">
        <v>1292</v>
      </c>
      <c r="L1116" s="138" t="s">
        <v>1292</v>
      </c>
      <c r="M1116" s="21"/>
      <c r="N1116" s="83" t="s">
        <v>1292</v>
      </c>
      <c r="P1116" t="str">
        <f>VLOOKUP(B1116,PTN!A:B,2,FALSE)</f>
        <v>UNIVERSITAS SILIWANGI</v>
      </c>
      <c r="Q1116" t="str">
        <f t="shared" si="17"/>
        <v>UNIVERSITAS SILIWANGIAGRIBISNIS</v>
      </c>
    </row>
    <row r="1117" spans="1:17" ht="16.5" thickTop="1" thickBot="1" x14ac:dyDescent="0.3">
      <c r="A1117" s="7">
        <v>1116</v>
      </c>
      <c r="B1117" s="6">
        <v>35</v>
      </c>
      <c r="C1117" s="18">
        <v>3421035</v>
      </c>
      <c r="D1117" t="s">
        <v>64</v>
      </c>
      <c r="E1117" s="18">
        <v>24</v>
      </c>
      <c r="F1117" s="10" t="s">
        <v>20</v>
      </c>
      <c r="I1117" s="41"/>
      <c r="J1117" s="138" t="s">
        <v>1292</v>
      </c>
      <c r="K1117" s="138" t="s">
        <v>1292</v>
      </c>
      <c r="L1117" s="138" t="s">
        <v>1292</v>
      </c>
      <c r="M1117" s="37"/>
      <c r="N1117" s="85" t="s">
        <v>1292</v>
      </c>
      <c r="P1117" t="str">
        <f>VLOOKUP(B1117,PTN!A:B,2,FALSE)</f>
        <v>UNIVERSITAS SILIWANGI</v>
      </c>
      <c r="Q1117" t="str">
        <f t="shared" si="17"/>
        <v>UNIVERSITAS SILIWANGIAGROTEKNOLOGI</v>
      </c>
    </row>
    <row r="1118" spans="1:17" ht="16.5" thickTop="1" thickBot="1" x14ac:dyDescent="0.3">
      <c r="A1118" s="7">
        <v>1117</v>
      </c>
      <c r="B1118" s="6">
        <v>35</v>
      </c>
      <c r="C1118" s="17">
        <v>3421101</v>
      </c>
      <c r="D1118" t="s">
        <v>113</v>
      </c>
      <c r="E1118" s="17">
        <v>16</v>
      </c>
      <c r="F1118" s="10" t="s">
        <v>20</v>
      </c>
      <c r="J1118" s="138" t="s">
        <v>1292</v>
      </c>
      <c r="K1118" s="138" t="s">
        <v>1292</v>
      </c>
      <c r="L1118" s="138" t="s">
        <v>1292</v>
      </c>
      <c r="M1118" s="17"/>
      <c r="N1118" s="91" t="s">
        <v>1292</v>
      </c>
      <c r="P1118" t="str">
        <f>VLOOKUP(B1118,PTN!A:B,2,FALSE)</f>
        <v>UNIVERSITAS SILIWANGI</v>
      </c>
      <c r="Q1118" t="str">
        <f t="shared" si="17"/>
        <v>UNIVERSITAS SILIWANGIGIZI</v>
      </c>
    </row>
    <row r="1119" spans="1:17" ht="15.75" thickBot="1" x14ac:dyDescent="0.3">
      <c r="A1119" s="7">
        <v>1118</v>
      </c>
      <c r="B1119" s="6">
        <v>35</v>
      </c>
      <c r="C1119" s="18">
        <v>3421082</v>
      </c>
      <c r="D1119" t="s">
        <v>107</v>
      </c>
      <c r="E1119" s="18">
        <v>24</v>
      </c>
      <c r="F1119" s="10" t="s">
        <v>20</v>
      </c>
      <c r="J1119" s="138">
        <v>570</v>
      </c>
      <c r="K1119" s="138" t="s">
        <v>1292</v>
      </c>
      <c r="L1119" s="138" t="s">
        <v>1292</v>
      </c>
      <c r="M1119" s="18"/>
      <c r="N1119" s="92">
        <v>570</v>
      </c>
      <c r="P1119" t="str">
        <f>VLOOKUP(B1119,PTN!A:B,2,FALSE)</f>
        <v>UNIVERSITAS SILIWANGI</v>
      </c>
      <c r="Q1119" t="str">
        <f t="shared" si="17"/>
        <v>UNIVERSITAS SILIWANGIKESEHATAN MASYARAKAT</v>
      </c>
    </row>
    <row r="1120" spans="1:17" ht="15.75" thickBot="1" x14ac:dyDescent="0.3">
      <c r="A1120" s="7">
        <v>1119</v>
      </c>
      <c r="B1120" s="6">
        <v>35</v>
      </c>
      <c r="C1120" s="17">
        <v>3421027</v>
      </c>
      <c r="D1120" t="s">
        <v>67</v>
      </c>
      <c r="E1120" s="17">
        <v>24</v>
      </c>
      <c r="F1120" s="10" t="s">
        <v>20</v>
      </c>
      <c r="J1120" s="138">
        <v>520</v>
      </c>
      <c r="K1120" s="138" t="s">
        <v>1292</v>
      </c>
      <c r="L1120" s="138" t="s">
        <v>1292</v>
      </c>
      <c r="M1120" s="17"/>
      <c r="N1120" s="91">
        <v>520</v>
      </c>
      <c r="P1120" t="str">
        <f>VLOOKUP(B1120,PTN!A:B,2,FALSE)</f>
        <v>UNIVERSITAS SILIWANGI</v>
      </c>
      <c r="Q1120" t="str">
        <f t="shared" si="17"/>
        <v>UNIVERSITAS SILIWANGIPENDIDIKAN BIOLOGI</v>
      </c>
    </row>
    <row r="1121" spans="1:17" ht="15.75" thickBot="1" x14ac:dyDescent="0.3">
      <c r="A1121" s="7">
        <v>1120</v>
      </c>
      <c r="B1121" s="6">
        <v>35</v>
      </c>
      <c r="C1121" s="18">
        <v>3421097</v>
      </c>
      <c r="D1121" t="s">
        <v>42</v>
      </c>
      <c r="E1121" s="18">
        <v>18</v>
      </c>
      <c r="F1121" s="10" t="s">
        <v>20</v>
      </c>
      <c r="J1121" s="138" t="s">
        <v>1292</v>
      </c>
      <c r="K1121" s="138" t="s">
        <v>1292</v>
      </c>
      <c r="L1121" s="138" t="s">
        <v>1292</v>
      </c>
      <c r="M1121" s="18"/>
      <c r="N1121" s="92" t="s">
        <v>1292</v>
      </c>
      <c r="P1121" t="str">
        <f>VLOOKUP(B1121,PTN!A:B,2,FALSE)</f>
        <v>UNIVERSITAS SILIWANGI</v>
      </c>
      <c r="Q1121" t="str">
        <f t="shared" si="17"/>
        <v>UNIVERSITAS SILIWANGIPENDIDIKAN FISIKA</v>
      </c>
    </row>
    <row r="1122" spans="1:17" ht="15.75" thickBot="1" x14ac:dyDescent="0.3">
      <c r="A1122" s="7">
        <v>1121</v>
      </c>
      <c r="B1122" s="6">
        <v>35</v>
      </c>
      <c r="C1122" s="17">
        <v>3421012</v>
      </c>
      <c r="D1122" t="s">
        <v>44</v>
      </c>
      <c r="E1122" s="17">
        <v>28</v>
      </c>
      <c r="F1122" s="10" t="s">
        <v>20</v>
      </c>
      <c r="J1122" s="138">
        <v>580</v>
      </c>
      <c r="K1122" s="138" t="s">
        <v>1292</v>
      </c>
      <c r="L1122" s="138" t="s">
        <v>1292</v>
      </c>
      <c r="M1122" s="17"/>
      <c r="N1122" s="91">
        <v>580</v>
      </c>
      <c r="P1122" t="str">
        <f>VLOOKUP(B1122,PTN!A:B,2,FALSE)</f>
        <v>UNIVERSITAS SILIWANGI</v>
      </c>
      <c r="Q1122" t="str">
        <f t="shared" si="17"/>
        <v>UNIVERSITAS SILIWANGIPENDIDIKAN MATEMATIKA</v>
      </c>
    </row>
    <row r="1123" spans="1:17" ht="15.75" thickBot="1" x14ac:dyDescent="0.3">
      <c r="A1123" s="7">
        <v>1122</v>
      </c>
      <c r="B1123" s="6">
        <v>35</v>
      </c>
      <c r="C1123" s="18">
        <v>3421066</v>
      </c>
      <c r="D1123" t="s">
        <v>48</v>
      </c>
      <c r="E1123" s="18">
        <v>16</v>
      </c>
      <c r="F1123" s="10" t="s">
        <v>20</v>
      </c>
      <c r="J1123" s="138">
        <v>590</v>
      </c>
      <c r="K1123" s="138" t="s">
        <v>1292</v>
      </c>
      <c r="L1123" s="138" t="s">
        <v>1292</v>
      </c>
      <c r="M1123" s="18"/>
      <c r="N1123" s="92">
        <v>590</v>
      </c>
      <c r="P1123" t="str">
        <f>VLOOKUP(B1123,PTN!A:B,2,FALSE)</f>
        <v>UNIVERSITAS SILIWANGI</v>
      </c>
      <c r="Q1123" t="str">
        <f t="shared" si="17"/>
        <v>UNIVERSITAS SILIWANGITEKNIK ELEKTRO</v>
      </c>
    </row>
    <row r="1124" spans="1:17" ht="15.75" thickBot="1" x14ac:dyDescent="0.3">
      <c r="A1124" s="7">
        <v>1123</v>
      </c>
      <c r="B1124" s="6">
        <v>35</v>
      </c>
      <c r="C1124" s="17">
        <v>3421074</v>
      </c>
      <c r="D1124" t="s">
        <v>50</v>
      </c>
      <c r="E1124" s="17">
        <v>16</v>
      </c>
      <c r="F1124" s="10" t="s">
        <v>20</v>
      </c>
      <c r="J1124" s="138">
        <v>600</v>
      </c>
      <c r="K1124" s="138" t="s">
        <v>1292</v>
      </c>
      <c r="L1124" s="138" t="s">
        <v>1292</v>
      </c>
      <c r="M1124" s="17"/>
      <c r="N1124" s="91">
        <v>600</v>
      </c>
      <c r="P1124" t="str">
        <f>VLOOKUP(B1124,PTN!A:B,2,FALSE)</f>
        <v>UNIVERSITAS SILIWANGI</v>
      </c>
      <c r="Q1124" t="str">
        <f t="shared" si="17"/>
        <v>UNIVERSITAS SILIWANGITEKNIK INFORMATIKA</v>
      </c>
    </row>
    <row r="1125" spans="1:17" ht="15.75" thickBot="1" x14ac:dyDescent="0.3">
      <c r="A1125" s="7">
        <v>1124</v>
      </c>
      <c r="B1125" s="6">
        <v>35</v>
      </c>
      <c r="C1125" s="35">
        <v>3421051</v>
      </c>
      <c r="D1125" t="s">
        <v>54</v>
      </c>
      <c r="E1125" s="35">
        <v>16</v>
      </c>
      <c r="F1125" s="10" t="s">
        <v>20</v>
      </c>
      <c r="I1125" s="20"/>
      <c r="J1125" s="138" t="s">
        <v>1292</v>
      </c>
      <c r="K1125" s="138" t="s">
        <v>1292</v>
      </c>
      <c r="L1125" s="138" t="s">
        <v>1292</v>
      </c>
      <c r="M1125" s="21"/>
      <c r="N1125" s="92" t="s">
        <v>1292</v>
      </c>
      <c r="P1125" t="str">
        <f>VLOOKUP(B1125,PTN!A:B,2,FALSE)</f>
        <v>UNIVERSITAS SILIWANGI</v>
      </c>
      <c r="Q1125" t="str">
        <f t="shared" si="17"/>
        <v>UNIVERSITAS SILIWANGITEKNIK SIPIL</v>
      </c>
    </row>
    <row r="1126" spans="1:17" ht="16.5" thickTop="1" thickBot="1" x14ac:dyDescent="0.3">
      <c r="A1126" s="7">
        <v>1125</v>
      </c>
      <c r="B1126" s="6">
        <v>35</v>
      </c>
      <c r="C1126" s="12">
        <v>3422085</v>
      </c>
      <c r="D1126" t="s">
        <v>55</v>
      </c>
      <c r="E1126" s="12">
        <v>24</v>
      </c>
      <c r="F1126" s="10" t="s">
        <v>13</v>
      </c>
      <c r="I1126" s="22"/>
      <c r="J1126" s="138">
        <v>585.79999999999995</v>
      </c>
      <c r="K1126" s="138">
        <v>593.93772999999999</v>
      </c>
      <c r="L1126" s="138">
        <v>577.66226999999992</v>
      </c>
      <c r="M1126" s="21"/>
      <c r="N1126" s="91">
        <v>585.79999999999995</v>
      </c>
      <c r="P1126" t="str">
        <f>VLOOKUP(B1126,PTN!A:B,2,FALSE)</f>
        <v>UNIVERSITAS SILIWANGI</v>
      </c>
      <c r="Q1126" t="str">
        <f t="shared" si="17"/>
        <v>UNIVERSITAS SILIWANGIAKUNTANSI</v>
      </c>
    </row>
    <row r="1127" spans="1:17" ht="16.5" thickTop="1" thickBot="1" x14ac:dyDescent="0.3">
      <c r="A1127" s="7">
        <v>1126</v>
      </c>
      <c r="B1127" s="6">
        <v>35</v>
      </c>
      <c r="C1127" s="13">
        <v>3422062</v>
      </c>
      <c r="D1127" t="s">
        <v>69</v>
      </c>
      <c r="E1127" s="13">
        <v>32</v>
      </c>
      <c r="F1127" s="10" t="s">
        <v>13</v>
      </c>
      <c r="I1127" s="23"/>
      <c r="J1127" s="138" t="s">
        <v>1292</v>
      </c>
      <c r="K1127" s="138" t="s">
        <v>1292</v>
      </c>
      <c r="L1127" s="138" t="s">
        <v>1292</v>
      </c>
      <c r="M1127" s="25"/>
      <c r="N1127" s="93" t="s">
        <v>1292</v>
      </c>
      <c r="P1127" t="str">
        <f>VLOOKUP(B1127,PTN!A:B,2,FALSE)</f>
        <v>UNIVERSITAS SILIWANGI</v>
      </c>
      <c r="Q1127" t="str">
        <f t="shared" si="17"/>
        <v>UNIVERSITAS SILIWANGIEKONOMI PEMBANGUNAN</v>
      </c>
    </row>
    <row r="1128" spans="1:17" ht="16.5" thickTop="1" thickBot="1" x14ac:dyDescent="0.3">
      <c r="A1128" s="7">
        <v>1127</v>
      </c>
      <c r="B1128" s="6">
        <v>35</v>
      </c>
      <c r="C1128" s="12">
        <v>3422104</v>
      </c>
      <c r="D1128" t="s">
        <v>28</v>
      </c>
      <c r="E1128" s="12">
        <v>24</v>
      </c>
      <c r="F1128" s="10" t="s">
        <v>13</v>
      </c>
      <c r="I1128" s="26"/>
      <c r="J1128" s="138" t="s">
        <v>1292</v>
      </c>
      <c r="K1128" s="138" t="s">
        <v>1292</v>
      </c>
      <c r="L1128" s="138" t="s">
        <v>1292</v>
      </c>
      <c r="M1128" s="27"/>
      <c r="N1128" s="83" t="s">
        <v>1292</v>
      </c>
      <c r="P1128" t="str">
        <f>VLOOKUP(B1128,PTN!A:B,2,FALSE)</f>
        <v>UNIVERSITAS SILIWANGI</v>
      </c>
      <c r="Q1128" t="str">
        <f t="shared" si="17"/>
        <v>UNIVERSITAS SILIWANGIEKONOMI SYARIAH</v>
      </c>
    </row>
    <row r="1129" spans="1:17" ht="15.75" thickBot="1" x14ac:dyDescent="0.3">
      <c r="A1129" s="7">
        <v>1128</v>
      </c>
      <c r="B1129" s="6">
        <v>35</v>
      </c>
      <c r="C1129" s="13">
        <v>3422112</v>
      </c>
      <c r="D1129" t="s">
        <v>33</v>
      </c>
      <c r="E1129" s="13">
        <v>16</v>
      </c>
      <c r="F1129" s="10" t="s">
        <v>13</v>
      </c>
      <c r="I1129" s="87"/>
      <c r="J1129" s="138" t="s">
        <v>1292</v>
      </c>
      <c r="K1129" s="138" t="s">
        <v>1292</v>
      </c>
      <c r="L1129" s="138" t="s">
        <v>1292</v>
      </c>
      <c r="M1129" s="28"/>
      <c r="N1129" s="83" t="s">
        <v>1292</v>
      </c>
      <c r="P1129" t="str">
        <f>VLOOKUP(B1129,PTN!A:B,2,FALSE)</f>
        <v>UNIVERSITAS SILIWANGI</v>
      </c>
      <c r="Q1129" t="str">
        <f t="shared" si="17"/>
        <v>UNIVERSITAS SILIWANGIILMU POLITIK</v>
      </c>
    </row>
    <row r="1130" spans="1:17" ht="15.75" thickBot="1" x14ac:dyDescent="0.3">
      <c r="A1130" s="7">
        <v>1129</v>
      </c>
      <c r="B1130" s="6">
        <v>35</v>
      </c>
      <c r="C1130" s="12">
        <v>3422077</v>
      </c>
      <c r="D1130" t="s">
        <v>61</v>
      </c>
      <c r="E1130" s="12">
        <v>32</v>
      </c>
      <c r="F1130" s="10" t="s">
        <v>13</v>
      </c>
      <c r="I1130" s="26"/>
      <c r="J1130" s="138">
        <v>569.07000000000005</v>
      </c>
      <c r="K1130" s="138">
        <v>577.20773000000008</v>
      </c>
      <c r="L1130" s="138">
        <v>560.93227000000002</v>
      </c>
      <c r="M1130" s="27"/>
      <c r="N1130" s="83">
        <v>569.07000000000005</v>
      </c>
      <c r="P1130" t="str">
        <f>VLOOKUP(B1130,PTN!A:B,2,FALSE)</f>
        <v>UNIVERSITAS SILIWANGI</v>
      </c>
      <c r="Q1130" t="str">
        <f t="shared" si="17"/>
        <v>UNIVERSITAS SILIWANGIMANAJEMEN</v>
      </c>
    </row>
    <row r="1131" spans="1:17" ht="15.75" thickBot="1" x14ac:dyDescent="0.3">
      <c r="A1131" s="7">
        <v>1130</v>
      </c>
      <c r="B1131" s="6">
        <v>35</v>
      </c>
      <c r="C1131" s="13">
        <v>3422127</v>
      </c>
      <c r="D1131" t="s">
        <v>99</v>
      </c>
      <c r="E1131" s="13">
        <v>24</v>
      </c>
      <c r="F1131" s="10" t="s">
        <v>13</v>
      </c>
      <c r="I1131" s="87"/>
      <c r="J1131" s="138" t="s">
        <v>1292</v>
      </c>
      <c r="K1131" s="138" t="s">
        <v>1292</v>
      </c>
      <c r="L1131" s="138" t="s">
        <v>1292</v>
      </c>
      <c r="M1131" s="28"/>
      <c r="N1131" s="83" t="s">
        <v>1292</v>
      </c>
      <c r="P1131" t="str">
        <f>VLOOKUP(B1131,PTN!A:B,2,FALSE)</f>
        <v>UNIVERSITAS SILIWANGI</v>
      </c>
      <c r="Q1131" t="str">
        <f t="shared" si="17"/>
        <v>UNIVERSITAS SILIWANGIPENDIDIKAN BAHASA DAN SASTRA INDONESIA</v>
      </c>
    </row>
    <row r="1132" spans="1:17" ht="15.75" thickBot="1" x14ac:dyDescent="0.3">
      <c r="A1132" s="7">
        <v>1131</v>
      </c>
      <c r="B1132" s="6">
        <v>35</v>
      </c>
      <c r="C1132" s="12">
        <v>3422135</v>
      </c>
      <c r="D1132" t="s">
        <v>71</v>
      </c>
      <c r="E1132" s="12">
        <v>30</v>
      </c>
      <c r="F1132" s="10" t="s">
        <v>13</v>
      </c>
      <c r="I1132" s="26"/>
      <c r="J1132" s="138" t="s">
        <v>1292</v>
      </c>
      <c r="K1132" s="138" t="s">
        <v>1292</v>
      </c>
      <c r="L1132" s="138" t="s">
        <v>1292</v>
      </c>
      <c r="M1132" s="27"/>
      <c r="N1132" s="83" t="s">
        <v>1292</v>
      </c>
      <c r="P1132" t="str">
        <f>VLOOKUP(B1132,PTN!A:B,2,FALSE)</f>
        <v>UNIVERSITAS SILIWANGI</v>
      </c>
      <c r="Q1132" t="str">
        <f t="shared" si="17"/>
        <v>UNIVERSITAS SILIWANGIPENDIDIKAN BAHASA INGGRIS</v>
      </c>
    </row>
    <row r="1133" spans="1:17" ht="15.75" thickBot="1" x14ac:dyDescent="0.3">
      <c r="A1133" s="7">
        <v>1132</v>
      </c>
      <c r="B1133" s="6">
        <v>35</v>
      </c>
      <c r="C1133" s="13">
        <v>3422023</v>
      </c>
      <c r="D1133" t="s">
        <v>100</v>
      </c>
      <c r="E1133" s="13">
        <v>24</v>
      </c>
      <c r="F1133" s="10" t="s">
        <v>13</v>
      </c>
      <c r="I1133" s="87"/>
      <c r="J1133" s="138" t="s">
        <v>1292</v>
      </c>
      <c r="K1133" s="138" t="s">
        <v>1292</v>
      </c>
      <c r="L1133" s="138" t="s">
        <v>1292</v>
      </c>
      <c r="M1133" s="28"/>
      <c r="N1133" s="83" t="s">
        <v>1292</v>
      </c>
      <c r="P1133" t="str">
        <f>VLOOKUP(B1133,PTN!A:B,2,FALSE)</f>
        <v>UNIVERSITAS SILIWANGI</v>
      </c>
      <c r="Q1133" t="str">
        <f t="shared" si="17"/>
        <v>UNIVERSITAS SILIWANGIPENDIDIKAN EKONOMI</v>
      </c>
    </row>
    <row r="1134" spans="1:17" ht="15.75" thickBot="1" x14ac:dyDescent="0.3">
      <c r="A1134" s="7">
        <v>1133</v>
      </c>
      <c r="B1134" s="6">
        <v>35</v>
      </c>
      <c r="C1134" s="12">
        <v>3422031</v>
      </c>
      <c r="D1134" t="s">
        <v>72</v>
      </c>
      <c r="E1134" s="12">
        <v>24</v>
      </c>
      <c r="F1134" s="10" t="s">
        <v>13</v>
      </c>
      <c r="I1134" s="26"/>
      <c r="J1134" s="138">
        <v>420</v>
      </c>
      <c r="K1134" s="138" t="s">
        <v>1292</v>
      </c>
      <c r="L1134" s="138" t="s">
        <v>1292</v>
      </c>
      <c r="M1134" s="27"/>
      <c r="N1134" s="83">
        <v>420</v>
      </c>
      <c r="P1134" t="str">
        <f>VLOOKUP(B1134,PTN!A:B,2,FALSE)</f>
        <v>UNIVERSITAS SILIWANGI</v>
      </c>
      <c r="Q1134" t="str">
        <f t="shared" si="17"/>
        <v>UNIVERSITAS SILIWANGIPENDIDIKAN GEOGRAFI</v>
      </c>
    </row>
    <row r="1135" spans="1:17" ht="15.75" thickBot="1" x14ac:dyDescent="0.3">
      <c r="A1135" s="7">
        <v>1134</v>
      </c>
      <c r="B1135" s="6">
        <v>35</v>
      </c>
      <c r="C1135" s="13">
        <v>3422054</v>
      </c>
      <c r="D1135" t="s">
        <v>429</v>
      </c>
      <c r="E1135" s="13">
        <v>48</v>
      </c>
      <c r="F1135" s="10" t="s">
        <v>13</v>
      </c>
      <c r="I1135" s="87"/>
      <c r="J1135" s="138" t="s">
        <v>1292</v>
      </c>
      <c r="K1135" s="138" t="s">
        <v>1292</v>
      </c>
      <c r="L1135" s="138" t="s">
        <v>1292</v>
      </c>
      <c r="M1135" s="28"/>
      <c r="N1135" s="83" t="s">
        <v>1292</v>
      </c>
      <c r="P1135" t="str">
        <f>VLOOKUP(B1135,PTN!A:B,2,FALSE)</f>
        <v>UNIVERSITAS SILIWANGI</v>
      </c>
      <c r="Q1135" t="str">
        <f t="shared" si="17"/>
        <v>UNIVERSITAS SILIWANGIPENDIDIKAN JASMANI, KESEHATAN DAN REKREASI</v>
      </c>
    </row>
    <row r="1136" spans="1:17" ht="15.75" thickBot="1" x14ac:dyDescent="0.3">
      <c r="A1136" s="7">
        <v>1135</v>
      </c>
      <c r="B1136" s="6">
        <v>35</v>
      </c>
      <c r="C1136" s="12">
        <v>3422015</v>
      </c>
      <c r="D1136" t="s">
        <v>201</v>
      </c>
      <c r="E1136" s="12">
        <v>24</v>
      </c>
      <c r="F1136" s="10" t="s">
        <v>13</v>
      </c>
      <c r="I1136" s="26"/>
      <c r="J1136" s="138" t="s">
        <v>1292</v>
      </c>
      <c r="K1136" s="138" t="s">
        <v>1292</v>
      </c>
      <c r="L1136" s="138" t="s">
        <v>1292</v>
      </c>
      <c r="M1136" s="27"/>
      <c r="N1136" s="83" t="s">
        <v>1292</v>
      </c>
      <c r="P1136" t="str">
        <f>VLOOKUP(B1136,PTN!A:B,2,FALSE)</f>
        <v>UNIVERSITAS SILIWANGI</v>
      </c>
      <c r="Q1136" t="str">
        <f t="shared" si="17"/>
        <v>UNIVERSITAS SILIWANGIPENDIDIKAN LUAR SEKOLAH</v>
      </c>
    </row>
    <row r="1137" spans="1:17" ht="15.75" thickBot="1" x14ac:dyDescent="0.3">
      <c r="A1137" s="7">
        <v>1136</v>
      </c>
      <c r="B1137" s="6">
        <v>35</v>
      </c>
      <c r="C1137" s="16">
        <v>3422046</v>
      </c>
      <c r="D1137" t="s">
        <v>75</v>
      </c>
      <c r="E1137" s="16">
        <v>16</v>
      </c>
      <c r="F1137" s="10" t="s">
        <v>13</v>
      </c>
      <c r="I1137" s="20"/>
      <c r="J1137" s="138" t="s">
        <v>1292</v>
      </c>
      <c r="K1137" s="138" t="s">
        <v>1292</v>
      </c>
      <c r="L1137" s="138" t="s">
        <v>1292</v>
      </c>
      <c r="M1137" s="21"/>
      <c r="N1137" s="83" t="s">
        <v>1292</v>
      </c>
      <c r="P1137" t="str">
        <f>VLOOKUP(B1137,PTN!A:B,2,FALSE)</f>
        <v>UNIVERSITAS SILIWANGI</v>
      </c>
      <c r="Q1137" t="str">
        <f t="shared" si="17"/>
        <v>UNIVERSITAS SILIWANGIPENDIDIKAN SEJARAH</v>
      </c>
    </row>
    <row r="1138" spans="1:17" ht="16.5" thickTop="1" thickBot="1" x14ac:dyDescent="0.3">
      <c r="A1138" s="7">
        <v>1137</v>
      </c>
      <c r="B1138" s="6">
        <v>28</v>
      </c>
      <c r="C1138" s="12">
        <v>3311071</v>
      </c>
      <c r="D1138" t="s">
        <v>37</v>
      </c>
      <c r="E1138" s="12">
        <v>35</v>
      </c>
      <c r="F1138" s="10" t="s">
        <v>20</v>
      </c>
      <c r="I1138" s="22"/>
      <c r="J1138" s="138" t="s">
        <v>1292</v>
      </c>
      <c r="K1138" s="138" t="s">
        <v>1292</v>
      </c>
      <c r="L1138" s="138" t="s">
        <v>1292</v>
      </c>
      <c r="M1138" s="21"/>
      <c r="N1138" s="83" t="s">
        <v>1292</v>
      </c>
      <c r="P1138" t="str">
        <f>VLOOKUP(B1138,PTN!A:B,2,FALSE)</f>
        <v>UNIVERSITAS SINGAPERBANGSA KARAWANG</v>
      </c>
      <c r="Q1138" t="str">
        <f t="shared" si="17"/>
        <v>UNIVERSITAS SINGAPERBANGSA KARAWANGAGRIBISNIS</v>
      </c>
    </row>
    <row r="1139" spans="1:17" ht="16.5" thickTop="1" thickBot="1" x14ac:dyDescent="0.3">
      <c r="A1139" s="7">
        <v>1138</v>
      </c>
      <c r="B1139" s="6">
        <v>28</v>
      </c>
      <c r="C1139" s="13">
        <v>3311016</v>
      </c>
      <c r="D1139" t="s">
        <v>64</v>
      </c>
      <c r="E1139" s="13">
        <v>44</v>
      </c>
      <c r="F1139" s="10" t="s">
        <v>20</v>
      </c>
      <c r="I1139" s="23"/>
      <c r="J1139" s="138" t="s">
        <v>1292</v>
      </c>
      <c r="K1139" s="138" t="s">
        <v>1292</v>
      </c>
      <c r="L1139" s="138" t="s">
        <v>1292</v>
      </c>
      <c r="M1139" s="25"/>
      <c r="N1139" s="83" t="s">
        <v>1292</v>
      </c>
      <c r="P1139" t="str">
        <f>VLOOKUP(B1139,PTN!A:B,2,FALSE)</f>
        <v>UNIVERSITAS SINGAPERBANGSA KARAWANG</v>
      </c>
      <c r="Q1139" t="str">
        <f t="shared" si="17"/>
        <v>UNIVERSITAS SINGAPERBANGSA KARAWANGAGROTEKNOLOGI</v>
      </c>
    </row>
    <row r="1140" spans="1:17" ht="16.5" thickTop="1" thickBot="1" x14ac:dyDescent="0.3">
      <c r="A1140" s="7">
        <v>1139</v>
      </c>
      <c r="B1140" s="6">
        <v>28</v>
      </c>
      <c r="C1140" s="12">
        <v>3311086</v>
      </c>
      <c r="D1140" t="s">
        <v>77</v>
      </c>
      <c r="E1140" s="12">
        <v>26</v>
      </c>
      <c r="F1140" s="10" t="s">
        <v>20</v>
      </c>
      <c r="I1140" s="26"/>
      <c r="J1140" s="138" t="s">
        <v>1292</v>
      </c>
      <c r="K1140" s="138" t="s">
        <v>1292</v>
      </c>
      <c r="L1140" s="138" t="s">
        <v>1292</v>
      </c>
      <c r="M1140" s="27"/>
      <c r="N1140" s="83" t="s">
        <v>1292</v>
      </c>
      <c r="P1140" t="str">
        <f>VLOOKUP(B1140,PTN!A:B,2,FALSE)</f>
        <v>UNIVERSITAS SINGAPERBANGSA KARAWANG</v>
      </c>
      <c r="Q1140" t="str">
        <f t="shared" si="17"/>
        <v>UNIVERSITAS SINGAPERBANGSA KARAWANGFARMASI</v>
      </c>
    </row>
    <row r="1141" spans="1:17" ht="15.75" thickBot="1" x14ac:dyDescent="0.3">
      <c r="A1141" s="7">
        <v>1140</v>
      </c>
      <c r="B1141" s="6">
        <v>28</v>
      </c>
      <c r="C1141" s="13">
        <v>3311094</v>
      </c>
      <c r="D1141" t="s">
        <v>113</v>
      </c>
      <c r="E1141" s="13">
        <v>18</v>
      </c>
      <c r="F1141" s="10" t="s">
        <v>20</v>
      </c>
      <c r="I1141" s="87"/>
      <c r="J1141" s="138" t="s">
        <v>1292</v>
      </c>
      <c r="K1141" s="138" t="s">
        <v>1292</v>
      </c>
      <c r="L1141" s="138" t="s">
        <v>1292</v>
      </c>
      <c r="M1141" s="28"/>
      <c r="N1141" s="83" t="s">
        <v>1292</v>
      </c>
      <c r="P1141" t="str">
        <f>VLOOKUP(B1141,PTN!A:B,2,FALSE)</f>
        <v>UNIVERSITAS SINGAPERBANGSA KARAWANG</v>
      </c>
      <c r="Q1141" t="str">
        <f t="shared" si="17"/>
        <v>UNIVERSITAS SINGAPERBANGSA KARAWANGGIZI</v>
      </c>
    </row>
    <row r="1142" spans="1:17" ht="15.75" thickBot="1" x14ac:dyDescent="0.3">
      <c r="A1142" s="7">
        <v>1141</v>
      </c>
      <c r="B1142" s="6">
        <v>28</v>
      </c>
      <c r="C1142" s="12">
        <v>3311113</v>
      </c>
      <c r="D1142" t="s">
        <v>114</v>
      </c>
      <c r="E1142" s="12">
        <v>18</v>
      </c>
      <c r="F1142" s="10" t="s">
        <v>20</v>
      </c>
      <c r="I1142" s="26"/>
      <c r="J1142" s="138" t="s">
        <v>1292</v>
      </c>
      <c r="K1142" s="138" t="s">
        <v>1292</v>
      </c>
      <c r="L1142" s="138" t="s">
        <v>1292</v>
      </c>
      <c r="M1142" s="27"/>
      <c r="N1142" s="83" t="s">
        <v>1292</v>
      </c>
      <c r="P1142" t="str">
        <f>VLOOKUP(B1142,PTN!A:B,2,FALSE)</f>
        <v>UNIVERSITAS SINGAPERBANGSA KARAWANG</v>
      </c>
      <c r="Q1142" t="str">
        <f t="shared" si="17"/>
        <v>UNIVERSITAS SINGAPERBANGSA KARAWANGILMU KEOLAHRAGAAN</v>
      </c>
    </row>
    <row r="1143" spans="1:17" ht="15.75" thickBot="1" x14ac:dyDescent="0.3">
      <c r="A1143" s="7">
        <v>1142</v>
      </c>
      <c r="B1143" s="6">
        <v>28</v>
      </c>
      <c r="C1143" s="13">
        <v>3311063</v>
      </c>
      <c r="D1143" t="s">
        <v>218</v>
      </c>
      <c r="E1143" s="13">
        <v>53</v>
      </c>
      <c r="F1143" s="10" t="s">
        <v>20</v>
      </c>
      <c r="I1143" s="87"/>
      <c r="J1143" s="138" t="s">
        <v>1292</v>
      </c>
      <c r="K1143" s="138" t="s">
        <v>1292</v>
      </c>
      <c r="L1143" s="138" t="s">
        <v>1292</v>
      </c>
      <c r="M1143" s="28"/>
      <c r="N1143" s="83" t="s">
        <v>1292</v>
      </c>
      <c r="P1143" t="str">
        <f>VLOOKUP(B1143,PTN!A:B,2,FALSE)</f>
        <v>UNIVERSITAS SINGAPERBANGSA KARAWANG</v>
      </c>
      <c r="Q1143" t="str">
        <f t="shared" si="17"/>
        <v>UNIVERSITAS SINGAPERBANGSA KARAWANGPEND. MATEMATIKA</v>
      </c>
    </row>
    <row r="1144" spans="1:17" ht="15.75" thickBot="1" x14ac:dyDescent="0.3">
      <c r="A1144" s="7">
        <v>1143</v>
      </c>
      <c r="B1144" s="6">
        <v>28</v>
      </c>
      <c r="C1144" s="12">
        <v>3311047</v>
      </c>
      <c r="D1144" t="s">
        <v>48</v>
      </c>
      <c r="E1144" s="12">
        <v>44</v>
      </c>
      <c r="F1144" s="10" t="s">
        <v>20</v>
      </c>
      <c r="I1144" s="26"/>
      <c r="J1144" s="138" t="s">
        <v>1292</v>
      </c>
      <c r="K1144" s="138" t="s">
        <v>1292</v>
      </c>
      <c r="L1144" s="138" t="s">
        <v>1292</v>
      </c>
      <c r="M1144" s="27"/>
      <c r="N1144" s="83" t="s">
        <v>1292</v>
      </c>
      <c r="P1144" t="str">
        <f>VLOOKUP(B1144,PTN!A:B,2,FALSE)</f>
        <v>UNIVERSITAS SINGAPERBANGSA KARAWANG</v>
      </c>
      <c r="Q1144" t="str">
        <f t="shared" si="17"/>
        <v>UNIVERSITAS SINGAPERBANGSA KARAWANGTEKNIK ELEKTRO</v>
      </c>
    </row>
    <row r="1145" spans="1:17" ht="15.75" thickBot="1" x14ac:dyDescent="0.3">
      <c r="A1145" s="7">
        <v>1144</v>
      </c>
      <c r="B1145" s="6">
        <v>28</v>
      </c>
      <c r="C1145" s="13">
        <v>3311024</v>
      </c>
      <c r="D1145" t="s">
        <v>49</v>
      </c>
      <c r="E1145" s="13">
        <v>61</v>
      </c>
      <c r="F1145" s="10" t="s">
        <v>20</v>
      </c>
      <c r="I1145" s="87"/>
      <c r="J1145" s="138" t="s">
        <v>1292</v>
      </c>
      <c r="K1145" s="138" t="s">
        <v>1292</v>
      </c>
      <c r="L1145" s="138" t="s">
        <v>1292</v>
      </c>
      <c r="M1145" s="28"/>
      <c r="N1145" s="83" t="s">
        <v>1292</v>
      </c>
      <c r="P1145" t="str">
        <f>VLOOKUP(B1145,PTN!A:B,2,FALSE)</f>
        <v>UNIVERSITAS SINGAPERBANGSA KARAWANG</v>
      </c>
      <c r="Q1145" t="str">
        <f t="shared" si="17"/>
        <v>UNIVERSITAS SINGAPERBANGSA KARAWANGTEKNIK INDUSTRI</v>
      </c>
    </row>
    <row r="1146" spans="1:17" ht="15.75" thickBot="1" x14ac:dyDescent="0.3">
      <c r="A1146" s="7">
        <v>1145</v>
      </c>
      <c r="B1146" s="6">
        <v>28</v>
      </c>
      <c r="C1146" s="12">
        <v>3311055</v>
      </c>
      <c r="D1146" t="s">
        <v>50</v>
      </c>
      <c r="E1146" s="12">
        <v>61</v>
      </c>
      <c r="F1146" s="10" t="s">
        <v>20</v>
      </c>
      <c r="I1146" s="26"/>
      <c r="J1146" s="138" t="s">
        <v>1292</v>
      </c>
      <c r="K1146" s="138" t="s">
        <v>1292</v>
      </c>
      <c r="L1146" s="138" t="s">
        <v>1292</v>
      </c>
      <c r="M1146" s="27"/>
      <c r="N1146" s="83" t="s">
        <v>1292</v>
      </c>
      <c r="P1146" t="str">
        <f>VLOOKUP(B1146,PTN!A:B,2,FALSE)</f>
        <v>UNIVERSITAS SINGAPERBANGSA KARAWANG</v>
      </c>
      <c r="Q1146" t="str">
        <f t="shared" si="17"/>
        <v>UNIVERSITAS SINGAPERBANGSA KARAWANGTEKNIK INFORMATIKA</v>
      </c>
    </row>
    <row r="1147" spans="1:17" ht="15.75" thickBot="1" x14ac:dyDescent="0.3">
      <c r="A1147" s="7">
        <v>1146</v>
      </c>
      <c r="B1147" s="6">
        <v>28</v>
      </c>
      <c r="C1147" s="13">
        <v>3311105</v>
      </c>
      <c r="D1147" t="s">
        <v>51</v>
      </c>
      <c r="E1147" s="13">
        <v>18</v>
      </c>
      <c r="F1147" s="10" t="s">
        <v>20</v>
      </c>
      <c r="I1147" s="87"/>
      <c r="J1147" s="138" t="s">
        <v>1292</v>
      </c>
      <c r="K1147" s="138" t="s">
        <v>1292</v>
      </c>
      <c r="L1147" s="138" t="s">
        <v>1292</v>
      </c>
      <c r="M1147" s="28"/>
      <c r="N1147" s="83" t="s">
        <v>1292</v>
      </c>
      <c r="P1147" t="str">
        <f>VLOOKUP(B1147,PTN!A:B,2,FALSE)</f>
        <v>UNIVERSITAS SINGAPERBANGSA KARAWANG</v>
      </c>
      <c r="Q1147" t="str">
        <f t="shared" si="17"/>
        <v>UNIVERSITAS SINGAPERBANGSA KARAWANGTEKNIK KIMIA</v>
      </c>
    </row>
    <row r="1148" spans="1:17" ht="15.75" thickBot="1" x14ac:dyDescent="0.3">
      <c r="A1148" s="7">
        <v>1147</v>
      </c>
      <c r="B1148" s="6">
        <v>28</v>
      </c>
      <c r="C1148" s="14">
        <v>3311032</v>
      </c>
      <c r="D1148" t="s">
        <v>53</v>
      </c>
      <c r="E1148" s="14">
        <v>61</v>
      </c>
      <c r="F1148" s="10" t="s">
        <v>20</v>
      </c>
      <c r="I1148" s="26"/>
      <c r="J1148" s="138" t="s">
        <v>1292</v>
      </c>
      <c r="K1148" s="138" t="s">
        <v>1292</v>
      </c>
      <c r="L1148" s="138" t="s">
        <v>1292</v>
      </c>
      <c r="M1148" s="27"/>
      <c r="N1148" s="83" t="s">
        <v>1292</v>
      </c>
      <c r="P1148" t="str">
        <f>VLOOKUP(B1148,PTN!A:B,2,FALSE)</f>
        <v>UNIVERSITAS SINGAPERBANGSA KARAWANG</v>
      </c>
      <c r="Q1148" t="str">
        <f t="shared" si="17"/>
        <v>UNIVERSITAS SINGAPERBANGSA KARAWANGTEKNIK MESIN</v>
      </c>
    </row>
    <row r="1149" spans="1:17" ht="16.5" thickTop="1" thickBot="1" x14ac:dyDescent="0.3">
      <c r="A1149" s="7">
        <v>1148</v>
      </c>
      <c r="B1149" s="6">
        <v>28</v>
      </c>
      <c r="C1149" s="12">
        <v>3312035</v>
      </c>
      <c r="D1149" t="s">
        <v>55</v>
      </c>
      <c r="E1149" s="12">
        <v>61</v>
      </c>
      <c r="F1149" s="10" t="s">
        <v>13</v>
      </c>
      <c r="I1149" s="20"/>
      <c r="J1149" s="138">
        <v>574.98</v>
      </c>
      <c r="K1149" s="138">
        <v>583.11773000000005</v>
      </c>
      <c r="L1149" s="138">
        <v>566.84226999999998</v>
      </c>
      <c r="M1149" s="21"/>
      <c r="N1149" s="83">
        <v>574.98</v>
      </c>
      <c r="P1149" t="str">
        <f>VLOOKUP(B1149,PTN!A:B,2,FALSE)</f>
        <v>UNIVERSITAS SINGAPERBANGSA KARAWANG</v>
      </c>
      <c r="Q1149" t="str">
        <f t="shared" si="17"/>
        <v>UNIVERSITAS SINGAPERBANGSA KARAWANGAKUNTANSI</v>
      </c>
    </row>
    <row r="1150" spans="1:17" ht="15.75" thickBot="1" x14ac:dyDescent="0.3">
      <c r="A1150" s="7">
        <v>1149</v>
      </c>
      <c r="B1150" s="6">
        <v>28</v>
      </c>
      <c r="C1150" s="13">
        <v>3312012</v>
      </c>
      <c r="D1150" t="s">
        <v>31</v>
      </c>
      <c r="E1150" s="13">
        <v>70</v>
      </c>
      <c r="F1150" s="10" t="s">
        <v>13</v>
      </c>
      <c r="I1150" s="22"/>
      <c r="J1150" s="138" t="s">
        <v>1292</v>
      </c>
      <c r="K1150" s="138" t="s">
        <v>1292</v>
      </c>
      <c r="L1150" s="138" t="s">
        <v>1292</v>
      </c>
      <c r="M1150" s="21"/>
      <c r="N1150" s="83" t="s">
        <v>1292</v>
      </c>
      <c r="P1150" t="str">
        <f>VLOOKUP(B1150,PTN!A:B,2,FALSE)</f>
        <v>UNIVERSITAS SINGAPERBANGSA KARAWANG</v>
      </c>
      <c r="Q1150" t="str">
        <f t="shared" si="17"/>
        <v>UNIVERSITAS SINGAPERBANGSA KARAWANGILMU HUKUM</v>
      </c>
    </row>
    <row r="1151" spans="1:17" ht="16.5" thickTop="1" thickBot="1" x14ac:dyDescent="0.3">
      <c r="A1151" s="7">
        <v>1150</v>
      </c>
      <c r="B1151" s="6">
        <v>28</v>
      </c>
      <c r="C1151" s="12">
        <v>3312097</v>
      </c>
      <c r="D1151" t="s">
        <v>60</v>
      </c>
      <c r="E1151" s="12">
        <v>53</v>
      </c>
      <c r="F1151" s="10" t="s">
        <v>13</v>
      </c>
      <c r="I1151" s="23"/>
      <c r="J1151" s="138">
        <v>566.07000000000005</v>
      </c>
      <c r="K1151" s="138">
        <v>574.20773000000008</v>
      </c>
      <c r="L1151" s="138">
        <v>557.93227000000002</v>
      </c>
      <c r="M1151" s="25"/>
      <c r="N1151" s="83">
        <v>566.07000000000005</v>
      </c>
      <c r="P1151" t="str">
        <f>VLOOKUP(B1151,PTN!A:B,2,FALSE)</f>
        <v>UNIVERSITAS SINGAPERBANGSA KARAWANG</v>
      </c>
      <c r="Q1151" t="str">
        <f t="shared" si="17"/>
        <v>UNIVERSITAS SINGAPERBANGSA KARAWANGILMU KOMUNIKASI</v>
      </c>
    </row>
    <row r="1152" spans="1:17" ht="16.5" thickTop="1" thickBot="1" x14ac:dyDescent="0.3">
      <c r="A1152" s="7">
        <v>1151</v>
      </c>
      <c r="B1152" s="6">
        <v>28</v>
      </c>
      <c r="C1152" s="13">
        <v>3312082</v>
      </c>
      <c r="D1152" t="s">
        <v>97</v>
      </c>
      <c r="E1152" s="13">
        <v>53</v>
      </c>
      <c r="F1152" s="10" t="s">
        <v>13</v>
      </c>
      <c r="I1152" s="26"/>
      <c r="J1152" s="138" t="s">
        <v>1292</v>
      </c>
      <c r="K1152" s="138" t="s">
        <v>1292</v>
      </c>
      <c r="L1152" s="138" t="s">
        <v>1292</v>
      </c>
      <c r="M1152" s="27"/>
      <c r="N1152" s="83" t="s">
        <v>1292</v>
      </c>
      <c r="P1152" t="str">
        <f>VLOOKUP(B1152,PTN!A:B,2,FALSE)</f>
        <v>UNIVERSITAS SINGAPERBANGSA KARAWANG</v>
      </c>
      <c r="Q1152" t="str">
        <f t="shared" si="17"/>
        <v>UNIVERSITAS SINGAPERBANGSA KARAWANGILMU PEMERINTAHAN</v>
      </c>
    </row>
    <row r="1153" spans="1:17" ht="15.75" thickBot="1" x14ac:dyDescent="0.3">
      <c r="A1153" s="7">
        <v>1152</v>
      </c>
      <c r="B1153" s="6">
        <v>28</v>
      </c>
      <c r="C1153" s="12">
        <v>3312027</v>
      </c>
      <c r="D1153" t="s">
        <v>61</v>
      </c>
      <c r="E1153" s="12">
        <v>70</v>
      </c>
      <c r="F1153" s="10" t="s">
        <v>13</v>
      </c>
      <c r="I1153" s="87"/>
      <c r="J1153" s="138">
        <v>600</v>
      </c>
      <c r="K1153" s="138" t="s">
        <v>1292</v>
      </c>
      <c r="L1153" s="138" t="s">
        <v>1292</v>
      </c>
      <c r="M1153" s="28"/>
      <c r="N1153" s="83">
        <v>600</v>
      </c>
      <c r="P1153" t="str">
        <f>VLOOKUP(B1153,PTN!A:B,2,FALSE)</f>
        <v>UNIVERSITAS SINGAPERBANGSA KARAWANG</v>
      </c>
      <c r="Q1153" t="str">
        <f t="shared" si="17"/>
        <v>UNIVERSITAS SINGAPERBANGSA KARAWANGMANAJEMEN</v>
      </c>
    </row>
    <row r="1154" spans="1:17" ht="15.75" thickBot="1" x14ac:dyDescent="0.3">
      <c r="A1154" s="7">
        <v>1153</v>
      </c>
      <c r="B1154" s="6">
        <v>28</v>
      </c>
      <c r="C1154" s="13">
        <v>3312074</v>
      </c>
      <c r="D1154" t="s">
        <v>430</v>
      </c>
      <c r="E1154" s="13">
        <v>53</v>
      </c>
      <c r="F1154" s="10" t="s">
        <v>13</v>
      </c>
      <c r="I1154" s="26"/>
      <c r="J1154" s="138" t="s">
        <v>1292</v>
      </c>
      <c r="K1154" s="138" t="s">
        <v>1292</v>
      </c>
      <c r="L1154" s="138" t="s">
        <v>1292</v>
      </c>
      <c r="M1154" s="27"/>
      <c r="N1154" s="83" t="s">
        <v>1292</v>
      </c>
      <c r="P1154" t="str">
        <f>VLOOKUP(B1154,PTN!A:B,2,FALSE)</f>
        <v>UNIVERSITAS SINGAPERBANGSA KARAWANG</v>
      </c>
      <c r="Q1154" t="str">
        <f t="shared" si="17"/>
        <v>UNIVERSITAS SINGAPERBANGSA KARAWANGPEND. BAHASA DAN SASTRA INDONESIA</v>
      </c>
    </row>
    <row r="1155" spans="1:17" ht="15.75" thickBot="1" x14ac:dyDescent="0.3">
      <c r="A1155" s="7">
        <v>1154</v>
      </c>
      <c r="B1155" s="6">
        <v>28</v>
      </c>
      <c r="C1155" s="12">
        <v>3312051</v>
      </c>
      <c r="D1155" t="s">
        <v>242</v>
      </c>
      <c r="E1155" s="12">
        <v>61</v>
      </c>
      <c r="F1155" s="10" t="s">
        <v>13</v>
      </c>
      <c r="I1155" s="87"/>
      <c r="J1155" s="138" t="s">
        <v>1292</v>
      </c>
      <c r="K1155" s="138" t="s">
        <v>1292</v>
      </c>
      <c r="L1155" s="138" t="s">
        <v>1292</v>
      </c>
      <c r="M1155" s="28"/>
      <c r="N1155" s="83" t="s">
        <v>1292</v>
      </c>
      <c r="P1155" t="str">
        <f>VLOOKUP(B1155,PTN!A:B,2,FALSE)</f>
        <v>UNIVERSITAS SINGAPERBANGSA KARAWANG</v>
      </c>
      <c r="Q1155" t="str">
        <f t="shared" ref="Q1155:Q1218" si="18">P1155&amp;D1155</f>
        <v>UNIVERSITAS SINGAPERBANGSA KARAWANGPEND. BAHASA INGGRIS</v>
      </c>
    </row>
    <row r="1156" spans="1:17" ht="15.75" thickBot="1" x14ac:dyDescent="0.3">
      <c r="A1156" s="7">
        <v>1155</v>
      </c>
      <c r="B1156" s="6">
        <v>28</v>
      </c>
      <c r="C1156" s="13">
        <v>3312066</v>
      </c>
      <c r="D1156" t="s">
        <v>431</v>
      </c>
      <c r="E1156" s="13">
        <v>61</v>
      </c>
      <c r="F1156" s="10" t="s">
        <v>13</v>
      </c>
      <c r="I1156" s="26"/>
      <c r="J1156" s="138" t="s">
        <v>1292</v>
      </c>
      <c r="K1156" s="138" t="s">
        <v>1292</v>
      </c>
      <c r="L1156" s="138" t="s">
        <v>1292</v>
      </c>
      <c r="M1156" s="27"/>
      <c r="N1156" s="83" t="s">
        <v>1292</v>
      </c>
      <c r="P1156" t="str">
        <f>VLOOKUP(B1156,PTN!A:B,2,FALSE)</f>
        <v>UNIVERSITAS SINGAPERBANGSA KARAWANG</v>
      </c>
      <c r="Q1156" t="str">
        <f t="shared" si="18"/>
        <v>UNIVERSITAS SINGAPERBANGSA KARAWANGPEND. JASMANI, KESEHATAN DAN REKREASI</v>
      </c>
    </row>
    <row r="1157" spans="1:17" ht="15.75" thickBot="1" x14ac:dyDescent="0.3">
      <c r="A1157" s="7">
        <v>1156</v>
      </c>
      <c r="B1157" s="6">
        <v>28</v>
      </c>
      <c r="C1157" s="14">
        <v>3312043</v>
      </c>
      <c r="D1157" t="s">
        <v>232</v>
      </c>
      <c r="E1157" s="14">
        <v>26</v>
      </c>
      <c r="F1157" s="10" t="s">
        <v>13</v>
      </c>
      <c r="I1157" s="22"/>
      <c r="J1157" s="138" t="s">
        <v>1292</v>
      </c>
      <c r="K1157" s="138" t="s">
        <v>1292</v>
      </c>
      <c r="L1157" s="138" t="s">
        <v>1292</v>
      </c>
      <c r="M1157" s="21"/>
      <c r="N1157" s="83" t="s">
        <v>1292</v>
      </c>
      <c r="P1157" t="str">
        <f>VLOOKUP(B1157,PTN!A:B,2,FALSE)</f>
        <v>UNIVERSITAS SINGAPERBANGSA KARAWANG</v>
      </c>
      <c r="Q1157" t="str">
        <f t="shared" si="18"/>
        <v>UNIVERSITAS SINGAPERBANGSA KARAWANGPEND. LUAR SEKOLAH</v>
      </c>
    </row>
    <row r="1158" spans="1:17" ht="16.5" thickTop="1" thickBot="1" x14ac:dyDescent="0.3">
      <c r="A1158" s="7">
        <v>1157</v>
      </c>
      <c r="B1158" s="6">
        <v>39</v>
      </c>
      <c r="C1158" s="12">
        <v>3542067</v>
      </c>
      <c r="D1158" t="s">
        <v>432</v>
      </c>
      <c r="E1158" s="12">
        <v>16</v>
      </c>
      <c r="F1158" s="10" t="s">
        <v>13</v>
      </c>
      <c r="I1158" s="23"/>
      <c r="J1158" s="138" t="s">
        <v>1292</v>
      </c>
      <c r="K1158" s="138" t="s">
        <v>1292</v>
      </c>
      <c r="L1158" s="138" t="s">
        <v>1292</v>
      </c>
      <c r="M1158" s="25"/>
      <c r="N1158" s="83" t="s">
        <v>1292</v>
      </c>
      <c r="P1158" t="str">
        <f>VLOOKUP(B1158,PTN!A:B,2,FALSE)</f>
        <v>ISI SURAKARTA</v>
      </c>
      <c r="Q1158" t="str">
        <f t="shared" si="18"/>
        <v>ISI SURAKARTADESAIN INTERIOR</v>
      </c>
    </row>
    <row r="1159" spans="1:17" ht="16.5" thickTop="1" thickBot="1" x14ac:dyDescent="0.3">
      <c r="A1159" s="7">
        <v>1158</v>
      </c>
      <c r="B1159" s="6">
        <v>39</v>
      </c>
      <c r="C1159" s="13">
        <v>3542075</v>
      </c>
      <c r="D1159" t="s">
        <v>12</v>
      </c>
      <c r="E1159" s="13">
        <v>16</v>
      </c>
      <c r="F1159" s="10" t="s">
        <v>13</v>
      </c>
      <c r="I1159" s="26"/>
      <c r="J1159" s="138">
        <v>595.20000000000005</v>
      </c>
      <c r="K1159" s="138">
        <v>603.33773000000008</v>
      </c>
      <c r="L1159" s="138">
        <v>587.06227000000001</v>
      </c>
      <c r="M1159" s="27"/>
      <c r="N1159" s="83">
        <v>595.20000000000005</v>
      </c>
      <c r="P1159" t="str">
        <f>VLOOKUP(B1159,PTN!A:B,2,FALSE)</f>
        <v>ISI SURAKARTA</v>
      </c>
      <c r="Q1159" t="str">
        <f t="shared" si="18"/>
        <v>ISI SURAKARTADESAIN KOMUNIKASI VISUAL</v>
      </c>
    </row>
    <row r="1160" spans="1:17" ht="15.75" thickBot="1" x14ac:dyDescent="0.3">
      <c r="A1160" s="7">
        <v>1159</v>
      </c>
      <c r="B1160" s="6">
        <v>39</v>
      </c>
      <c r="C1160" s="12">
        <v>3542021</v>
      </c>
      <c r="D1160" t="s">
        <v>433</v>
      </c>
      <c r="E1160" s="12">
        <v>17</v>
      </c>
      <c r="F1160" s="10" t="s">
        <v>13</v>
      </c>
      <c r="I1160" s="87"/>
      <c r="J1160" s="138" t="s">
        <v>1292</v>
      </c>
      <c r="K1160" s="138" t="s">
        <v>1292</v>
      </c>
      <c r="L1160" s="138" t="s">
        <v>1292</v>
      </c>
      <c r="M1160" s="28"/>
      <c r="N1160" s="83" t="s">
        <v>1292</v>
      </c>
      <c r="P1160" t="str">
        <f>VLOOKUP(B1160,PTN!A:B,2,FALSE)</f>
        <v>ISI SURAKARTA</v>
      </c>
      <c r="Q1160" t="str">
        <f t="shared" si="18"/>
        <v>ISI SURAKARTAETNOMUSIKOLOGI</v>
      </c>
    </row>
    <row r="1161" spans="1:17" ht="15.75" thickBot="1" x14ac:dyDescent="0.3">
      <c r="A1161" s="7">
        <v>1160</v>
      </c>
      <c r="B1161" s="6">
        <v>39</v>
      </c>
      <c r="C1161" s="13">
        <v>3542091</v>
      </c>
      <c r="D1161" t="s">
        <v>156</v>
      </c>
      <c r="E1161" s="13">
        <v>15</v>
      </c>
      <c r="F1161" s="10" t="s">
        <v>13</v>
      </c>
      <c r="I1161" s="26"/>
      <c r="J1161" s="138" t="s">
        <v>1292</v>
      </c>
      <c r="K1161" s="138" t="s">
        <v>1292</v>
      </c>
      <c r="L1161" s="138" t="s">
        <v>1292</v>
      </c>
      <c r="M1161" s="27"/>
      <c r="N1161" s="83" t="s">
        <v>1292</v>
      </c>
      <c r="P1161" t="str">
        <f>VLOOKUP(B1161,PTN!A:B,2,FALSE)</f>
        <v>ISI SURAKARTA</v>
      </c>
      <c r="Q1161" t="str">
        <f t="shared" si="18"/>
        <v>ISI SURAKARTAFOTOGRAFI</v>
      </c>
    </row>
    <row r="1162" spans="1:17" ht="15.75" thickBot="1" x14ac:dyDescent="0.3">
      <c r="A1162" s="7">
        <v>1161</v>
      </c>
      <c r="B1162" s="6">
        <v>39</v>
      </c>
      <c r="C1162" s="12">
        <v>3542044</v>
      </c>
      <c r="D1162" t="s">
        <v>14</v>
      </c>
      <c r="E1162" s="12">
        <v>13</v>
      </c>
      <c r="F1162" s="10" t="s">
        <v>13</v>
      </c>
      <c r="I1162" s="87"/>
      <c r="J1162" s="138" t="s">
        <v>1292</v>
      </c>
      <c r="K1162" s="138" t="s">
        <v>1292</v>
      </c>
      <c r="L1162" s="138" t="s">
        <v>1292</v>
      </c>
      <c r="M1162" s="28"/>
      <c r="N1162" s="83" t="s">
        <v>1292</v>
      </c>
      <c r="P1162" t="str">
        <f>VLOOKUP(B1162,PTN!A:B,2,FALSE)</f>
        <v>ISI SURAKARTA</v>
      </c>
      <c r="Q1162" t="str">
        <f t="shared" si="18"/>
        <v>ISI SURAKARTAKRIYA SENI</v>
      </c>
    </row>
    <row r="1163" spans="1:17" ht="15.75" thickBot="1" x14ac:dyDescent="0.3">
      <c r="A1163" s="7">
        <v>1162</v>
      </c>
      <c r="B1163" s="6">
        <v>39</v>
      </c>
      <c r="C1163" s="13">
        <v>3542102</v>
      </c>
      <c r="D1163" t="s">
        <v>15</v>
      </c>
      <c r="E1163" s="13">
        <v>22</v>
      </c>
      <c r="F1163" s="10" t="s">
        <v>13</v>
      </c>
      <c r="I1163" s="26"/>
      <c r="J1163" s="138" t="s">
        <v>1292</v>
      </c>
      <c r="K1163" s="138" t="s">
        <v>1292</v>
      </c>
      <c r="L1163" s="138" t="s">
        <v>1292</v>
      </c>
      <c r="M1163" s="27"/>
      <c r="N1163" s="83" t="s">
        <v>1292</v>
      </c>
      <c r="P1163" t="str">
        <f>VLOOKUP(B1163,PTN!A:B,2,FALSE)</f>
        <v>ISI SURAKARTA</v>
      </c>
      <c r="Q1163" t="str">
        <f t="shared" si="18"/>
        <v>ISI SURAKARTASENI KARAWITAN</v>
      </c>
    </row>
    <row r="1164" spans="1:17" ht="15.75" thickBot="1" x14ac:dyDescent="0.3">
      <c r="A1164" s="7">
        <v>1163</v>
      </c>
      <c r="B1164" s="6">
        <v>39</v>
      </c>
      <c r="C1164" s="12">
        <v>3542117</v>
      </c>
      <c r="D1164" t="s">
        <v>434</v>
      </c>
      <c r="E1164" s="12">
        <v>11</v>
      </c>
      <c r="F1164" s="10" t="s">
        <v>13</v>
      </c>
      <c r="I1164" s="87"/>
      <c r="J1164" s="138" t="s">
        <v>1292</v>
      </c>
      <c r="K1164" s="138" t="s">
        <v>1292</v>
      </c>
      <c r="L1164" s="138" t="s">
        <v>1292</v>
      </c>
      <c r="M1164" s="28"/>
      <c r="N1164" s="83" t="s">
        <v>1292</v>
      </c>
      <c r="P1164" t="str">
        <f>VLOOKUP(B1164,PTN!A:B,2,FALSE)</f>
        <v>ISI SURAKARTA</v>
      </c>
      <c r="Q1164" t="str">
        <f t="shared" si="18"/>
        <v>ISI SURAKARTASENI PEDALANGAN</v>
      </c>
    </row>
    <row r="1165" spans="1:17" ht="15.75" thickBot="1" x14ac:dyDescent="0.3">
      <c r="A1165" s="7">
        <v>1164</v>
      </c>
      <c r="B1165" s="6">
        <v>39</v>
      </c>
      <c r="C1165" s="13">
        <v>3542052</v>
      </c>
      <c r="D1165" t="s">
        <v>16</v>
      </c>
      <c r="E1165" s="13">
        <v>16</v>
      </c>
      <c r="F1165" s="10" t="s">
        <v>13</v>
      </c>
      <c r="I1165" s="26"/>
      <c r="J1165" s="138" t="s">
        <v>1292</v>
      </c>
      <c r="K1165" s="138" t="s">
        <v>1292</v>
      </c>
      <c r="L1165" s="138" t="s">
        <v>1292</v>
      </c>
      <c r="M1165" s="27"/>
      <c r="N1165" s="83" t="s">
        <v>1292</v>
      </c>
      <c r="P1165" t="str">
        <f>VLOOKUP(B1165,PTN!A:B,2,FALSE)</f>
        <v>ISI SURAKARTA</v>
      </c>
      <c r="Q1165" t="str">
        <f t="shared" si="18"/>
        <v>ISI SURAKARTASENI RUPA MURNI</v>
      </c>
    </row>
    <row r="1166" spans="1:17" ht="15.75" thickBot="1" x14ac:dyDescent="0.3">
      <c r="A1166" s="7">
        <v>1165</v>
      </c>
      <c r="B1166" s="6">
        <v>39</v>
      </c>
      <c r="C1166" s="12">
        <v>3542013</v>
      </c>
      <c r="D1166" t="s">
        <v>17</v>
      </c>
      <c r="E1166" s="12">
        <v>26</v>
      </c>
      <c r="F1166" s="10" t="s">
        <v>13</v>
      </c>
      <c r="I1166" s="87"/>
      <c r="J1166" s="138" t="s">
        <v>1292</v>
      </c>
      <c r="K1166" s="138" t="s">
        <v>1292</v>
      </c>
      <c r="L1166" s="138" t="s">
        <v>1292</v>
      </c>
      <c r="M1166" s="28"/>
      <c r="N1166" s="83" t="s">
        <v>1292</v>
      </c>
      <c r="P1166" t="str">
        <f>VLOOKUP(B1166,PTN!A:B,2,FALSE)</f>
        <v>ISI SURAKARTA</v>
      </c>
      <c r="Q1166" t="str">
        <f t="shared" si="18"/>
        <v>ISI SURAKARTASENI TARI</v>
      </c>
    </row>
    <row r="1167" spans="1:17" ht="15.75" thickBot="1" x14ac:dyDescent="0.3">
      <c r="A1167" s="7">
        <v>1166</v>
      </c>
      <c r="B1167" s="6">
        <v>39</v>
      </c>
      <c r="C1167" s="13">
        <v>3542036</v>
      </c>
      <c r="D1167" t="s">
        <v>18</v>
      </c>
      <c r="E1167" s="13">
        <v>13</v>
      </c>
      <c r="F1167" s="10" t="s">
        <v>13</v>
      </c>
      <c r="I1167" s="26"/>
      <c r="J1167" s="138" t="s">
        <v>1292</v>
      </c>
      <c r="K1167" s="138" t="s">
        <v>1292</v>
      </c>
      <c r="L1167" s="138" t="s">
        <v>1292</v>
      </c>
      <c r="M1167" s="27"/>
      <c r="N1167" s="83" t="s">
        <v>1292</v>
      </c>
      <c r="P1167" t="str">
        <f>VLOOKUP(B1167,PTN!A:B,2,FALSE)</f>
        <v>ISI SURAKARTA</v>
      </c>
      <c r="Q1167" t="str">
        <f t="shared" si="18"/>
        <v>ISI SURAKARTASENI TEATER</v>
      </c>
    </row>
    <row r="1168" spans="1:17" ht="15.75" thickBot="1" x14ac:dyDescent="0.3">
      <c r="A1168" s="7">
        <v>1167</v>
      </c>
      <c r="B1168" s="6">
        <v>39</v>
      </c>
      <c r="C1168" s="14">
        <v>3542083</v>
      </c>
      <c r="D1168" t="s">
        <v>392</v>
      </c>
      <c r="E1168" s="14">
        <v>18</v>
      </c>
      <c r="F1168" s="10" t="s">
        <v>13</v>
      </c>
      <c r="I1168" s="20"/>
      <c r="J1168" s="138">
        <v>576.66</v>
      </c>
      <c r="K1168" s="138">
        <v>584.79773</v>
      </c>
      <c r="L1168" s="138">
        <v>568.52226999999993</v>
      </c>
      <c r="M1168" s="21"/>
      <c r="N1168" s="83">
        <v>576.66</v>
      </c>
      <c r="P1168" t="str">
        <f>VLOOKUP(B1168,PTN!A:B,2,FALSE)</f>
        <v>ISI SURAKARTA</v>
      </c>
      <c r="Q1168" t="str">
        <f t="shared" si="18"/>
        <v>ISI SURAKARTATELEVISI DAN FILM</v>
      </c>
    </row>
    <row r="1169" spans="1:17" ht="16.5" thickTop="1" thickBot="1" x14ac:dyDescent="0.3">
      <c r="A1169" s="7">
        <v>1168</v>
      </c>
      <c r="B1169" s="6">
        <v>40</v>
      </c>
      <c r="C1169" s="12">
        <v>3551325</v>
      </c>
      <c r="D1169" t="s">
        <v>37</v>
      </c>
      <c r="E1169" s="12">
        <v>20</v>
      </c>
      <c r="F1169" s="10" t="s">
        <v>20</v>
      </c>
      <c r="I1169" s="22"/>
      <c r="J1169" s="138">
        <v>604.37</v>
      </c>
      <c r="K1169" s="138">
        <v>611.15499999999997</v>
      </c>
      <c r="L1169" s="138">
        <v>597.58500000000004</v>
      </c>
      <c r="M1169" s="21"/>
      <c r="N1169" s="83">
        <v>604.37</v>
      </c>
      <c r="P1169" t="str">
        <f>VLOOKUP(B1169,PTN!A:B,2,FALSE)</f>
        <v>UNIVERSITAS DIPONEGORO</v>
      </c>
      <c r="Q1169" t="str">
        <f t="shared" si="18"/>
        <v>UNIVERSITAS DIPONEGOROAGRIBISNIS</v>
      </c>
    </row>
    <row r="1170" spans="1:17" ht="16.5" thickTop="1" thickBot="1" x14ac:dyDescent="0.3">
      <c r="A1170" s="7">
        <v>1169</v>
      </c>
      <c r="B1170" s="6">
        <v>40</v>
      </c>
      <c r="C1170" s="13">
        <v>3551317</v>
      </c>
      <c r="D1170" t="s">
        <v>38</v>
      </c>
      <c r="E1170" s="13">
        <v>20</v>
      </c>
      <c r="F1170" s="10" t="s">
        <v>20</v>
      </c>
      <c r="I1170" s="23"/>
      <c r="J1170" s="138">
        <v>604.24</v>
      </c>
      <c r="K1170" s="138">
        <v>612.54499999999996</v>
      </c>
      <c r="L1170" s="138">
        <v>595.93500000000006</v>
      </c>
      <c r="M1170" s="25"/>
      <c r="N1170" s="83">
        <v>604.24</v>
      </c>
      <c r="P1170" t="str">
        <f>VLOOKUP(B1170,PTN!A:B,2,FALSE)</f>
        <v>UNIVERSITAS DIPONEGORO</v>
      </c>
      <c r="Q1170" t="str">
        <f t="shared" si="18"/>
        <v>UNIVERSITAS DIPONEGOROAGROEKOTEKNOLOGI</v>
      </c>
    </row>
    <row r="1171" spans="1:17" ht="16.5" thickTop="1" thickBot="1" x14ac:dyDescent="0.3">
      <c r="A1171" s="7">
        <v>1170</v>
      </c>
      <c r="B1171" s="6">
        <v>40</v>
      </c>
      <c r="C1171" s="12">
        <v>3551124</v>
      </c>
      <c r="D1171" t="s">
        <v>106</v>
      </c>
      <c r="E1171" s="12">
        <v>24</v>
      </c>
      <c r="F1171" s="10" t="s">
        <v>20</v>
      </c>
      <c r="I1171" s="26"/>
      <c r="J1171" s="138">
        <v>605.36</v>
      </c>
      <c r="K1171" s="138">
        <v>615.02</v>
      </c>
      <c r="L1171" s="138">
        <v>595.70000000000005</v>
      </c>
      <c r="M1171" s="27"/>
      <c r="N1171" s="83">
        <v>605.36</v>
      </c>
      <c r="P1171" t="str">
        <f>VLOOKUP(B1171,PTN!A:B,2,FALSE)</f>
        <v>UNIVERSITAS DIPONEGORO</v>
      </c>
      <c r="Q1171" t="str">
        <f t="shared" si="18"/>
        <v>UNIVERSITAS DIPONEGOROAKUAKULTUR</v>
      </c>
    </row>
    <row r="1172" spans="1:17" ht="15.75" thickBot="1" x14ac:dyDescent="0.3">
      <c r="A1172" s="7">
        <v>1171</v>
      </c>
      <c r="B1172" s="6">
        <v>40</v>
      </c>
      <c r="C1172" s="13">
        <v>3551186</v>
      </c>
      <c r="D1172" t="s">
        <v>19</v>
      </c>
      <c r="E1172" s="13">
        <v>26</v>
      </c>
      <c r="F1172" s="10" t="s">
        <v>20</v>
      </c>
      <c r="I1172" s="87"/>
      <c r="J1172" s="138">
        <v>646.76</v>
      </c>
      <c r="K1172" s="138">
        <v>654.73</v>
      </c>
      <c r="L1172" s="138">
        <v>638.79</v>
      </c>
      <c r="M1172" s="28"/>
      <c r="N1172" s="83">
        <v>646.76</v>
      </c>
      <c r="P1172" t="str">
        <f>VLOOKUP(B1172,PTN!A:B,2,FALSE)</f>
        <v>UNIVERSITAS DIPONEGORO</v>
      </c>
      <c r="Q1172" t="str">
        <f t="shared" si="18"/>
        <v>UNIVERSITAS DIPONEGOROARSITEKTUR</v>
      </c>
    </row>
    <row r="1173" spans="1:17" ht="15.75" thickBot="1" x14ac:dyDescent="0.3">
      <c r="A1173" s="7">
        <v>1172</v>
      </c>
      <c r="B1173" s="6">
        <v>40</v>
      </c>
      <c r="C1173" s="12">
        <v>3551066</v>
      </c>
      <c r="D1173" t="s">
        <v>21</v>
      </c>
      <c r="E1173" s="12">
        <v>33</v>
      </c>
      <c r="F1173" s="10" t="s">
        <v>20</v>
      </c>
      <c r="I1173" s="26"/>
      <c r="J1173" s="138">
        <v>625.66999999999996</v>
      </c>
      <c r="K1173" s="138">
        <v>633.78</v>
      </c>
      <c r="L1173" s="138">
        <v>617.55999999999995</v>
      </c>
      <c r="M1173" s="27"/>
      <c r="N1173" s="83">
        <v>625.66999999999996</v>
      </c>
      <c r="P1173" t="str">
        <f>VLOOKUP(B1173,PTN!A:B,2,FALSE)</f>
        <v>UNIVERSITAS DIPONEGORO</v>
      </c>
      <c r="Q1173" t="str">
        <f t="shared" si="18"/>
        <v>UNIVERSITAS DIPONEGOROBIOLOGI</v>
      </c>
    </row>
    <row r="1174" spans="1:17" ht="15.75" thickBot="1" x14ac:dyDescent="0.3">
      <c r="A1174" s="7">
        <v>1173</v>
      </c>
      <c r="B1174" s="6">
        <v>40</v>
      </c>
      <c r="C1174" s="13">
        <v>3551356</v>
      </c>
      <c r="D1174" t="s">
        <v>435</v>
      </c>
      <c r="E1174" s="13">
        <v>18</v>
      </c>
      <c r="F1174" s="10" t="s">
        <v>20</v>
      </c>
      <c r="I1174" s="87"/>
      <c r="J1174" s="138">
        <v>629.85</v>
      </c>
      <c r="K1174" s="138">
        <v>636.40499999999997</v>
      </c>
      <c r="L1174" s="138">
        <v>623.29500000000007</v>
      </c>
      <c r="M1174" s="28"/>
      <c r="N1174" s="83">
        <v>629.85</v>
      </c>
      <c r="P1174" t="str">
        <f>VLOOKUP(B1174,PTN!A:B,2,FALSE)</f>
        <v>UNIVERSITAS DIPONEGORO</v>
      </c>
      <c r="Q1174" t="str">
        <f t="shared" si="18"/>
        <v>UNIVERSITAS DIPONEGOROBIOTEKNOLOGI</v>
      </c>
    </row>
    <row r="1175" spans="1:17" ht="15.75" thickBot="1" x14ac:dyDescent="0.3">
      <c r="A1175" s="7">
        <v>1174</v>
      </c>
      <c r="B1175" s="6">
        <v>40</v>
      </c>
      <c r="C1175" s="12">
        <v>3551341</v>
      </c>
      <c r="D1175" t="s">
        <v>77</v>
      </c>
      <c r="E1175" s="12">
        <v>10</v>
      </c>
      <c r="F1175" s="10" t="s">
        <v>20</v>
      </c>
      <c r="I1175" s="26"/>
      <c r="J1175" s="138">
        <v>646.72</v>
      </c>
      <c r="K1175" s="138">
        <v>655.82500000000005</v>
      </c>
      <c r="L1175" s="138">
        <v>637.61500000000001</v>
      </c>
      <c r="M1175" s="27"/>
      <c r="N1175" s="83">
        <v>646.72</v>
      </c>
      <c r="P1175" t="str">
        <f>VLOOKUP(B1175,PTN!A:B,2,FALSE)</f>
        <v>UNIVERSITAS DIPONEGORO</v>
      </c>
      <c r="Q1175" t="str">
        <f t="shared" si="18"/>
        <v>UNIVERSITAS DIPONEGOROFARMASI</v>
      </c>
    </row>
    <row r="1176" spans="1:17" ht="15.75" thickBot="1" x14ac:dyDescent="0.3">
      <c r="A1176" s="7">
        <v>1175</v>
      </c>
      <c r="B1176" s="6">
        <v>40</v>
      </c>
      <c r="C1176" s="13">
        <v>3551082</v>
      </c>
      <c r="D1176" t="s">
        <v>65</v>
      </c>
      <c r="E1176" s="13">
        <v>34</v>
      </c>
      <c r="F1176" s="10" t="s">
        <v>20</v>
      </c>
      <c r="I1176" s="87"/>
      <c r="J1176" s="138">
        <v>620.26</v>
      </c>
      <c r="K1176" s="138">
        <v>626.01499999999999</v>
      </c>
      <c r="L1176" s="138">
        <v>614.505</v>
      </c>
      <c r="M1176" s="28"/>
      <c r="N1176" s="83">
        <v>620.26</v>
      </c>
      <c r="P1176" t="str">
        <f>VLOOKUP(B1176,PTN!A:B,2,FALSE)</f>
        <v>UNIVERSITAS DIPONEGORO</v>
      </c>
      <c r="Q1176" t="str">
        <f t="shared" si="18"/>
        <v>UNIVERSITAS DIPONEGOROFISIKA</v>
      </c>
    </row>
    <row r="1177" spans="1:17" ht="15.75" thickBot="1" x14ac:dyDescent="0.3">
      <c r="A1177" s="7">
        <v>1176</v>
      </c>
      <c r="B1177" s="6">
        <v>40</v>
      </c>
      <c r="C1177" s="12">
        <v>3551043</v>
      </c>
      <c r="D1177" t="s">
        <v>113</v>
      </c>
      <c r="E1177" s="12">
        <v>26</v>
      </c>
      <c r="F1177" s="10" t="s">
        <v>20</v>
      </c>
      <c r="I1177" s="26"/>
      <c r="J1177" s="138">
        <v>642.09</v>
      </c>
      <c r="K1177" s="138">
        <v>650.44000000000005</v>
      </c>
      <c r="L1177" s="138">
        <v>633.74</v>
      </c>
      <c r="M1177" s="27"/>
      <c r="N1177" s="83">
        <v>642.09</v>
      </c>
      <c r="P1177" t="str">
        <f>VLOOKUP(B1177,PTN!A:B,2,FALSE)</f>
        <v>UNIVERSITAS DIPONEGORO</v>
      </c>
      <c r="Q1177" t="str">
        <f t="shared" si="18"/>
        <v>UNIVERSITAS DIPONEGOROGIZI</v>
      </c>
    </row>
    <row r="1178" spans="1:17" ht="15.75" thickBot="1" x14ac:dyDescent="0.3">
      <c r="A1178" s="7">
        <v>1177</v>
      </c>
      <c r="B1178" s="6">
        <v>40</v>
      </c>
      <c r="C1178" s="13">
        <v>3551147</v>
      </c>
      <c r="D1178" t="s">
        <v>40</v>
      </c>
      <c r="E1178" s="13">
        <v>36</v>
      </c>
      <c r="F1178" s="10" t="s">
        <v>20</v>
      </c>
      <c r="I1178" s="87"/>
      <c r="J1178" s="138">
        <v>611.37</v>
      </c>
      <c r="K1178" s="138">
        <v>621.09500000000003</v>
      </c>
      <c r="L1178" s="138">
        <v>601.64499999999998</v>
      </c>
      <c r="M1178" s="28"/>
      <c r="N1178" s="83">
        <v>611.37</v>
      </c>
      <c r="P1178" t="str">
        <f>VLOOKUP(B1178,PTN!A:B,2,FALSE)</f>
        <v>UNIVERSITAS DIPONEGORO</v>
      </c>
      <c r="Q1178" t="str">
        <f t="shared" si="18"/>
        <v>UNIVERSITAS DIPONEGOROILMU KELAUTAN</v>
      </c>
    </row>
    <row r="1179" spans="1:17" ht="15.75" thickBot="1" x14ac:dyDescent="0.3">
      <c r="A1179" s="7">
        <v>1178</v>
      </c>
      <c r="B1179" s="6">
        <v>40</v>
      </c>
      <c r="C1179" s="12">
        <v>3551101</v>
      </c>
      <c r="D1179" t="s">
        <v>80</v>
      </c>
      <c r="E1179" s="12">
        <v>34</v>
      </c>
      <c r="F1179" s="10" t="s">
        <v>20</v>
      </c>
      <c r="I1179" s="26"/>
      <c r="J1179" s="138">
        <v>656.98</v>
      </c>
      <c r="K1179" s="138">
        <v>665.64499999999998</v>
      </c>
      <c r="L1179" s="138">
        <v>648.31500000000005</v>
      </c>
      <c r="M1179" s="27"/>
      <c r="N1179" s="83">
        <v>656.98</v>
      </c>
      <c r="P1179" t="str">
        <f>VLOOKUP(B1179,PTN!A:B,2,FALSE)</f>
        <v>UNIVERSITAS DIPONEGORO</v>
      </c>
      <c r="Q1179" t="str">
        <f t="shared" si="18"/>
        <v>UNIVERSITAS DIPONEGOROINFORMATIKA</v>
      </c>
    </row>
    <row r="1180" spans="1:17" ht="15.75" thickBot="1" x14ac:dyDescent="0.3">
      <c r="A1180" s="7">
        <v>1179</v>
      </c>
      <c r="B1180" s="6">
        <v>40</v>
      </c>
      <c r="C1180" s="13">
        <v>3551027</v>
      </c>
      <c r="D1180" t="s">
        <v>236</v>
      </c>
      <c r="E1180" s="13">
        <v>34</v>
      </c>
      <c r="F1180" s="10" t="s">
        <v>20</v>
      </c>
      <c r="I1180" s="87"/>
      <c r="J1180" s="138">
        <v>709.46</v>
      </c>
      <c r="K1180" s="138">
        <v>718.48500000000001</v>
      </c>
      <c r="L1180" s="138">
        <v>700.43500000000006</v>
      </c>
      <c r="M1180" s="28"/>
      <c r="N1180" s="83">
        <v>709.46</v>
      </c>
      <c r="P1180" t="str">
        <f>VLOOKUP(B1180,PTN!A:B,2,FALSE)</f>
        <v>UNIVERSITAS DIPONEGORO</v>
      </c>
      <c r="Q1180" t="str">
        <f t="shared" si="18"/>
        <v>UNIVERSITAS DIPONEGOROKEDOKTERAN</v>
      </c>
    </row>
    <row r="1181" spans="1:17" ht="15.75" thickBot="1" x14ac:dyDescent="0.3">
      <c r="A1181" s="7">
        <v>1180</v>
      </c>
      <c r="B1181" s="6">
        <v>40</v>
      </c>
      <c r="C1181" s="12">
        <v>3551333</v>
      </c>
      <c r="D1181" t="s">
        <v>436</v>
      </c>
      <c r="E1181" s="12">
        <v>5</v>
      </c>
      <c r="F1181" s="10" t="s">
        <v>20</v>
      </c>
      <c r="I1181" s="26"/>
      <c r="J1181" s="138">
        <v>661.94</v>
      </c>
      <c r="K1181" s="138">
        <v>675.375</v>
      </c>
      <c r="L1181" s="138">
        <v>648.50500000000011</v>
      </c>
      <c r="M1181" s="27"/>
      <c r="N1181" s="83">
        <v>661.94</v>
      </c>
      <c r="P1181" t="str">
        <f>VLOOKUP(B1181,PTN!A:B,2,FALSE)</f>
        <v>UNIVERSITAS DIPONEGORO</v>
      </c>
      <c r="Q1181" t="str">
        <f t="shared" si="18"/>
        <v>UNIVERSITAS DIPONEGOROKEDOKTERAN GIGI</v>
      </c>
    </row>
    <row r="1182" spans="1:17" ht="15.75" thickBot="1" x14ac:dyDescent="0.3">
      <c r="A1182" s="7">
        <v>1181</v>
      </c>
      <c r="B1182" s="6">
        <v>40</v>
      </c>
      <c r="C1182" s="13">
        <v>3551035</v>
      </c>
      <c r="D1182" t="s">
        <v>339</v>
      </c>
      <c r="E1182" s="13">
        <v>24</v>
      </c>
      <c r="F1182" s="10" t="s">
        <v>20</v>
      </c>
      <c r="I1182" s="87"/>
      <c r="J1182" s="138">
        <v>613.51</v>
      </c>
      <c r="K1182" s="138">
        <v>621.54</v>
      </c>
      <c r="L1182" s="138">
        <v>605.48</v>
      </c>
      <c r="M1182" s="28"/>
      <c r="N1182" s="83">
        <v>613.51</v>
      </c>
      <c r="P1182" t="str">
        <f>VLOOKUP(B1182,PTN!A:B,2,FALSE)</f>
        <v>UNIVERSITAS DIPONEGORO</v>
      </c>
      <c r="Q1182" t="str">
        <f t="shared" si="18"/>
        <v>UNIVERSITAS DIPONEGOROKEPERAWATAN</v>
      </c>
    </row>
    <row r="1183" spans="1:17" ht="15.75" thickBot="1" x14ac:dyDescent="0.3">
      <c r="A1183" s="7">
        <v>1182</v>
      </c>
      <c r="B1183" s="6">
        <v>40</v>
      </c>
      <c r="C1183" s="12">
        <v>3551012</v>
      </c>
      <c r="D1183" t="s">
        <v>107</v>
      </c>
      <c r="E1183" s="12">
        <v>60</v>
      </c>
      <c r="F1183" s="10" t="s">
        <v>20</v>
      </c>
      <c r="I1183" s="26"/>
      <c r="J1183" s="138">
        <v>637.30999999999995</v>
      </c>
      <c r="K1183" s="138">
        <v>646.38499999999999</v>
      </c>
      <c r="L1183" s="138">
        <v>628.2349999999999</v>
      </c>
      <c r="M1183" s="27"/>
      <c r="N1183" s="83">
        <v>637.30999999999995</v>
      </c>
      <c r="P1183" t="str">
        <f>VLOOKUP(B1183,PTN!A:B,2,FALSE)</f>
        <v>UNIVERSITAS DIPONEGORO</v>
      </c>
      <c r="Q1183" t="str">
        <f t="shared" si="18"/>
        <v>UNIVERSITAS DIPONEGOROKESEHATAN MASYARAKAT</v>
      </c>
    </row>
    <row r="1184" spans="1:17" ht="15.75" thickBot="1" x14ac:dyDescent="0.3">
      <c r="A1184" s="7">
        <v>1183</v>
      </c>
      <c r="B1184" s="6">
        <v>40</v>
      </c>
      <c r="C1184" s="13">
        <v>3551074</v>
      </c>
      <c r="D1184" t="s">
        <v>22</v>
      </c>
      <c r="E1184" s="13">
        <v>33</v>
      </c>
      <c r="F1184" s="10" t="s">
        <v>20</v>
      </c>
      <c r="I1184" s="87"/>
      <c r="J1184" s="138">
        <v>633.88</v>
      </c>
      <c r="K1184" s="138">
        <v>641.38</v>
      </c>
      <c r="L1184" s="138">
        <v>626.38</v>
      </c>
      <c r="M1184" s="28"/>
      <c r="N1184" s="83">
        <v>633.88</v>
      </c>
      <c r="P1184" t="str">
        <f>VLOOKUP(B1184,PTN!A:B,2,FALSE)</f>
        <v>UNIVERSITAS DIPONEGORO</v>
      </c>
      <c r="Q1184" t="str">
        <f t="shared" si="18"/>
        <v>UNIVERSITAS DIPONEGOROKIMIA</v>
      </c>
    </row>
    <row r="1185" spans="1:17" ht="15.75" thickBot="1" x14ac:dyDescent="0.3">
      <c r="A1185" s="7">
        <v>1184</v>
      </c>
      <c r="B1185" s="6">
        <v>40</v>
      </c>
      <c r="C1185" s="12">
        <v>3551116</v>
      </c>
      <c r="D1185" t="s">
        <v>213</v>
      </c>
      <c r="E1185" s="12">
        <v>16</v>
      </c>
      <c r="F1185" s="10" t="s">
        <v>20</v>
      </c>
      <c r="I1185" s="26"/>
      <c r="J1185" s="138" t="s">
        <v>1292</v>
      </c>
      <c r="K1185" s="138" t="s">
        <v>1292</v>
      </c>
      <c r="L1185" s="138" t="s">
        <v>1292</v>
      </c>
      <c r="M1185" s="27"/>
      <c r="N1185" s="83" t="s">
        <v>1292</v>
      </c>
      <c r="P1185" t="str">
        <f>VLOOKUP(B1185,PTN!A:B,2,FALSE)</f>
        <v>UNIVERSITAS DIPONEGORO</v>
      </c>
      <c r="Q1185" t="str">
        <f t="shared" si="18"/>
        <v>UNIVERSITAS DIPONEGOROMANAJEMEN SUMBERDAYA PERAIRAN</v>
      </c>
    </row>
    <row r="1186" spans="1:17" ht="15.75" thickBot="1" x14ac:dyDescent="0.3">
      <c r="A1186" s="7">
        <v>1185</v>
      </c>
      <c r="B1186" s="6">
        <v>40</v>
      </c>
      <c r="C1186" s="13">
        <v>3551051</v>
      </c>
      <c r="D1186" t="s">
        <v>66</v>
      </c>
      <c r="E1186" s="13">
        <v>28</v>
      </c>
      <c r="F1186" s="10" t="s">
        <v>20</v>
      </c>
      <c r="I1186" s="87"/>
      <c r="J1186" s="138">
        <v>639.78</v>
      </c>
      <c r="K1186" s="138">
        <v>648.97</v>
      </c>
      <c r="L1186" s="138">
        <v>630.58999999999992</v>
      </c>
      <c r="M1186" s="28"/>
      <c r="N1186" s="83">
        <v>639.78</v>
      </c>
      <c r="P1186" t="str">
        <f>VLOOKUP(B1186,PTN!A:B,2,FALSE)</f>
        <v>UNIVERSITAS DIPONEGORO</v>
      </c>
      <c r="Q1186" t="str">
        <f t="shared" si="18"/>
        <v>UNIVERSITAS DIPONEGOROMATEMATIKA</v>
      </c>
    </row>
    <row r="1187" spans="1:17" ht="15.75" thickBot="1" x14ac:dyDescent="0.3">
      <c r="A1187" s="7">
        <v>1186</v>
      </c>
      <c r="B1187" s="6">
        <v>40</v>
      </c>
      <c r="C1187" s="12">
        <v>3551155</v>
      </c>
      <c r="D1187" t="s">
        <v>437</v>
      </c>
      <c r="E1187" s="12">
        <v>24</v>
      </c>
      <c r="F1187" s="10" t="s">
        <v>20</v>
      </c>
      <c r="I1187" s="26"/>
      <c r="J1187" s="138">
        <v>616.78</v>
      </c>
      <c r="K1187" s="138">
        <v>625.36</v>
      </c>
      <c r="L1187" s="138">
        <v>608.19999999999993</v>
      </c>
      <c r="M1187" s="27"/>
      <c r="N1187" s="83">
        <v>616.78</v>
      </c>
      <c r="P1187" t="str">
        <f>VLOOKUP(B1187,PTN!A:B,2,FALSE)</f>
        <v>UNIVERSITAS DIPONEGORO</v>
      </c>
      <c r="Q1187" t="str">
        <f t="shared" si="18"/>
        <v>UNIVERSITAS DIPONEGOROOCEANOGRAFI</v>
      </c>
    </row>
    <row r="1188" spans="1:17" ht="15.75" thickBot="1" x14ac:dyDescent="0.3">
      <c r="A1188" s="7">
        <v>1187</v>
      </c>
      <c r="B1188" s="6">
        <v>40</v>
      </c>
      <c r="C1188" s="13">
        <v>3551221</v>
      </c>
      <c r="D1188" t="s">
        <v>87</v>
      </c>
      <c r="E1188" s="13">
        <v>32</v>
      </c>
      <c r="F1188" s="10" t="s">
        <v>20</v>
      </c>
      <c r="I1188" s="87"/>
      <c r="J1188" s="138">
        <v>636.73</v>
      </c>
      <c r="K1188" s="138">
        <v>644.84</v>
      </c>
      <c r="L1188" s="138">
        <v>628.62</v>
      </c>
      <c r="M1188" s="28"/>
      <c r="N1188" s="83">
        <v>636.73</v>
      </c>
      <c r="P1188" t="str">
        <f>VLOOKUP(B1188,PTN!A:B,2,FALSE)</f>
        <v>UNIVERSITAS DIPONEGORO</v>
      </c>
      <c r="Q1188" t="str">
        <f t="shared" si="18"/>
        <v>UNIVERSITAS DIPONEGOROPERENCANAAN WILAYAH DAN KOTA</v>
      </c>
    </row>
    <row r="1189" spans="1:17" ht="15.75" thickBot="1" x14ac:dyDescent="0.3">
      <c r="A1189" s="7">
        <v>1188</v>
      </c>
      <c r="B1189" s="6">
        <v>40</v>
      </c>
      <c r="C1189" s="12">
        <v>3551132</v>
      </c>
      <c r="D1189" t="s">
        <v>438</v>
      </c>
      <c r="E1189" s="12">
        <v>20</v>
      </c>
      <c r="F1189" s="10" t="s">
        <v>20</v>
      </c>
      <c r="I1189" s="26"/>
      <c r="J1189" s="138" t="s">
        <v>1292</v>
      </c>
      <c r="K1189" s="138" t="s">
        <v>1292</v>
      </c>
      <c r="L1189" s="138" t="s">
        <v>1292</v>
      </c>
      <c r="M1189" s="27"/>
      <c r="N1189" s="83" t="s">
        <v>1292</v>
      </c>
      <c r="P1189" t="str">
        <f>VLOOKUP(B1189,PTN!A:B,2,FALSE)</f>
        <v>UNIVERSITAS DIPONEGORO</v>
      </c>
      <c r="Q1189" t="str">
        <f t="shared" si="18"/>
        <v>UNIVERSITAS DIPONEGOROPERIKANAN TANGKAP</v>
      </c>
    </row>
    <row r="1190" spans="1:17" ht="15.75" thickBot="1" x14ac:dyDescent="0.3">
      <c r="A1190" s="7">
        <v>1189</v>
      </c>
      <c r="B1190" s="6">
        <v>40</v>
      </c>
      <c r="C1190" s="13">
        <v>3551291</v>
      </c>
      <c r="D1190" t="s">
        <v>88</v>
      </c>
      <c r="E1190" s="13">
        <v>50</v>
      </c>
      <c r="F1190" s="10" t="s">
        <v>20</v>
      </c>
      <c r="I1190" s="87"/>
      <c r="J1190" s="138" t="s">
        <v>1292</v>
      </c>
      <c r="K1190" s="138" t="s">
        <v>1292</v>
      </c>
      <c r="L1190" s="138" t="s">
        <v>1292</v>
      </c>
      <c r="M1190" s="28"/>
      <c r="N1190" s="83" t="s">
        <v>1292</v>
      </c>
      <c r="P1190" t="str">
        <f>VLOOKUP(B1190,PTN!A:B,2,FALSE)</f>
        <v>UNIVERSITAS DIPONEGORO</v>
      </c>
      <c r="Q1190" t="str">
        <f t="shared" si="18"/>
        <v>UNIVERSITAS DIPONEGOROPETERNAKAN</v>
      </c>
    </row>
    <row r="1191" spans="1:17" ht="15.75" thickBot="1" x14ac:dyDescent="0.3">
      <c r="A1191" s="7">
        <v>1190</v>
      </c>
      <c r="B1191" s="6">
        <v>40</v>
      </c>
      <c r="C1191" s="12">
        <v>3551097</v>
      </c>
      <c r="D1191" t="s">
        <v>90</v>
      </c>
      <c r="E1191" s="12">
        <v>34</v>
      </c>
      <c r="F1191" s="10" t="s">
        <v>20</v>
      </c>
      <c r="I1191" s="26"/>
      <c r="J1191" s="138">
        <v>646.44000000000005</v>
      </c>
      <c r="K1191" s="138">
        <v>654.00500000000011</v>
      </c>
      <c r="L1191" s="138">
        <v>638.875</v>
      </c>
      <c r="M1191" s="27"/>
      <c r="N1191" s="83">
        <v>646.44000000000005</v>
      </c>
      <c r="P1191" t="str">
        <f>VLOOKUP(B1191,PTN!A:B,2,FALSE)</f>
        <v>UNIVERSITAS DIPONEGORO</v>
      </c>
      <c r="Q1191" t="str">
        <f t="shared" si="18"/>
        <v>UNIVERSITAS DIPONEGOROSTATISTIKA</v>
      </c>
    </row>
    <row r="1192" spans="1:17" ht="15.75" thickBot="1" x14ac:dyDescent="0.3">
      <c r="A1192" s="7">
        <v>1191</v>
      </c>
      <c r="B1192" s="6">
        <v>40</v>
      </c>
      <c r="C1192" s="13">
        <v>3551213</v>
      </c>
      <c r="D1192" t="s">
        <v>48</v>
      </c>
      <c r="E1192" s="13">
        <v>30</v>
      </c>
      <c r="F1192" s="10" t="s">
        <v>20</v>
      </c>
      <c r="I1192" s="87"/>
      <c r="J1192" s="138">
        <v>648.29</v>
      </c>
      <c r="K1192" s="138">
        <v>657.29</v>
      </c>
      <c r="L1192" s="138">
        <v>639.29</v>
      </c>
      <c r="M1192" s="28"/>
      <c r="N1192" s="83">
        <v>648.29</v>
      </c>
      <c r="P1192" t="str">
        <f>VLOOKUP(B1192,PTN!A:B,2,FALSE)</f>
        <v>UNIVERSITAS DIPONEGORO</v>
      </c>
      <c r="Q1192" t="str">
        <f t="shared" si="18"/>
        <v>UNIVERSITAS DIPONEGOROTEKNIK ELEKTRO</v>
      </c>
    </row>
    <row r="1193" spans="1:17" ht="15.75" thickBot="1" x14ac:dyDescent="0.3">
      <c r="A1193" s="7">
        <v>1192</v>
      </c>
      <c r="B1193" s="6">
        <v>40</v>
      </c>
      <c r="C1193" s="12">
        <v>3551275</v>
      </c>
      <c r="D1193" t="s">
        <v>277</v>
      </c>
      <c r="E1193" s="12">
        <v>24</v>
      </c>
      <c r="F1193" s="10" t="s">
        <v>20</v>
      </c>
      <c r="I1193" s="26"/>
      <c r="J1193" s="138">
        <v>629.23</v>
      </c>
      <c r="K1193" s="138">
        <v>634.67500000000007</v>
      </c>
      <c r="L1193" s="138">
        <v>623.78499999999997</v>
      </c>
      <c r="M1193" s="27"/>
      <c r="N1193" s="83">
        <v>629.23</v>
      </c>
      <c r="P1193" t="str">
        <f>VLOOKUP(B1193,PTN!A:B,2,FALSE)</f>
        <v>UNIVERSITAS DIPONEGORO</v>
      </c>
      <c r="Q1193" t="str">
        <f t="shared" si="18"/>
        <v>UNIVERSITAS DIPONEGOROTEKNIK GEODESI</v>
      </c>
    </row>
    <row r="1194" spans="1:17" ht="15.75" thickBot="1" x14ac:dyDescent="0.3">
      <c r="A1194" s="7">
        <v>1193</v>
      </c>
      <c r="B1194" s="6">
        <v>40</v>
      </c>
      <c r="C1194" s="13">
        <v>3551267</v>
      </c>
      <c r="D1194" t="s">
        <v>92</v>
      </c>
      <c r="E1194" s="13">
        <v>18</v>
      </c>
      <c r="F1194" s="10" t="s">
        <v>20</v>
      </c>
      <c r="I1194" s="87"/>
      <c r="J1194" s="138">
        <v>624.11</v>
      </c>
      <c r="K1194" s="138">
        <v>629.83500000000004</v>
      </c>
      <c r="L1194" s="138">
        <v>618.38499999999999</v>
      </c>
      <c r="M1194" s="28"/>
      <c r="N1194" s="83">
        <v>624.11</v>
      </c>
      <c r="P1194" t="str">
        <f>VLOOKUP(B1194,PTN!A:B,2,FALSE)</f>
        <v>UNIVERSITAS DIPONEGORO</v>
      </c>
      <c r="Q1194" t="str">
        <f t="shared" si="18"/>
        <v>UNIVERSITAS DIPONEGOROTEKNIK GEOLOGI</v>
      </c>
    </row>
    <row r="1195" spans="1:17" ht="15.75" thickBot="1" x14ac:dyDescent="0.3">
      <c r="A1195" s="7">
        <v>1194</v>
      </c>
      <c r="B1195" s="6">
        <v>40</v>
      </c>
      <c r="C1195" s="12">
        <v>3551236</v>
      </c>
      <c r="D1195" t="s">
        <v>49</v>
      </c>
      <c r="E1195" s="12">
        <v>30</v>
      </c>
      <c r="F1195" s="10" t="s">
        <v>20</v>
      </c>
      <c r="I1195" s="26"/>
      <c r="J1195" s="138">
        <v>662.06</v>
      </c>
      <c r="K1195" s="138">
        <v>670.07999999999993</v>
      </c>
      <c r="L1195" s="138">
        <v>654.04</v>
      </c>
      <c r="M1195" s="27"/>
      <c r="N1195" s="83">
        <v>662.06</v>
      </c>
      <c r="P1195" t="str">
        <f>VLOOKUP(B1195,PTN!A:B,2,FALSE)</f>
        <v>UNIVERSITAS DIPONEGORO</v>
      </c>
      <c r="Q1195" t="str">
        <f t="shared" si="18"/>
        <v>UNIVERSITAS DIPONEGOROTEKNIK INDUSTRI</v>
      </c>
    </row>
    <row r="1196" spans="1:17" ht="15.75" thickBot="1" x14ac:dyDescent="0.3">
      <c r="A1196" s="7">
        <v>1195</v>
      </c>
      <c r="B1196" s="6">
        <v>40</v>
      </c>
      <c r="C1196" s="13">
        <v>3551205</v>
      </c>
      <c r="D1196" t="s">
        <v>51</v>
      </c>
      <c r="E1196" s="13">
        <v>45</v>
      </c>
      <c r="F1196" s="10" t="s">
        <v>20</v>
      </c>
      <c r="I1196" s="87"/>
      <c r="J1196" s="138">
        <v>655.57</v>
      </c>
      <c r="K1196" s="138">
        <v>662.85500000000002</v>
      </c>
      <c r="L1196" s="138">
        <v>648.28500000000008</v>
      </c>
      <c r="M1196" s="28"/>
      <c r="N1196" s="83">
        <v>655.57</v>
      </c>
      <c r="P1196" t="str">
        <f>VLOOKUP(B1196,PTN!A:B,2,FALSE)</f>
        <v>UNIVERSITAS DIPONEGORO</v>
      </c>
      <c r="Q1196" t="str">
        <f t="shared" si="18"/>
        <v>UNIVERSITAS DIPONEGOROTEKNIK KIMIA</v>
      </c>
    </row>
    <row r="1197" spans="1:17" ht="15.75" thickBot="1" x14ac:dyDescent="0.3">
      <c r="A1197" s="7">
        <v>1196</v>
      </c>
      <c r="B1197" s="6">
        <v>40</v>
      </c>
      <c r="C1197" s="12">
        <v>3551283</v>
      </c>
      <c r="D1197" t="s">
        <v>93</v>
      </c>
      <c r="E1197" s="12">
        <v>24</v>
      </c>
      <c r="F1197" s="10" t="s">
        <v>20</v>
      </c>
      <c r="I1197" s="26"/>
      <c r="J1197" s="138">
        <v>631.30999999999995</v>
      </c>
      <c r="K1197" s="138">
        <v>638.76499999999999</v>
      </c>
      <c r="L1197" s="138">
        <v>623.8549999999999</v>
      </c>
      <c r="M1197" s="27"/>
      <c r="N1197" s="83">
        <v>631.30999999999995</v>
      </c>
      <c r="P1197" t="str">
        <f>VLOOKUP(B1197,PTN!A:B,2,FALSE)</f>
        <v>UNIVERSITAS DIPONEGORO</v>
      </c>
      <c r="Q1197" t="str">
        <f t="shared" si="18"/>
        <v>UNIVERSITAS DIPONEGOROTEKNIK KOMPUTER</v>
      </c>
    </row>
    <row r="1198" spans="1:17" ht="15.75" thickBot="1" x14ac:dyDescent="0.3">
      <c r="A1198" s="7">
        <v>1197</v>
      </c>
      <c r="B1198" s="6">
        <v>40</v>
      </c>
      <c r="C1198" s="13">
        <v>3551244</v>
      </c>
      <c r="D1198" t="s">
        <v>25</v>
      </c>
      <c r="E1198" s="13">
        <v>24</v>
      </c>
      <c r="F1198" s="10" t="s">
        <v>20</v>
      </c>
      <c r="I1198" s="87"/>
      <c r="J1198" s="138">
        <v>644.12</v>
      </c>
      <c r="K1198" s="138">
        <v>651.875</v>
      </c>
      <c r="L1198" s="138">
        <v>636.36500000000001</v>
      </c>
      <c r="M1198" s="28"/>
      <c r="N1198" s="83">
        <v>644.12</v>
      </c>
      <c r="P1198" t="str">
        <f>VLOOKUP(B1198,PTN!A:B,2,FALSE)</f>
        <v>UNIVERSITAS DIPONEGORO</v>
      </c>
      <c r="Q1198" t="str">
        <f t="shared" si="18"/>
        <v>UNIVERSITAS DIPONEGOROTEKNIK LINGKUNGAN</v>
      </c>
    </row>
    <row r="1199" spans="1:17" ht="15.75" thickBot="1" x14ac:dyDescent="0.3">
      <c r="A1199" s="7">
        <v>1198</v>
      </c>
      <c r="B1199" s="6">
        <v>40</v>
      </c>
      <c r="C1199" s="12">
        <v>3551194</v>
      </c>
      <c r="D1199" t="s">
        <v>53</v>
      </c>
      <c r="E1199" s="12">
        <v>36</v>
      </c>
      <c r="F1199" s="10" t="s">
        <v>20</v>
      </c>
      <c r="I1199" s="26"/>
      <c r="J1199" s="138">
        <v>641.71</v>
      </c>
      <c r="K1199" s="138">
        <v>650.05000000000007</v>
      </c>
      <c r="L1199" s="138">
        <v>633.37</v>
      </c>
      <c r="M1199" s="27"/>
      <c r="N1199" s="83">
        <v>641.71</v>
      </c>
      <c r="P1199" t="str">
        <f>VLOOKUP(B1199,PTN!A:B,2,FALSE)</f>
        <v>UNIVERSITAS DIPONEGORO</v>
      </c>
      <c r="Q1199" t="str">
        <f t="shared" si="18"/>
        <v>UNIVERSITAS DIPONEGOROTEKNIK MESIN</v>
      </c>
    </row>
    <row r="1200" spans="1:17" ht="15.75" thickBot="1" x14ac:dyDescent="0.3">
      <c r="A1200" s="7">
        <v>1199</v>
      </c>
      <c r="B1200" s="6">
        <v>40</v>
      </c>
      <c r="C1200" s="13">
        <v>3551252</v>
      </c>
      <c r="D1200" t="s">
        <v>295</v>
      </c>
      <c r="E1200" s="13">
        <v>26</v>
      </c>
      <c r="F1200" s="10" t="s">
        <v>20</v>
      </c>
      <c r="I1200" s="87"/>
      <c r="J1200" s="138">
        <v>621.59</v>
      </c>
      <c r="K1200" s="138">
        <v>627.52499999999998</v>
      </c>
      <c r="L1200" s="138">
        <v>615.65500000000009</v>
      </c>
      <c r="M1200" s="28"/>
      <c r="N1200" s="83">
        <v>621.59</v>
      </c>
      <c r="P1200" t="str">
        <f>VLOOKUP(B1200,PTN!A:B,2,FALSE)</f>
        <v>UNIVERSITAS DIPONEGORO</v>
      </c>
      <c r="Q1200" t="str">
        <f t="shared" si="18"/>
        <v>UNIVERSITAS DIPONEGOROTEKNIK PERKAPALAN</v>
      </c>
    </row>
    <row r="1201" spans="1:17" ht="15.75" thickBot="1" x14ac:dyDescent="0.3">
      <c r="A1201" s="7">
        <v>1200</v>
      </c>
      <c r="B1201" s="6">
        <v>40</v>
      </c>
      <c r="C1201" s="12">
        <v>3551171</v>
      </c>
      <c r="D1201" t="s">
        <v>54</v>
      </c>
      <c r="E1201" s="12">
        <v>32</v>
      </c>
      <c r="F1201" s="10" t="s">
        <v>20</v>
      </c>
      <c r="I1201" s="26"/>
      <c r="J1201" s="138">
        <v>656.18</v>
      </c>
      <c r="K1201" s="138">
        <v>663.78</v>
      </c>
      <c r="L1201" s="138">
        <v>648.57999999999993</v>
      </c>
      <c r="M1201" s="27"/>
      <c r="N1201" s="83">
        <v>656.18</v>
      </c>
      <c r="P1201" t="str">
        <f>VLOOKUP(B1201,PTN!A:B,2,FALSE)</f>
        <v>UNIVERSITAS DIPONEGORO</v>
      </c>
      <c r="Q1201" t="str">
        <f t="shared" si="18"/>
        <v>UNIVERSITAS DIPONEGOROTEKNIK SIPIL</v>
      </c>
    </row>
    <row r="1202" spans="1:17" ht="15.75" thickBot="1" x14ac:dyDescent="0.3">
      <c r="A1202" s="7">
        <v>1201</v>
      </c>
      <c r="B1202" s="6">
        <v>40</v>
      </c>
      <c r="C1202" s="13">
        <v>3551163</v>
      </c>
      <c r="D1202" t="s">
        <v>222</v>
      </c>
      <c r="E1202" s="13">
        <v>20</v>
      </c>
      <c r="F1202" s="10" t="s">
        <v>20</v>
      </c>
      <c r="I1202" s="87"/>
      <c r="J1202" s="138" t="s">
        <v>1292</v>
      </c>
      <c r="K1202" s="138" t="s">
        <v>1292</v>
      </c>
      <c r="L1202" s="138" t="s">
        <v>1292</v>
      </c>
      <c r="M1202" s="28"/>
      <c r="N1202" s="83" t="s">
        <v>1292</v>
      </c>
      <c r="P1202" t="str">
        <f>VLOOKUP(B1202,PTN!A:B,2,FALSE)</f>
        <v>UNIVERSITAS DIPONEGORO</v>
      </c>
      <c r="Q1202" t="str">
        <f t="shared" si="18"/>
        <v>UNIVERSITAS DIPONEGOROTEKNOLOGI HASIL PERIKANAN</v>
      </c>
    </row>
    <row r="1203" spans="1:17" ht="15.75" thickBot="1" x14ac:dyDescent="0.3">
      <c r="A1203" s="7">
        <v>1202</v>
      </c>
      <c r="B1203" s="6">
        <v>40</v>
      </c>
      <c r="C1203" s="14">
        <v>3551302</v>
      </c>
      <c r="D1203" t="s">
        <v>271</v>
      </c>
      <c r="E1203" s="14">
        <v>20</v>
      </c>
      <c r="F1203" s="10" t="s">
        <v>20</v>
      </c>
      <c r="I1203" s="26"/>
      <c r="J1203" s="138">
        <v>640.88</v>
      </c>
      <c r="K1203" s="138">
        <v>648.35500000000002</v>
      </c>
      <c r="L1203" s="138">
        <v>633.40499999999997</v>
      </c>
      <c r="M1203" s="27"/>
      <c r="N1203" s="83">
        <v>640.88</v>
      </c>
      <c r="P1203" t="str">
        <f>VLOOKUP(B1203,PTN!A:B,2,FALSE)</f>
        <v>UNIVERSITAS DIPONEGORO</v>
      </c>
      <c r="Q1203" t="str">
        <f t="shared" si="18"/>
        <v>UNIVERSITAS DIPONEGOROTEKNOLOGI PANGAN</v>
      </c>
    </row>
    <row r="1204" spans="1:17" ht="16.5" thickTop="1" thickBot="1" x14ac:dyDescent="0.3">
      <c r="A1204" s="7">
        <v>1203</v>
      </c>
      <c r="B1204" s="6">
        <v>40</v>
      </c>
      <c r="C1204" s="12">
        <v>3552104</v>
      </c>
      <c r="D1204" t="s">
        <v>439</v>
      </c>
      <c r="E1204" s="12">
        <v>35</v>
      </c>
      <c r="F1204" s="10" t="s">
        <v>13</v>
      </c>
      <c r="I1204" s="20"/>
      <c r="J1204" s="138">
        <v>632.16</v>
      </c>
      <c r="K1204" s="138">
        <v>640.29773</v>
      </c>
      <c r="L1204" s="138">
        <v>624.02226999999993</v>
      </c>
      <c r="M1204" s="21"/>
      <c r="N1204" s="83">
        <v>632.16</v>
      </c>
      <c r="P1204" t="str">
        <f>VLOOKUP(B1204,PTN!A:B,2,FALSE)</f>
        <v>UNIVERSITAS DIPONEGORO</v>
      </c>
      <c r="Q1204" t="str">
        <f t="shared" si="18"/>
        <v>UNIVERSITAS DIPONEGOROADMINISTRASI BISNIS</v>
      </c>
    </row>
    <row r="1205" spans="1:17" ht="15.75" thickBot="1" x14ac:dyDescent="0.3">
      <c r="A1205" s="7">
        <v>1204</v>
      </c>
      <c r="B1205" s="6">
        <v>40</v>
      </c>
      <c r="C1205" s="13">
        <v>3552093</v>
      </c>
      <c r="D1205" t="s">
        <v>385</v>
      </c>
      <c r="E1205" s="13">
        <v>35</v>
      </c>
      <c r="F1205" s="10" t="s">
        <v>13</v>
      </c>
      <c r="I1205" s="22"/>
      <c r="J1205" s="138">
        <v>624.11</v>
      </c>
      <c r="K1205" s="138">
        <v>632.24773000000005</v>
      </c>
      <c r="L1205" s="138">
        <v>615.97226999999998</v>
      </c>
      <c r="M1205" s="21"/>
      <c r="N1205" s="83">
        <v>624.11</v>
      </c>
      <c r="P1205" t="str">
        <f>VLOOKUP(B1205,PTN!A:B,2,FALSE)</f>
        <v>UNIVERSITAS DIPONEGORO</v>
      </c>
      <c r="Q1205" t="str">
        <f t="shared" si="18"/>
        <v>UNIVERSITAS DIPONEGOROADMINISTRASI PUBLIK</v>
      </c>
    </row>
    <row r="1206" spans="1:17" ht="16.5" thickTop="1" thickBot="1" x14ac:dyDescent="0.3">
      <c r="A1206" s="7">
        <v>1205</v>
      </c>
      <c r="B1206" s="6">
        <v>40</v>
      </c>
      <c r="C1206" s="12">
        <v>3552085</v>
      </c>
      <c r="D1206" t="s">
        <v>55</v>
      </c>
      <c r="E1206" s="12">
        <v>55</v>
      </c>
      <c r="F1206" s="10" t="s">
        <v>13</v>
      </c>
      <c r="I1206" s="23"/>
      <c r="J1206" s="138">
        <v>651.99</v>
      </c>
      <c r="K1206" s="138">
        <v>660.12773000000004</v>
      </c>
      <c r="L1206" s="138">
        <v>643.85226999999998</v>
      </c>
      <c r="M1206" s="25"/>
      <c r="N1206" s="83">
        <v>651.99</v>
      </c>
      <c r="P1206" t="str">
        <f>VLOOKUP(B1206,PTN!A:B,2,FALSE)</f>
        <v>UNIVERSITAS DIPONEGORO</v>
      </c>
      <c r="Q1206" t="str">
        <f t="shared" si="18"/>
        <v>UNIVERSITAS DIPONEGOROAKUNTANSI</v>
      </c>
    </row>
    <row r="1207" spans="1:17" ht="16.5" thickTop="1" thickBot="1" x14ac:dyDescent="0.3">
      <c r="A1207" s="7">
        <v>1206</v>
      </c>
      <c r="B1207" s="6">
        <v>40</v>
      </c>
      <c r="C1207" s="13">
        <v>3552166</v>
      </c>
      <c r="D1207" t="s">
        <v>144</v>
      </c>
      <c r="E1207" s="13">
        <v>24</v>
      </c>
      <c r="F1207" s="10" t="s">
        <v>13</v>
      </c>
      <c r="I1207" s="26"/>
      <c r="J1207" s="138">
        <v>603.25</v>
      </c>
      <c r="K1207" s="138">
        <v>611.38773000000003</v>
      </c>
      <c r="L1207" s="138">
        <v>595.11226999999997</v>
      </c>
      <c r="M1207" s="27"/>
      <c r="N1207" s="83">
        <v>603.25</v>
      </c>
      <c r="P1207" t="str">
        <f>VLOOKUP(B1207,PTN!A:B,2,FALSE)</f>
        <v>UNIVERSITAS DIPONEGORO</v>
      </c>
      <c r="Q1207" t="str">
        <f t="shared" si="18"/>
        <v>UNIVERSITAS DIPONEGOROANTROPOLOGI SOSIAL</v>
      </c>
    </row>
    <row r="1208" spans="1:17" ht="15.75" thickBot="1" x14ac:dyDescent="0.3">
      <c r="A1208" s="7">
        <v>1207</v>
      </c>
      <c r="B1208" s="6">
        <v>40</v>
      </c>
      <c r="C1208" s="12">
        <v>3552143</v>
      </c>
      <c r="D1208" t="s">
        <v>440</v>
      </c>
      <c r="E1208" s="12">
        <v>16</v>
      </c>
      <c r="F1208" s="10" t="s">
        <v>13</v>
      </c>
      <c r="I1208" s="87"/>
      <c r="J1208" s="138">
        <v>596.95000000000005</v>
      </c>
      <c r="K1208" s="138">
        <v>605.08773000000008</v>
      </c>
      <c r="L1208" s="138">
        <v>588.81227000000001</v>
      </c>
      <c r="M1208" s="28"/>
      <c r="N1208" s="83">
        <v>596.95000000000005</v>
      </c>
      <c r="P1208" t="str">
        <f>VLOOKUP(B1208,PTN!A:B,2,FALSE)</f>
        <v>UNIVERSITAS DIPONEGORO</v>
      </c>
      <c r="Q1208" t="str">
        <f t="shared" si="18"/>
        <v>UNIVERSITAS DIPONEGOROBAHASA DAN KEBUDAYAAN JEPANG</v>
      </c>
    </row>
    <row r="1209" spans="1:17" ht="15.75" thickBot="1" x14ac:dyDescent="0.3">
      <c r="A1209" s="7">
        <v>1208</v>
      </c>
      <c r="B1209" s="6">
        <v>40</v>
      </c>
      <c r="C1209" s="13">
        <v>3552077</v>
      </c>
      <c r="D1209" t="s">
        <v>69</v>
      </c>
      <c r="E1209" s="13">
        <v>35</v>
      </c>
      <c r="F1209" s="10" t="s">
        <v>13</v>
      </c>
      <c r="I1209" s="26"/>
      <c r="J1209" s="138">
        <v>637.41</v>
      </c>
      <c r="K1209" s="138">
        <v>645.54773</v>
      </c>
      <c r="L1209" s="138">
        <v>629.27226999999993</v>
      </c>
      <c r="M1209" s="27"/>
      <c r="N1209" s="83">
        <v>637.41</v>
      </c>
      <c r="P1209" t="str">
        <f>VLOOKUP(B1209,PTN!A:B,2,FALSE)</f>
        <v>UNIVERSITAS DIPONEGORO</v>
      </c>
      <c r="Q1209" t="str">
        <f t="shared" si="18"/>
        <v>UNIVERSITAS DIPONEGOROEKONOMI PEMBANGUNAN</v>
      </c>
    </row>
    <row r="1210" spans="1:17" ht="15.75" thickBot="1" x14ac:dyDescent="0.3">
      <c r="A1210" s="7">
        <v>1209</v>
      </c>
      <c r="B1210" s="6">
        <v>40</v>
      </c>
      <c r="C1210" s="12">
        <v>3552174</v>
      </c>
      <c r="D1210" t="s">
        <v>28</v>
      </c>
      <c r="E1210" s="12">
        <v>20</v>
      </c>
      <c r="F1210" s="10" t="s">
        <v>13</v>
      </c>
      <c r="I1210" s="87"/>
      <c r="J1210" s="138">
        <v>615.4</v>
      </c>
      <c r="K1210" s="138">
        <v>623.53773000000001</v>
      </c>
      <c r="L1210" s="138">
        <v>607.26226999999994</v>
      </c>
      <c r="M1210" s="28"/>
      <c r="N1210" s="83">
        <v>615.4</v>
      </c>
      <c r="P1210" t="str">
        <f>VLOOKUP(B1210,PTN!A:B,2,FALSE)</f>
        <v>UNIVERSITAS DIPONEGORO</v>
      </c>
      <c r="Q1210" t="str">
        <f t="shared" si="18"/>
        <v>UNIVERSITAS DIPONEGOROEKONOMI SYARIAH</v>
      </c>
    </row>
    <row r="1211" spans="1:17" ht="15.75" thickBot="1" x14ac:dyDescent="0.3">
      <c r="A1211" s="7">
        <v>1210</v>
      </c>
      <c r="B1211" s="6">
        <v>40</v>
      </c>
      <c r="C1211" s="13">
        <v>3552151</v>
      </c>
      <c r="D1211" t="s">
        <v>223</v>
      </c>
      <c r="E1211" s="13">
        <v>20</v>
      </c>
      <c r="F1211" s="10" t="s">
        <v>13</v>
      </c>
      <c r="I1211" s="26"/>
      <c r="J1211" s="138">
        <v>649.76</v>
      </c>
      <c r="K1211" s="138">
        <v>657.89773000000002</v>
      </c>
      <c r="L1211" s="138">
        <v>641.62226999999996</v>
      </c>
      <c r="M1211" s="27"/>
      <c r="N1211" s="83">
        <v>649.76</v>
      </c>
      <c r="P1211" t="str">
        <f>VLOOKUP(B1211,PTN!A:B,2,FALSE)</f>
        <v>UNIVERSITAS DIPONEGORO</v>
      </c>
      <c r="Q1211" t="str">
        <f t="shared" si="18"/>
        <v>UNIVERSITAS DIPONEGOROHUBUNGAN INTERNASIONAL</v>
      </c>
    </row>
    <row r="1212" spans="1:17" ht="15.75" thickBot="1" x14ac:dyDescent="0.3">
      <c r="A1212" s="7">
        <v>1211</v>
      </c>
      <c r="B1212" s="6">
        <v>40</v>
      </c>
      <c r="C1212" s="12">
        <v>3552054</v>
      </c>
      <c r="D1212" t="s">
        <v>112</v>
      </c>
      <c r="E1212" s="12">
        <v>170</v>
      </c>
      <c r="F1212" s="10" t="s">
        <v>13</v>
      </c>
      <c r="I1212" s="87"/>
      <c r="J1212" s="138">
        <v>632.84</v>
      </c>
      <c r="K1212" s="138">
        <v>640.97773000000007</v>
      </c>
      <c r="L1212" s="138">
        <v>624.70227</v>
      </c>
      <c r="M1212" s="28"/>
      <c r="N1212" s="83">
        <v>632.84</v>
      </c>
      <c r="P1212" t="str">
        <f>VLOOKUP(B1212,PTN!A:B,2,FALSE)</f>
        <v>UNIVERSITAS DIPONEGORO</v>
      </c>
      <c r="Q1212" t="str">
        <f t="shared" si="18"/>
        <v>UNIVERSITAS DIPONEGOROHUKUM</v>
      </c>
    </row>
    <row r="1213" spans="1:17" ht="15.75" thickBot="1" x14ac:dyDescent="0.3">
      <c r="A1213" s="7">
        <v>1212</v>
      </c>
      <c r="B1213" s="6">
        <v>40</v>
      </c>
      <c r="C1213" s="13">
        <v>3552127</v>
      </c>
      <c r="D1213" t="s">
        <v>60</v>
      </c>
      <c r="E1213" s="13">
        <v>25</v>
      </c>
      <c r="F1213" s="10" t="s">
        <v>13</v>
      </c>
      <c r="I1213" s="26"/>
      <c r="J1213" s="138">
        <v>630.85</v>
      </c>
      <c r="K1213" s="138">
        <v>638.98773000000006</v>
      </c>
      <c r="L1213" s="138">
        <v>622.71226999999999</v>
      </c>
      <c r="M1213" s="27"/>
      <c r="N1213" s="83">
        <v>630.85</v>
      </c>
      <c r="P1213" t="str">
        <f>VLOOKUP(B1213,PTN!A:B,2,FALSE)</f>
        <v>UNIVERSITAS DIPONEGORO</v>
      </c>
      <c r="Q1213" t="str">
        <f t="shared" si="18"/>
        <v>UNIVERSITAS DIPONEGOROILMU KOMUNIKASI</v>
      </c>
    </row>
    <row r="1214" spans="1:17" ht="15.75" thickBot="1" x14ac:dyDescent="0.3">
      <c r="A1214" s="7">
        <v>1213</v>
      </c>
      <c r="B1214" s="6">
        <v>40</v>
      </c>
      <c r="C1214" s="12">
        <v>3552112</v>
      </c>
      <c r="D1214" t="s">
        <v>97</v>
      </c>
      <c r="E1214" s="12">
        <v>24</v>
      </c>
      <c r="F1214" s="10" t="s">
        <v>13</v>
      </c>
      <c r="I1214" s="87"/>
      <c r="J1214" s="138">
        <v>612.57000000000005</v>
      </c>
      <c r="K1214" s="138">
        <v>620.70773000000008</v>
      </c>
      <c r="L1214" s="138">
        <v>604.43227000000002</v>
      </c>
      <c r="M1214" s="28"/>
      <c r="N1214" s="83">
        <v>612.57000000000005</v>
      </c>
      <c r="P1214" t="str">
        <f>VLOOKUP(B1214,PTN!A:B,2,FALSE)</f>
        <v>UNIVERSITAS DIPONEGORO</v>
      </c>
      <c r="Q1214" t="str">
        <f t="shared" si="18"/>
        <v>UNIVERSITAS DIPONEGOROILMU PEMERINTAHAN</v>
      </c>
    </row>
    <row r="1215" spans="1:17" ht="15.75" thickBot="1" x14ac:dyDescent="0.3">
      <c r="A1215" s="7">
        <v>1214</v>
      </c>
      <c r="B1215" s="6">
        <v>40</v>
      </c>
      <c r="C1215" s="13">
        <v>3552046</v>
      </c>
      <c r="D1215" t="s">
        <v>32</v>
      </c>
      <c r="E1215" s="13">
        <v>18</v>
      </c>
      <c r="F1215" s="10" t="s">
        <v>13</v>
      </c>
      <c r="I1215" s="26"/>
      <c r="J1215" s="138">
        <v>599.34</v>
      </c>
      <c r="K1215" s="138">
        <v>607.47773000000007</v>
      </c>
      <c r="L1215" s="138">
        <v>591.20227</v>
      </c>
      <c r="M1215" s="27"/>
      <c r="N1215" s="83">
        <v>599.34</v>
      </c>
      <c r="P1215" t="str">
        <f>VLOOKUP(B1215,PTN!A:B,2,FALSE)</f>
        <v>UNIVERSITAS DIPONEGORO</v>
      </c>
      <c r="Q1215" t="str">
        <f t="shared" si="18"/>
        <v>UNIVERSITAS DIPONEGOROILMU PERPUSTAKAAN</v>
      </c>
    </row>
    <row r="1216" spans="1:17" ht="15.75" thickBot="1" x14ac:dyDescent="0.3">
      <c r="A1216" s="7">
        <v>1215</v>
      </c>
      <c r="B1216" s="6">
        <v>40</v>
      </c>
      <c r="C1216" s="12">
        <v>3552062</v>
      </c>
      <c r="D1216" t="s">
        <v>61</v>
      </c>
      <c r="E1216" s="12">
        <v>55</v>
      </c>
      <c r="F1216" s="10" t="s">
        <v>13</v>
      </c>
      <c r="I1216" s="87"/>
      <c r="J1216" s="138">
        <v>641.26</v>
      </c>
      <c r="K1216" s="138">
        <v>649.39773000000002</v>
      </c>
      <c r="L1216" s="138">
        <v>633.12226999999996</v>
      </c>
      <c r="M1216" s="28"/>
      <c r="N1216" s="83">
        <v>641.26</v>
      </c>
      <c r="P1216" t="str">
        <f>VLOOKUP(B1216,PTN!A:B,2,FALSE)</f>
        <v>UNIVERSITAS DIPONEGORO</v>
      </c>
      <c r="Q1216" t="str">
        <f t="shared" si="18"/>
        <v>UNIVERSITAS DIPONEGOROMANAJEMEN</v>
      </c>
    </row>
    <row r="1217" spans="1:17" ht="15.75" thickBot="1" x14ac:dyDescent="0.3">
      <c r="A1217" s="7">
        <v>1216</v>
      </c>
      <c r="B1217" s="6">
        <v>40</v>
      </c>
      <c r="C1217" s="13">
        <v>3552135</v>
      </c>
      <c r="D1217" t="s">
        <v>36</v>
      </c>
      <c r="E1217" s="13">
        <v>50</v>
      </c>
      <c r="F1217" s="10" t="s">
        <v>13</v>
      </c>
      <c r="I1217" s="26"/>
      <c r="J1217" s="138">
        <v>641.29</v>
      </c>
      <c r="K1217" s="138">
        <v>649.42773</v>
      </c>
      <c r="L1217" s="138">
        <v>633.15226999999993</v>
      </c>
      <c r="M1217" s="27"/>
      <c r="N1217" s="83">
        <v>641.29</v>
      </c>
      <c r="P1217" t="str">
        <f>VLOOKUP(B1217,PTN!A:B,2,FALSE)</f>
        <v>UNIVERSITAS DIPONEGORO</v>
      </c>
      <c r="Q1217" t="str">
        <f t="shared" si="18"/>
        <v>UNIVERSITAS DIPONEGOROPSIKOLOGI</v>
      </c>
    </row>
    <row r="1218" spans="1:17" ht="15.75" thickBot="1" x14ac:dyDescent="0.3">
      <c r="A1218" s="7">
        <v>1217</v>
      </c>
      <c r="B1218" s="6">
        <v>40</v>
      </c>
      <c r="C1218" s="12">
        <v>3552015</v>
      </c>
      <c r="D1218" t="s">
        <v>62</v>
      </c>
      <c r="E1218" s="12">
        <v>24</v>
      </c>
      <c r="F1218" s="10" t="s">
        <v>13</v>
      </c>
      <c r="I1218" s="87"/>
      <c r="J1218" s="138">
        <v>588.19000000000005</v>
      </c>
      <c r="K1218" s="138">
        <v>596.32773000000009</v>
      </c>
      <c r="L1218" s="138">
        <v>580.05227000000002</v>
      </c>
      <c r="M1218" s="28"/>
      <c r="N1218" s="83">
        <v>588.19000000000005</v>
      </c>
      <c r="P1218" t="str">
        <f>VLOOKUP(B1218,PTN!A:B,2,FALSE)</f>
        <v>UNIVERSITAS DIPONEGORO</v>
      </c>
      <c r="Q1218" t="str">
        <f t="shared" si="18"/>
        <v>UNIVERSITAS DIPONEGOROSASTRA INDONESIA</v>
      </c>
    </row>
    <row r="1219" spans="1:17" ht="15.75" thickBot="1" x14ac:dyDescent="0.3">
      <c r="A1219" s="7">
        <v>1218</v>
      </c>
      <c r="B1219" s="6">
        <v>40</v>
      </c>
      <c r="C1219" s="13">
        <v>3552023</v>
      </c>
      <c r="D1219" t="s">
        <v>139</v>
      </c>
      <c r="E1219" s="13">
        <v>28</v>
      </c>
      <c r="F1219" s="10" t="s">
        <v>13</v>
      </c>
      <c r="I1219" s="26"/>
      <c r="J1219" s="138">
        <v>614.08000000000004</v>
      </c>
      <c r="K1219" s="138">
        <v>622.21773000000007</v>
      </c>
      <c r="L1219" s="138">
        <v>605.94227000000001</v>
      </c>
      <c r="M1219" s="27"/>
      <c r="N1219" s="83">
        <v>614.08000000000004</v>
      </c>
      <c r="P1219" t="str">
        <f>VLOOKUP(B1219,PTN!A:B,2,FALSE)</f>
        <v>UNIVERSITAS DIPONEGORO</v>
      </c>
      <c r="Q1219" t="str">
        <f t="shared" ref="Q1219:Q1282" si="19">P1219&amp;D1219</f>
        <v>UNIVERSITAS DIPONEGOROSASTRA INGGRIS</v>
      </c>
    </row>
    <row r="1220" spans="1:17" ht="15.75" thickBot="1" x14ac:dyDescent="0.3">
      <c r="A1220" s="7">
        <v>1219</v>
      </c>
      <c r="B1220" s="6">
        <v>40</v>
      </c>
      <c r="C1220" s="14">
        <v>3552031</v>
      </c>
      <c r="D1220" t="s">
        <v>441</v>
      </c>
      <c r="E1220" s="14">
        <v>16</v>
      </c>
      <c r="F1220" s="10" t="s">
        <v>13</v>
      </c>
      <c r="I1220" s="42"/>
      <c r="J1220" s="138">
        <v>602.08000000000004</v>
      </c>
      <c r="K1220" s="138">
        <v>610.21773000000007</v>
      </c>
      <c r="L1220" s="138">
        <v>593.94227000000001</v>
      </c>
      <c r="N1220" s="83">
        <v>602.08000000000004</v>
      </c>
      <c r="P1220" t="str">
        <f>VLOOKUP(B1220,PTN!A:B,2,FALSE)</f>
        <v>UNIVERSITAS DIPONEGORO</v>
      </c>
      <c r="Q1220" t="str">
        <f t="shared" si="19"/>
        <v>UNIVERSITAS DIPONEGOROSEJARAH</v>
      </c>
    </row>
    <row r="1221" spans="1:17" ht="16.5" thickTop="1" thickBot="1" x14ac:dyDescent="0.3">
      <c r="A1221" s="7">
        <v>1220</v>
      </c>
      <c r="B1221" s="6">
        <v>42</v>
      </c>
      <c r="C1221" s="17">
        <v>3571094</v>
      </c>
      <c r="D1221" t="s">
        <v>21</v>
      </c>
      <c r="E1221" s="17">
        <v>30</v>
      </c>
      <c r="F1221" s="10" t="s">
        <v>20</v>
      </c>
      <c r="I1221" s="43"/>
      <c r="J1221" s="138" t="s">
        <v>1292</v>
      </c>
      <c r="K1221" s="138" t="s">
        <v>1292</v>
      </c>
      <c r="L1221" s="138" t="s">
        <v>1292</v>
      </c>
      <c r="N1221" s="83" t="s">
        <v>1292</v>
      </c>
      <c r="P1221" t="str">
        <f>VLOOKUP(B1221,PTN!A:B,2,FALSE)</f>
        <v>UIN WALISONGO SEMARANG</v>
      </c>
      <c r="Q1221" t="str">
        <f t="shared" si="19"/>
        <v>UIN WALISONGO SEMARANGBIOLOGI</v>
      </c>
    </row>
    <row r="1222" spans="1:17" ht="16.5" thickTop="1" thickBot="1" x14ac:dyDescent="0.3">
      <c r="A1222" s="7">
        <v>1221</v>
      </c>
      <c r="B1222" s="6">
        <v>42</v>
      </c>
      <c r="C1222" s="18">
        <v>3571086</v>
      </c>
      <c r="D1222" t="s">
        <v>65</v>
      </c>
      <c r="E1222" s="18">
        <v>15</v>
      </c>
      <c r="F1222" s="10" t="s">
        <v>20</v>
      </c>
      <c r="I1222" s="44"/>
      <c r="J1222" s="138" t="s">
        <v>1292</v>
      </c>
      <c r="K1222" s="138" t="s">
        <v>1292</v>
      </c>
      <c r="L1222" s="138" t="s">
        <v>1292</v>
      </c>
      <c r="M1222" s="46"/>
      <c r="N1222" s="83" t="s">
        <v>1292</v>
      </c>
      <c r="P1222" t="str">
        <f>VLOOKUP(B1222,PTN!A:B,2,FALSE)</f>
        <v>UIN WALISONGO SEMARANG</v>
      </c>
      <c r="Q1222" t="str">
        <f t="shared" si="19"/>
        <v>UIN WALISONGO SEMARANGFISIKA</v>
      </c>
    </row>
    <row r="1223" spans="1:17" ht="16.5" thickTop="1" thickBot="1" x14ac:dyDescent="0.3">
      <c r="A1223" s="7">
        <v>1222</v>
      </c>
      <c r="B1223" s="6">
        <v>42</v>
      </c>
      <c r="C1223" s="17">
        <v>3571055</v>
      </c>
      <c r="D1223" t="s">
        <v>113</v>
      </c>
      <c r="E1223" s="17">
        <v>60</v>
      </c>
      <c r="F1223" s="10" t="s">
        <v>20</v>
      </c>
      <c r="I1223" s="47"/>
      <c r="J1223" s="138" t="s">
        <v>1292</v>
      </c>
      <c r="K1223" s="138" t="s">
        <v>1292</v>
      </c>
      <c r="L1223" s="138" t="s">
        <v>1292</v>
      </c>
      <c r="M1223" s="49"/>
      <c r="N1223" s="83" t="s">
        <v>1292</v>
      </c>
      <c r="P1223" t="str">
        <f>VLOOKUP(B1223,PTN!A:B,2,FALSE)</f>
        <v>UIN WALISONGO SEMARANG</v>
      </c>
      <c r="Q1223" t="str">
        <f t="shared" si="19"/>
        <v>UIN WALISONGO SEMARANGGIZI</v>
      </c>
    </row>
    <row r="1224" spans="1:17" ht="15.75" thickBot="1" x14ac:dyDescent="0.3">
      <c r="A1224" s="7">
        <v>1223</v>
      </c>
      <c r="B1224" s="6">
        <v>42</v>
      </c>
      <c r="C1224" s="18">
        <v>3571071</v>
      </c>
      <c r="D1224" t="s">
        <v>22</v>
      </c>
      <c r="E1224" s="18">
        <v>30</v>
      </c>
      <c r="F1224" s="10" t="s">
        <v>20</v>
      </c>
      <c r="I1224" s="50"/>
      <c r="J1224" s="138" t="s">
        <v>1292</v>
      </c>
      <c r="K1224" s="138" t="s">
        <v>1292</v>
      </c>
      <c r="L1224" s="138" t="s">
        <v>1292</v>
      </c>
      <c r="M1224" s="52"/>
      <c r="N1224" s="83" t="s">
        <v>1292</v>
      </c>
      <c r="P1224" t="str">
        <f>VLOOKUP(B1224,PTN!A:B,2,FALSE)</f>
        <v>UIN WALISONGO SEMARANG</v>
      </c>
      <c r="Q1224" t="str">
        <f t="shared" si="19"/>
        <v>UIN WALISONGO SEMARANGKIMIA</v>
      </c>
    </row>
    <row r="1225" spans="1:17" ht="15.75" thickBot="1" x14ac:dyDescent="0.3">
      <c r="A1225" s="7">
        <v>1224</v>
      </c>
      <c r="B1225" s="6">
        <v>42</v>
      </c>
      <c r="C1225" s="17">
        <v>3571063</v>
      </c>
      <c r="D1225" t="s">
        <v>66</v>
      </c>
      <c r="E1225" s="17">
        <v>30</v>
      </c>
      <c r="F1225" s="10" t="s">
        <v>20</v>
      </c>
      <c r="I1225" s="47"/>
      <c r="J1225" s="138" t="s">
        <v>1292</v>
      </c>
      <c r="K1225" s="138" t="s">
        <v>1292</v>
      </c>
      <c r="L1225" s="138" t="s">
        <v>1292</v>
      </c>
      <c r="M1225" s="49"/>
      <c r="N1225" s="83" t="s">
        <v>1292</v>
      </c>
      <c r="P1225" t="str">
        <f>VLOOKUP(B1225,PTN!A:B,2,FALSE)</f>
        <v>UIN WALISONGO SEMARANG</v>
      </c>
      <c r="Q1225" t="str">
        <f t="shared" si="19"/>
        <v>UIN WALISONGO SEMARANGMATEMATIKA</v>
      </c>
    </row>
    <row r="1226" spans="1:17" ht="15.75" thickBot="1" x14ac:dyDescent="0.3">
      <c r="A1226" s="7">
        <v>1225</v>
      </c>
      <c r="B1226" s="6">
        <v>42</v>
      </c>
      <c r="C1226" s="35">
        <v>3571105</v>
      </c>
      <c r="D1226" t="s">
        <v>26</v>
      </c>
      <c r="E1226" s="35">
        <v>30</v>
      </c>
      <c r="F1226" s="10" t="s">
        <v>20</v>
      </c>
      <c r="I1226" s="50"/>
      <c r="J1226" s="138" t="s">
        <v>1292</v>
      </c>
      <c r="K1226" s="138" t="s">
        <v>1292</v>
      </c>
      <c r="L1226" s="138" t="s">
        <v>1292</v>
      </c>
      <c r="M1226" s="52"/>
      <c r="N1226" s="83" t="s">
        <v>1292</v>
      </c>
      <c r="P1226" t="str">
        <f>VLOOKUP(B1226,PTN!A:B,2,FALSE)</f>
        <v>UIN WALISONGO SEMARANG</v>
      </c>
      <c r="Q1226" t="str">
        <f t="shared" si="19"/>
        <v>UIN WALISONGO SEMARANGTEKNOLOGI INFORMASI</v>
      </c>
    </row>
    <row r="1227" spans="1:17" ht="16.5" thickTop="1" thickBot="1" x14ac:dyDescent="0.3">
      <c r="A1227" s="7">
        <v>1226</v>
      </c>
      <c r="B1227" s="6">
        <v>42</v>
      </c>
      <c r="C1227" s="48">
        <v>3572221</v>
      </c>
      <c r="D1227" t="s">
        <v>31</v>
      </c>
      <c r="E1227" s="48">
        <v>60</v>
      </c>
      <c r="F1227" s="10" t="s">
        <v>13</v>
      </c>
      <c r="I1227" s="53"/>
      <c r="J1227" s="138" t="s">
        <v>1292</v>
      </c>
      <c r="K1227" s="138" t="s">
        <v>1292</v>
      </c>
      <c r="L1227" s="138" t="s">
        <v>1292</v>
      </c>
      <c r="M1227" s="55"/>
      <c r="N1227" s="83" t="s">
        <v>1292</v>
      </c>
      <c r="P1227" t="str">
        <f>VLOOKUP(B1227,PTN!A:B,2,FALSE)</f>
        <v>UIN WALISONGO SEMARANG</v>
      </c>
      <c r="Q1227" t="str">
        <f t="shared" si="19"/>
        <v>UIN WALISONGO SEMARANGILMU HUKUM</v>
      </c>
    </row>
    <row r="1228" spans="1:17" ht="16.5" thickTop="1" thickBot="1" x14ac:dyDescent="0.3">
      <c r="A1228" s="7">
        <v>1227</v>
      </c>
      <c r="B1228" s="6">
        <v>42</v>
      </c>
      <c r="C1228" s="51">
        <v>3572213</v>
      </c>
      <c r="D1228" t="s">
        <v>33</v>
      </c>
      <c r="E1228" s="51">
        <v>80</v>
      </c>
      <c r="F1228" s="10" t="s">
        <v>13</v>
      </c>
      <c r="I1228" s="38"/>
      <c r="J1228" s="138" t="s">
        <v>1292</v>
      </c>
      <c r="K1228" s="138" t="s">
        <v>1292</v>
      </c>
      <c r="L1228" s="138" t="s">
        <v>1292</v>
      </c>
      <c r="M1228" s="32"/>
      <c r="N1228" s="83" t="s">
        <v>1292</v>
      </c>
      <c r="P1228" t="str">
        <f>VLOOKUP(B1228,PTN!A:B,2,FALSE)</f>
        <v>UIN WALISONGO SEMARANG</v>
      </c>
      <c r="Q1228" t="str">
        <f t="shared" si="19"/>
        <v>UIN WALISONGO SEMARANGILMU POLITIK</v>
      </c>
    </row>
    <row r="1229" spans="1:17" ht="15.75" thickBot="1" x14ac:dyDescent="0.3">
      <c r="A1229" s="7">
        <v>1228</v>
      </c>
      <c r="B1229" s="6">
        <v>42</v>
      </c>
      <c r="C1229" s="48">
        <v>3572236</v>
      </c>
      <c r="D1229" t="s">
        <v>61</v>
      </c>
      <c r="E1229" s="48">
        <v>40</v>
      </c>
      <c r="F1229" s="10" t="s">
        <v>13</v>
      </c>
      <c r="I1229" s="41"/>
      <c r="J1229" s="138" t="s">
        <v>1292</v>
      </c>
      <c r="K1229" s="138" t="s">
        <v>1292</v>
      </c>
      <c r="L1229" s="138" t="s">
        <v>1292</v>
      </c>
      <c r="M1229" s="34"/>
      <c r="N1229" s="83" t="s">
        <v>1292</v>
      </c>
      <c r="P1229" t="str">
        <f>VLOOKUP(B1229,PTN!A:B,2,FALSE)</f>
        <v>UIN WALISONGO SEMARANG</v>
      </c>
      <c r="Q1229" t="str">
        <f t="shared" si="19"/>
        <v>UIN WALISONGO SEMARANGMANAJEMEN</v>
      </c>
    </row>
    <row r="1230" spans="1:17" ht="16.5" thickTop="1" thickBot="1" x14ac:dyDescent="0.3">
      <c r="A1230" s="7">
        <v>1229</v>
      </c>
      <c r="B1230" s="6">
        <v>42</v>
      </c>
      <c r="C1230" s="51">
        <v>3572194</v>
      </c>
      <c r="D1230" t="s">
        <v>36</v>
      </c>
      <c r="E1230" s="51">
        <v>80</v>
      </c>
      <c r="F1230" s="10" t="s">
        <v>13</v>
      </c>
      <c r="J1230" s="138">
        <v>566.52</v>
      </c>
      <c r="K1230" s="138">
        <v>574.65773000000002</v>
      </c>
      <c r="L1230" s="138">
        <v>558.38226999999995</v>
      </c>
      <c r="N1230" s="83">
        <v>566.52</v>
      </c>
      <c r="P1230" t="str">
        <f>VLOOKUP(B1230,PTN!A:B,2,FALSE)</f>
        <v>UIN WALISONGO SEMARANG</v>
      </c>
      <c r="Q1230" t="str">
        <f t="shared" si="19"/>
        <v>UIN WALISONGO SEMARANGPSIKOLOGI</v>
      </c>
    </row>
    <row r="1231" spans="1:17" ht="15.75" thickBot="1" x14ac:dyDescent="0.3">
      <c r="A1231" s="7">
        <v>1230</v>
      </c>
      <c r="B1231" s="6">
        <v>42</v>
      </c>
      <c r="C1231" s="54">
        <v>3572205</v>
      </c>
      <c r="D1231" t="s">
        <v>63</v>
      </c>
      <c r="E1231" s="54">
        <v>100</v>
      </c>
      <c r="F1231" s="10" t="s">
        <v>13</v>
      </c>
      <c r="I1231" s="20"/>
      <c r="J1231" s="138" t="s">
        <v>1292</v>
      </c>
      <c r="K1231" s="138" t="s">
        <v>1292</v>
      </c>
      <c r="L1231" s="138" t="s">
        <v>1292</v>
      </c>
      <c r="M1231" s="21"/>
      <c r="N1231" s="83" t="s">
        <v>1292</v>
      </c>
      <c r="P1231" t="str">
        <f>VLOOKUP(B1231,PTN!A:B,2,FALSE)</f>
        <v>UIN WALISONGO SEMARANG</v>
      </c>
      <c r="Q1231" t="str">
        <f t="shared" si="19"/>
        <v>UIN WALISONGO SEMARANGSOSIOLOGI</v>
      </c>
    </row>
    <row r="1232" spans="1:17" ht="16.5" thickTop="1" thickBot="1" x14ac:dyDescent="0.3">
      <c r="A1232" s="7">
        <v>1231</v>
      </c>
      <c r="B1232" s="6">
        <v>36</v>
      </c>
      <c r="C1232" s="12">
        <v>3511177</v>
      </c>
      <c r="D1232" t="s">
        <v>37</v>
      </c>
      <c r="E1232" s="12">
        <v>24</v>
      </c>
      <c r="F1232" s="10" t="s">
        <v>20</v>
      </c>
      <c r="I1232" s="22"/>
      <c r="J1232" s="138">
        <v>601.29999999999995</v>
      </c>
      <c r="K1232" s="138">
        <v>607.82499999999993</v>
      </c>
      <c r="L1232" s="138">
        <v>594.77499999999998</v>
      </c>
      <c r="M1232" s="21"/>
      <c r="N1232" s="83">
        <v>601.29999999999995</v>
      </c>
      <c r="P1232" t="str">
        <f>VLOOKUP(B1232,PTN!A:B,2,FALSE)</f>
        <v>UNIVERSITAS JENDERAL SOEDIRMAN</v>
      </c>
      <c r="Q1232" t="str">
        <f t="shared" si="19"/>
        <v>UNIVERSITAS JENDERAL SOEDIRMANAGRIBISNIS</v>
      </c>
    </row>
    <row r="1233" spans="1:17" ht="16.5" thickTop="1" thickBot="1" x14ac:dyDescent="0.3">
      <c r="A1233" s="7">
        <v>1232</v>
      </c>
      <c r="B1233" s="6">
        <v>36</v>
      </c>
      <c r="C1233" s="13">
        <v>3511162</v>
      </c>
      <c r="D1233" t="s">
        <v>64</v>
      </c>
      <c r="E1233" s="13">
        <v>44</v>
      </c>
      <c r="F1233" s="10" t="s">
        <v>20</v>
      </c>
      <c r="I1233" s="23"/>
      <c r="J1233" s="138" t="s">
        <v>1292</v>
      </c>
      <c r="K1233" s="138" t="s">
        <v>1292</v>
      </c>
      <c r="L1233" s="138" t="s">
        <v>1292</v>
      </c>
      <c r="M1233" s="25"/>
      <c r="N1233" s="83" t="s">
        <v>1292</v>
      </c>
      <c r="P1233" t="str">
        <f>VLOOKUP(B1233,PTN!A:B,2,FALSE)</f>
        <v>UNIVERSITAS JENDERAL SOEDIRMAN</v>
      </c>
      <c r="Q1233" t="str">
        <f t="shared" si="19"/>
        <v>UNIVERSITAS JENDERAL SOEDIRMANAGROTEKNOLOGI</v>
      </c>
    </row>
    <row r="1234" spans="1:17" ht="16.5" thickTop="1" thickBot="1" x14ac:dyDescent="0.3">
      <c r="A1234" s="7">
        <v>1233</v>
      </c>
      <c r="B1234" s="6">
        <v>36</v>
      </c>
      <c r="C1234" s="12">
        <v>3511011</v>
      </c>
      <c r="D1234" t="s">
        <v>21</v>
      </c>
      <c r="E1234" s="12">
        <v>30</v>
      </c>
      <c r="F1234" s="10" t="s">
        <v>20</v>
      </c>
      <c r="I1234" s="26"/>
      <c r="J1234" s="138">
        <v>604.17999999999995</v>
      </c>
      <c r="K1234" s="138">
        <v>610.9849999999999</v>
      </c>
      <c r="L1234" s="138">
        <v>597.375</v>
      </c>
      <c r="M1234" s="27"/>
      <c r="N1234" s="83">
        <v>604.17999999999995</v>
      </c>
      <c r="P1234" t="str">
        <f>VLOOKUP(B1234,PTN!A:B,2,FALSE)</f>
        <v>UNIVERSITAS JENDERAL SOEDIRMAN</v>
      </c>
      <c r="Q1234" t="str">
        <f t="shared" si="19"/>
        <v>UNIVERSITAS JENDERAL SOEDIRMANBIOLOGI</v>
      </c>
    </row>
    <row r="1235" spans="1:17" ht="15.75" thickBot="1" x14ac:dyDescent="0.3">
      <c r="A1235" s="7">
        <v>1234</v>
      </c>
      <c r="B1235" s="6">
        <v>36</v>
      </c>
      <c r="C1235" s="13">
        <v>3511065</v>
      </c>
      <c r="D1235" t="s">
        <v>39</v>
      </c>
      <c r="E1235" s="13">
        <v>12</v>
      </c>
      <c r="F1235" s="10" t="s">
        <v>20</v>
      </c>
      <c r="I1235" s="87"/>
      <c r="J1235" s="138" t="s">
        <v>1292</v>
      </c>
      <c r="K1235" s="138" t="s">
        <v>1292</v>
      </c>
      <c r="L1235" s="138" t="s">
        <v>1292</v>
      </c>
      <c r="M1235" s="28"/>
      <c r="N1235" s="83" t="s">
        <v>1292</v>
      </c>
      <c r="P1235" t="str">
        <f>VLOOKUP(B1235,PTN!A:B,2,FALSE)</f>
        <v>UNIVERSITAS JENDERAL SOEDIRMAN</v>
      </c>
      <c r="Q1235" t="str">
        <f t="shared" si="19"/>
        <v>UNIVERSITAS JENDERAL SOEDIRMANBUDIDAYA PERAIRAN</v>
      </c>
    </row>
    <row r="1236" spans="1:17" ht="15.75" thickBot="1" x14ac:dyDescent="0.3">
      <c r="A1236" s="7">
        <v>1235</v>
      </c>
      <c r="B1236" s="6">
        <v>36</v>
      </c>
      <c r="C1236" s="12">
        <v>3511131</v>
      </c>
      <c r="D1236" t="s">
        <v>77</v>
      </c>
      <c r="E1236" s="12">
        <v>20</v>
      </c>
      <c r="F1236" s="10" t="s">
        <v>20</v>
      </c>
      <c r="I1236" s="26"/>
      <c r="J1236" s="138">
        <v>649.13</v>
      </c>
      <c r="K1236" s="138">
        <v>656.55499999999995</v>
      </c>
      <c r="L1236" s="138">
        <v>641.70500000000004</v>
      </c>
      <c r="M1236" s="27"/>
      <c r="N1236" s="83">
        <v>649.13</v>
      </c>
      <c r="P1236" t="str">
        <f>VLOOKUP(B1236,PTN!A:B,2,FALSE)</f>
        <v>UNIVERSITAS JENDERAL SOEDIRMAN</v>
      </c>
      <c r="Q1236" t="str">
        <f t="shared" si="19"/>
        <v>UNIVERSITAS JENDERAL SOEDIRMANFARMASI</v>
      </c>
    </row>
    <row r="1237" spans="1:17" ht="15.75" thickBot="1" x14ac:dyDescent="0.3">
      <c r="A1237" s="7">
        <v>1236</v>
      </c>
      <c r="B1237" s="6">
        <v>36</v>
      </c>
      <c r="C1237" s="13">
        <v>3511042</v>
      </c>
      <c r="D1237" t="s">
        <v>65</v>
      </c>
      <c r="E1237" s="13">
        <v>16</v>
      </c>
      <c r="F1237" s="10" t="s">
        <v>20</v>
      </c>
      <c r="I1237" s="87"/>
      <c r="J1237" s="138">
        <v>607.71</v>
      </c>
      <c r="K1237" s="138">
        <v>615.27</v>
      </c>
      <c r="L1237" s="138">
        <v>600.15000000000009</v>
      </c>
      <c r="M1237" s="28"/>
      <c r="N1237" s="83">
        <v>607.71</v>
      </c>
      <c r="P1237" t="str">
        <f>VLOOKUP(B1237,PTN!A:B,2,FALSE)</f>
        <v>UNIVERSITAS JENDERAL SOEDIRMAN</v>
      </c>
      <c r="Q1237" t="str">
        <f t="shared" si="19"/>
        <v>UNIVERSITAS JENDERAL SOEDIRMANFISIKA</v>
      </c>
    </row>
    <row r="1238" spans="1:17" ht="15.75" thickBot="1" x14ac:dyDescent="0.3">
      <c r="A1238" s="7">
        <v>1237</v>
      </c>
      <c r="B1238" s="6">
        <v>36</v>
      </c>
      <c r="C1238" s="12">
        <v>3511185</v>
      </c>
      <c r="D1238" t="s">
        <v>141</v>
      </c>
      <c r="E1238" s="12">
        <v>20</v>
      </c>
      <c r="F1238" s="10" t="s">
        <v>20</v>
      </c>
      <c r="I1238" s="26"/>
      <c r="J1238" s="138">
        <v>619.12</v>
      </c>
      <c r="K1238" s="138">
        <v>625.65499999999997</v>
      </c>
      <c r="L1238" s="138">
        <v>612.58500000000004</v>
      </c>
      <c r="M1238" s="27"/>
      <c r="N1238" s="83">
        <v>619.12</v>
      </c>
      <c r="P1238" t="str">
        <f>VLOOKUP(B1238,PTN!A:B,2,FALSE)</f>
        <v>UNIVERSITAS JENDERAL SOEDIRMAN</v>
      </c>
      <c r="Q1238" t="str">
        <f t="shared" si="19"/>
        <v>UNIVERSITAS JENDERAL SOEDIRMANILMU DAN TEKNOLOGI PANGAN</v>
      </c>
    </row>
    <row r="1239" spans="1:17" ht="15.75" thickBot="1" x14ac:dyDescent="0.3">
      <c r="A1239" s="7">
        <v>1238</v>
      </c>
      <c r="B1239" s="6">
        <v>36</v>
      </c>
      <c r="C1239" s="13">
        <v>3511227</v>
      </c>
      <c r="D1239" t="s">
        <v>346</v>
      </c>
      <c r="E1239" s="13">
        <v>16</v>
      </c>
      <c r="F1239" s="10" t="s">
        <v>20</v>
      </c>
      <c r="I1239" s="87"/>
      <c r="J1239" s="138">
        <v>631.64</v>
      </c>
      <c r="K1239" s="138">
        <v>639.74</v>
      </c>
      <c r="L1239" s="138">
        <v>623.54</v>
      </c>
      <c r="M1239" s="28"/>
      <c r="N1239" s="83">
        <v>631.64</v>
      </c>
      <c r="P1239" t="str">
        <f>VLOOKUP(B1239,PTN!A:B,2,FALSE)</f>
        <v>UNIVERSITAS JENDERAL SOEDIRMAN</v>
      </c>
      <c r="Q1239" t="str">
        <f t="shared" si="19"/>
        <v>UNIVERSITAS JENDERAL SOEDIRMANILMU GIZI</v>
      </c>
    </row>
    <row r="1240" spans="1:17" ht="15.75" thickBot="1" x14ac:dyDescent="0.3">
      <c r="A1240" s="7">
        <v>1239</v>
      </c>
      <c r="B1240" s="6">
        <v>36</v>
      </c>
      <c r="C1240" s="12">
        <v>3511154</v>
      </c>
      <c r="D1240" t="s">
        <v>40</v>
      </c>
      <c r="E1240" s="12">
        <v>12</v>
      </c>
      <c r="F1240" s="10" t="s">
        <v>20</v>
      </c>
      <c r="I1240" s="26"/>
      <c r="J1240" s="138">
        <v>540</v>
      </c>
      <c r="K1240" s="138" t="s">
        <v>1292</v>
      </c>
      <c r="L1240" s="138" t="s">
        <v>1292</v>
      </c>
      <c r="M1240" s="27"/>
      <c r="N1240" s="83">
        <v>540</v>
      </c>
      <c r="P1240" t="str">
        <f>VLOOKUP(B1240,PTN!A:B,2,FALSE)</f>
        <v>UNIVERSITAS JENDERAL SOEDIRMAN</v>
      </c>
      <c r="Q1240" t="str">
        <f t="shared" si="19"/>
        <v>UNIVERSITAS JENDERAL SOEDIRMANILMU KELAUTAN</v>
      </c>
    </row>
    <row r="1241" spans="1:17" ht="15.75" thickBot="1" x14ac:dyDescent="0.3">
      <c r="A1241" s="7">
        <v>1240</v>
      </c>
      <c r="B1241" s="6">
        <v>36</v>
      </c>
      <c r="C1241" s="13">
        <v>3511123</v>
      </c>
      <c r="D1241" t="s">
        <v>339</v>
      </c>
      <c r="E1241" s="13">
        <v>16</v>
      </c>
      <c r="F1241" s="10" t="s">
        <v>20</v>
      </c>
      <c r="I1241" s="87"/>
      <c r="J1241" s="138">
        <v>611.65</v>
      </c>
      <c r="K1241" s="138">
        <v>619.66</v>
      </c>
      <c r="L1241" s="138">
        <v>603.64</v>
      </c>
      <c r="M1241" s="28"/>
      <c r="N1241" s="83">
        <v>611.65</v>
      </c>
      <c r="P1241" t="str">
        <f>VLOOKUP(B1241,PTN!A:B,2,FALSE)</f>
        <v>UNIVERSITAS JENDERAL SOEDIRMAN</v>
      </c>
      <c r="Q1241" t="str">
        <f t="shared" si="19"/>
        <v>UNIVERSITAS JENDERAL SOEDIRMANKEPERAWATAN</v>
      </c>
    </row>
    <row r="1242" spans="1:17" ht="15.75" thickBot="1" x14ac:dyDescent="0.3">
      <c r="A1242" s="7">
        <v>1241</v>
      </c>
      <c r="B1242" s="6">
        <v>36</v>
      </c>
      <c r="C1242" s="12">
        <v>3511115</v>
      </c>
      <c r="D1242" t="s">
        <v>107</v>
      </c>
      <c r="E1242" s="12">
        <v>24</v>
      </c>
      <c r="F1242" s="10" t="s">
        <v>20</v>
      </c>
      <c r="I1242" s="26"/>
      <c r="J1242" s="138">
        <v>616.47</v>
      </c>
      <c r="K1242" s="138">
        <v>623.22</v>
      </c>
      <c r="L1242" s="138">
        <v>609.72</v>
      </c>
      <c r="M1242" s="27"/>
      <c r="N1242" s="83">
        <v>616.47</v>
      </c>
      <c r="P1242" t="str">
        <f>VLOOKUP(B1242,PTN!A:B,2,FALSE)</f>
        <v>UNIVERSITAS JENDERAL SOEDIRMAN</v>
      </c>
      <c r="Q1242" t="str">
        <f t="shared" si="19"/>
        <v>UNIVERSITAS JENDERAL SOEDIRMANKESEHATAN MASYARAKAT</v>
      </c>
    </row>
    <row r="1243" spans="1:17" ht="15.75" thickBot="1" x14ac:dyDescent="0.3">
      <c r="A1243" s="7">
        <v>1242</v>
      </c>
      <c r="B1243" s="6">
        <v>36</v>
      </c>
      <c r="C1243" s="13">
        <v>3511026</v>
      </c>
      <c r="D1243" t="s">
        <v>22</v>
      </c>
      <c r="E1243" s="13">
        <v>16</v>
      </c>
      <c r="F1243" s="10" t="s">
        <v>20</v>
      </c>
      <c r="I1243" s="87"/>
      <c r="J1243" s="138">
        <v>612.73</v>
      </c>
      <c r="K1243" s="138">
        <v>617.07500000000005</v>
      </c>
      <c r="L1243" s="138">
        <v>608.38499999999999</v>
      </c>
      <c r="M1243" s="28"/>
      <c r="N1243" s="83">
        <v>612.73</v>
      </c>
      <c r="P1243" t="str">
        <f>VLOOKUP(B1243,PTN!A:B,2,FALSE)</f>
        <v>UNIVERSITAS JENDERAL SOEDIRMAN</v>
      </c>
      <c r="Q1243" t="str">
        <f t="shared" si="19"/>
        <v>UNIVERSITAS JENDERAL SOEDIRMANKIMIA</v>
      </c>
    </row>
    <row r="1244" spans="1:17" ht="15.75" thickBot="1" x14ac:dyDescent="0.3">
      <c r="A1244" s="7">
        <v>1243</v>
      </c>
      <c r="B1244" s="6">
        <v>36</v>
      </c>
      <c r="C1244" s="12">
        <v>3511057</v>
      </c>
      <c r="D1244" t="s">
        <v>213</v>
      </c>
      <c r="E1244" s="12">
        <v>12</v>
      </c>
      <c r="F1244" s="10" t="s">
        <v>20</v>
      </c>
      <c r="I1244" s="26"/>
      <c r="J1244" s="138" t="s">
        <v>1292</v>
      </c>
      <c r="K1244" s="138" t="s">
        <v>1292</v>
      </c>
      <c r="L1244" s="138" t="s">
        <v>1292</v>
      </c>
      <c r="M1244" s="27"/>
      <c r="N1244" s="83" t="s">
        <v>1292</v>
      </c>
      <c r="P1244" t="str">
        <f>VLOOKUP(B1244,PTN!A:B,2,FALSE)</f>
        <v>UNIVERSITAS JENDERAL SOEDIRMAN</v>
      </c>
      <c r="Q1244" t="str">
        <f t="shared" si="19"/>
        <v>UNIVERSITAS JENDERAL SOEDIRMANMANAJEMEN SUMBERDAYA PERAIRAN</v>
      </c>
    </row>
    <row r="1245" spans="1:17" ht="15.75" thickBot="1" x14ac:dyDescent="0.3">
      <c r="A1245" s="7">
        <v>1244</v>
      </c>
      <c r="B1245" s="6">
        <v>36</v>
      </c>
      <c r="C1245" s="13">
        <v>3511034</v>
      </c>
      <c r="D1245" t="s">
        <v>66</v>
      </c>
      <c r="E1245" s="13">
        <v>16</v>
      </c>
      <c r="F1245" s="10" t="s">
        <v>20</v>
      </c>
      <c r="I1245" s="87"/>
      <c r="J1245" s="138">
        <v>622.09</v>
      </c>
      <c r="K1245" s="138">
        <v>631.10500000000002</v>
      </c>
      <c r="L1245" s="138">
        <v>613.07500000000005</v>
      </c>
      <c r="M1245" s="28"/>
      <c r="N1245" s="83">
        <v>622.09</v>
      </c>
      <c r="P1245" t="str">
        <f>VLOOKUP(B1245,PTN!A:B,2,FALSE)</f>
        <v>UNIVERSITAS JENDERAL SOEDIRMAN</v>
      </c>
      <c r="Q1245" t="str">
        <f t="shared" si="19"/>
        <v>UNIVERSITAS JENDERAL SOEDIRMANMATEMATIKA</v>
      </c>
    </row>
    <row r="1246" spans="1:17" ht="15.75" thickBot="1" x14ac:dyDescent="0.3">
      <c r="A1246" s="7">
        <v>1245</v>
      </c>
      <c r="B1246" s="6">
        <v>36</v>
      </c>
      <c r="C1246" s="12">
        <v>3511107</v>
      </c>
      <c r="D1246" t="s">
        <v>41</v>
      </c>
      <c r="E1246" s="12">
        <v>24</v>
      </c>
      <c r="F1246" s="10" t="s">
        <v>20</v>
      </c>
      <c r="I1246" s="26"/>
      <c r="J1246" s="138">
        <v>688.84</v>
      </c>
      <c r="K1246" s="138">
        <v>694.43500000000006</v>
      </c>
      <c r="L1246" s="138">
        <v>683.245</v>
      </c>
      <c r="M1246" s="27"/>
      <c r="N1246" s="83">
        <v>688.84</v>
      </c>
      <c r="P1246" t="str">
        <f>VLOOKUP(B1246,PTN!A:B,2,FALSE)</f>
        <v>UNIVERSITAS JENDERAL SOEDIRMAN</v>
      </c>
      <c r="Q1246" t="str">
        <f t="shared" si="19"/>
        <v>UNIVERSITAS JENDERAL SOEDIRMANPENDIDIKAN DOKTER</v>
      </c>
    </row>
    <row r="1247" spans="1:17" ht="15.75" thickBot="1" x14ac:dyDescent="0.3">
      <c r="A1247" s="7">
        <v>1246</v>
      </c>
      <c r="B1247" s="6">
        <v>36</v>
      </c>
      <c r="C1247" s="13">
        <v>3511212</v>
      </c>
      <c r="D1247" t="s">
        <v>85</v>
      </c>
      <c r="E1247" s="13">
        <v>10</v>
      </c>
      <c r="F1247" s="10" t="s">
        <v>20</v>
      </c>
      <c r="I1247" s="87"/>
      <c r="J1247" s="138">
        <v>657.41</v>
      </c>
      <c r="K1247" s="138">
        <v>662.37</v>
      </c>
      <c r="L1247" s="138">
        <v>652.44999999999993</v>
      </c>
      <c r="M1247" s="28"/>
      <c r="N1247" s="83">
        <v>657.41</v>
      </c>
      <c r="P1247" t="str">
        <f>VLOOKUP(B1247,PTN!A:B,2,FALSE)</f>
        <v>UNIVERSITAS JENDERAL SOEDIRMAN</v>
      </c>
      <c r="Q1247" t="str">
        <f t="shared" si="19"/>
        <v>UNIVERSITAS JENDERAL SOEDIRMANPENDIDIKAN DOKTER GIGI</v>
      </c>
    </row>
    <row r="1248" spans="1:17" ht="15.75" thickBot="1" x14ac:dyDescent="0.3">
      <c r="A1248" s="7">
        <v>1247</v>
      </c>
      <c r="B1248" s="6">
        <v>36</v>
      </c>
      <c r="C1248" s="12">
        <v>3511235</v>
      </c>
      <c r="D1248" t="s">
        <v>442</v>
      </c>
      <c r="E1248" s="12">
        <v>14</v>
      </c>
      <c r="F1248" s="10" t="s">
        <v>20</v>
      </c>
      <c r="I1248" s="26"/>
      <c r="J1248" s="138" t="s">
        <v>1292</v>
      </c>
      <c r="K1248" s="138" t="s">
        <v>1292</v>
      </c>
      <c r="L1248" s="138" t="s">
        <v>1292</v>
      </c>
      <c r="M1248" s="27"/>
      <c r="N1248" s="83" t="s">
        <v>1292</v>
      </c>
      <c r="P1248" t="str">
        <f>VLOOKUP(B1248,PTN!A:B,2,FALSE)</f>
        <v>UNIVERSITAS JENDERAL SOEDIRMAN</v>
      </c>
      <c r="Q1248" t="str">
        <f t="shared" si="19"/>
        <v>UNIVERSITAS JENDERAL SOEDIRMANPENDIDIKAN JASMANI KESEHATAN DAN REKREASI</v>
      </c>
    </row>
    <row r="1249" spans="1:17" ht="15.75" thickBot="1" x14ac:dyDescent="0.3">
      <c r="A1249" s="7">
        <v>1248</v>
      </c>
      <c r="B1249" s="6">
        <v>36</v>
      </c>
      <c r="C1249" s="13">
        <v>3511193</v>
      </c>
      <c r="D1249" t="s">
        <v>88</v>
      </c>
      <c r="E1249" s="13">
        <v>44</v>
      </c>
      <c r="F1249" s="10" t="s">
        <v>20</v>
      </c>
      <c r="I1249" s="87"/>
      <c r="J1249" s="138" t="s">
        <v>1292</v>
      </c>
      <c r="K1249" s="138" t="s">
        <v>1292</v>
      </c>
      <c r="L1249" s="138" t="s">
        <v>1292</v>
      </c>
      <c r="M1249" s="28"/>
      <c r="N1249" s="83" t="s">
        <v>1292</v>
      </c>
      <c r="P1249" t="str">
        <f>VLOOKUP(B1249,PTN!A:B,2,FALSE)</f>
        <v>UNIVERSITAS JENDERAL SOEDIRMAN</v>
      </c>
      <c r="Q1249" t="str">
        <f t="shared" si="19"/>
        <v>UNIVERSITAS JENDERAL SOEDIRMANPETERNAKAN</v>
      </c>
    </row>
    <row r="1250" spans="1:17" ht="15.75" thickBot="1" x14ac:dyDescent="0.3">
      <c r="A1250" s="7">
        <v>1249</v>
      </c>
      <c r="B1250" s="6">
        <v>36</v>
      </c>
      <c r="C1250" s="12">
        <v>3511081</v>
      </c>
      <c r="D1250" t="s">
        <v>48</v>
      </c>
      <c r="E1250" s="12">
        <v>20</v>
      </c>
      <c r="F1250" s="10" t="s">
        <v>20</v>
      </c>
      <c r="I1250" s="26"/>
      <c r="J1250" s="138">
        <v>614.79999999999995</v>
      </c>
      <c r="K1250" s="138">
        <v>622.70499999999993</v>
      </c>
      <c r="L1250" s="138">
        <v>606.89499999999998</v>
      </c>
      <c r="M1250" s="27"/>
      <c r="N1250" s="83">
        <v>614.79999999999995</v>
      </c>
      <c r="P1250" t="str">
        <f>VLOOKUP(B1250,PTN!A:B,2,FALSE)</f>
        <v>UNIVERSITAS JENDERAL SOEDIRMAN</v>
      </c>
      <c r="Q1250" t="str">
        <f t="shared" si="19"/>
        <v>UNIVERSITAS JENDERAL SOEDIRMANTEKNIK ELEKTRO</v>
      </c>
    </row>
    <row r="1251" spans="1:17" ht="15.75" thickBot="1" x14ac:dyDescent="0.3">
      <c r="A1251" s="7">
        <v>1250</v>
      </c>
      <c r="B1251" s="6">
        <v>36</v>
      </c>
      <c r="C1251" s="13">
        <v>3511146</v>
      </c>
      <c r="D1251" t="s">
        <v>92</v>
      </c>
      <c r="E1251" s="13">
        <v>12</v>
      </c>
      <c r="F1251" s="10" t="s">
        <v>20</v>
      </c>
      <c r="I1251" s="87"/>
      <c r="J1251" s="138">
        <v>609.49</v>
      </c>
      <c r="K1251" s="138">
        <v>617.755</v>
      </c>
      <c r="L1251" s="138">
        <v>601.22500000000002</v>
      </c>
      <c r="M1251" s="28"/>
      <c r="N1251" s="83">
        <v>609.49</v>
      </c>
      <c r="P1251" t="str">
        <f>VLOOKUP(B1251,PTN!A:B,2,FALSE)</f>
        <v>UNIVERSITAS JENDERAL SOEDIRMAN</v>
      </c>
      <c r="Q1251" t="str">
        <f t="shared" si="19"/>
        <v>UNIVERSITAS JENDERAL SOEDIRMANTEKNIK GEOLOGI</v>
      </c>
    </row>
    <row r="1252" spans="1:17" ht="15.75" thickBot="1" x14ac:dyDescent="0.3">
      <c r="A1252" s="7">
        <v>1251</v>
      </c>
      <c r="B1252" s="6">
        <v>36</v>
      </c>
      <c r="C1252" s="12">
        <v>3511243</v>
      </c>
      <c r="D1252" t="s">
        <v>49</v>
      </c>
      <c r="E1252" s="12">
        <v>10</v>
      </c>
      <c r="F1252" s="10" t="s">
        <v>20</v>
      </c>
      <c r="I1252" s="26"/>
      <c r="J1252" s="138">
        <v>612.21</v>
      </c>
      <c r="K1252" s="138">
        <v>619.18500000000006</v>
      </c>
      <c r="L1252" s="138">
        <v>604.995</v>
      </c>
      <c r="M1252" s="27"/>
      <c r="N1252" s="83">
        <v>612.21</v>
      </c>
      <c r="P1252" t="str">
        <f>VLOOKUP(B1252,PTN!A:B,2,FALSE)</f>
        <v>UNIVERSITAS JENDERAL SOEDIRMAN</v>
      </c>
      <c r="Q1252" t="str">
        <f t="shared" si="19"/>
        <v>UNIVERSITAS JENDERAL SOEDIRMANTEKNIK INDUSTRI</v>
      </c>
    </row>
    <row r="1253" spans="1:17" ht="15.75" thickBot="1" x14ac:dyDescent="0.3">
      <c r="A1253" s="7">
        <v>1252</v>
      </c>
      <c r="B1253" s="6">
        <v>36</v>
      </c>
      <c r="C1253" s="13">
        <v>3511204</v>
      </c>
      <c r="D1253" t="s">
        <v>50</v>
      </c>
      <c r="E1253" s="13">
        <v>14</v>
      </c>
      <c r="F1253" s="10" t="s">
        <v>20</v>
      </c>
      <c r="I1253" s="87"/>
      <c r="J1253" s="138">
        <v>632.26</v>
      </c>
      <c r="K1253" s="138">
        <v>639.97500000000002</v>
      </c>
      <c r="L1253" s="138">
        <v>624.54499999999996</v>
      </c>
      <c r="M1253" s="28"/>
      <c r="N1253" s="83">
        <v>632.26</v>
      </c>
      <c r="P1253" t="str">
        <f>VLOOKUP(B1253,PTN!A:B,2,FALSE)</f>
        <v>UNIVERSITAS JENDERAL SOEDIRMAN</v>
      </c>
      <c r="Q1253" t="str">
        <f t="shared" si="19"/>
        <v>UNIVERSITAS JENDERAL SOEDIRMANTEKNIK INFORMATIKA</v>
      </c>
    </row>
    <row r="1254" spans="1:17" ht="15.75" thickBot="1" x14ac:dyDescent="0.3">
      <c r="A1254" s="7">
        <v>1253</v>
      </c>
      <c r="B1254" s="6">
        <v>36</v>
      </c>
      <c r="C1254" s="12">
        <v>3511073</v>
      </c>
      <c r="D1254" t="s">
        <v>95</v>
      </c>
      <c r="E1254" s="12">
        <v>20</v>
      </c>
      <c r="F1254" s="10" t="s">
        <v>20</v>
      </c>
      <c r="I1254" s="26"/>
      <c r="J1254" s="138" t="s">
        <v>1292</v>
      </c>
      <c r="K1254" s="138" t="s">
        <v>1292</v>
      </c>
      <c r="L1254" s="138" t="s">
        <v>1292</v>
      </c>
      <c r="M1254" s="27"/>
      <c r="N1254" s="83" t="s">
        <v>1292</v>
      </c>
      <c r="P1254" t="str">
        <f>VLOOKUP(B1254,PTN!A:B,2,FALSE)</f>
        <v>UNIVERSITAS JENDERAL SOEDIRMAN</v>
      </c>
      <c r="Q1254" t="str">
        <f t="shared" si="19"/>
        <v>UNIVERSITAS JENDERAL SOEDIRMANTEKNIK PERTANIAN</v>
      </c>
    </row>
    <row r="1255" spans="1:17" ht="15.75" thickBot="1" x14ac:dyDescent="0.3">
      <c r="A1255" s="7">
        <v>1254</v>
      </c>
      <c r="B1255" s="6">
        <v>36</v>
      </c>
      <c r="C1255" s="16">
        <v>3511096</v>
      </c>
      <c r="D1255" t="s">
        <v>54</v>
      </c>
      <c r="E1255" s="16">
        <v>20</v>
      </c>
      <c r="F1255" s="10" t="s">
        <v>20</v>
      </c>
      <c r="I1255" s="20"/>
      <c r="J1255" s="138">
        <v>627.9</v>
      </c>
      <c r="K1255" s="138">
        <v>634.11</v>
      </c>
      <c r="L1255" s="138">
        <v>621.68999999999994</v>
      </c>
      <c r="M1255" s="21"/>
      <c r="N1255" s="83">
        <v>627.9</v>
      </c>
      <c r="P1255" t="str">
        <f>VLOOKUP(B1255,PTN!A:B,2,FALSE)</f>
        <v>UNIVERSITAS JENDERAL SOEDIRMAN</v>
      </c>
      <c r="Q1255" t="str">
        <f t="shared" si="19"/>
        <v>UNIVERSITAS JENDERAL SOEDIRMANTEKNIK SIPIL</v>
      </c>
    </row>
    <row r="1256" spans="1:17" ht="16.5" thickTop="1" thickBot="1" x14ac:dyDescent="0.3">
      <c r="A1256" s="7">
        <v>1255</v>
      </c>
      <c r="B1256" s="6">
        <v>36</v>
      </c>
      <c r="C1256" s="12">
        <v>3512037</v>
      </c>
      <c r="D1256" t="s">
        <v>443</v>
      </c>
      <c r="E1256" s="12">
        <v>24</v>
      </c>
      <c r="F1256" s="10" t="s">
        <v>13</v>
      </c>
      <c r="J1256" s="138">
        <v>607.14</v>
      </c>
      <c r="K1256" s="138">
        <v>615.27773000000002</v>
      </c>
      <c r="L1256" s="138">
        <v>599.00226999999995</v>
      </c>
      <c r="M1256" s="21"/>
      <c r="N1256" s="83">
        <v>607.14</v>
      </c>
      <c r="P1256" t="str">
        <f>VLOOKUP(B1256,PTN!A:B,2,FALSE)</f>
        <v>UNIVERSITAS JENDERAL SOEDIRMAN</v>
      </c>
      <c r="Q1256" t="str">
        <f t="shared" si="19"/>
        <v>UNIVERSITAS JENDERAL SOEDIRMANADMINISTRASI NEGARA</v>
      </c>
    </row>
    <row r="1257" spans="1:17" ht="16.5" thickTop="1" thickBot="1" x14ac:dyDescent="0.3">
      <c r="A1257" s="7">
        <v>1256</v>
      </c>
      <c r="B1257" s="6">
        <v>36</v>
      </c>
      <c r="C1257" s="13">
        <v>3512061</v>
      </c>
      <c r="D1257" t="s">
        <v>55</v>
      </c>
      <c r="E1257" s="13">
        <v>24</v>
      </c>
      <c r="F1257" s="10" t="s">
        <v>13</v>
      </c>
      <c r="I1257" s="23"/>
      <c r="J1257" s="138">
        <v>625.71</v>
      </c>
      <c r="K1257" s="138">
        <v>633.84773000000007</v>
      </c>
      <c r="L1257" s="138">
        <v>617.57227</v>
      </c>
      <c r="M1257" s="25"/>
      <c r="N1257" s="83">
        <v>625.71</v>
      </c>
      <c r="P1257" t="str">
        <f>VLOOKUP(B1257,PTN!A:B,2,FALSE)</f>
        <v>UNIVERSITAS JENDERAL SOEDIRMAN</v>
      </c>
      <c r="Q1257" t="str">
        <f t="shared" si="19"/>
        <v>UNIVERSITAS JENDERAL SOEDIRMANAKUNTANSI</v>
      </c>
    </row>
    <row r="1258" spans="1:17" ht="16.5" thickTop="1" thickBot="1" x14ac:dyDescent="0.3">
      <c r="A1258" s="7">
        <v>1257</v>
      </c>
      <c r="B1258" s="6">
        <v>36</v>
      </c>
      <c r="C1258" s="12">
        <v>3512092</v>
      </c>
      <c r="D1258" t="s">
        <v>399</v>
      </c>
      <c r="E1258" s="12">
        <v>12</v>
      </c>
      <c r="F1258" s="10" t="s">
        <v>13</v>
      </c>
      <c r="I1258" s="26"/>
      <c r="J1258" s="138">
        <v>583.92999999999995</v>
      </c>
      <c r="K1258" s="138">
        <v>592.06772999999998</v>
      </c>
      <c r="L1258" s="138">
        <v>575.79226999999992</v>
      </c>
      <c r="M1258" s="27"/>
      <c r="N1258" s="83">
        <v>583.92999999999995</v>
      </c>
      <c r="P1258" t="str">
        <f>VLOOKUP(B1258,PTN!A:B,2,FALSE)</f>
        <v>UNIVERSITAS JENDERAL SOEDIRMAN</v>
      </c>
      <c r="Q1258" t="str">
        <f t="shared" si="19"/>
        <v>UNIVERSITAS JENDERAL SOEDIRMANBAHASA DAN SASTRA INDONESIA</v>
      </c>
    </row>
    <row r="1259" spans="1:17" ht="15.75" thickBot="1" x14ac:dyDescent="0.3">
      <c r="A1259" s="7">
        <v>1258</v>
      </c>
      <c r="B1259" s="6">
        <v>36</v>
      </c>
      <c r="C1259" s="13">
        <v>3512103</v>
      </c>
      <c r="D1259" t="s">
        <v>311</v>
      </c>
      <c r="E1259" s="13">
        <v>12</v>
      </c>
      <c r="F1259" s="10" t="s">
        <v>13</v>
      </c>
      <c r="I1259" s="87"/>
      <c r="J1259" s="138">
        <v>598.15</v>
      </c>
      <c r="K1259" s="138">
        <v>606.28773000000001</v>
      </c>
      <c r="L1259" s="138">
        <v>590.01226999999994</v>
      </c>
      <c r="M1259" s="28"/>
      <c r="N1259" s="83">
        <v>598.15</v>
      </c>
      <c r="P1259" t="str">
        <f>VLOOKUP(B1259,PTN!A:B,2,FALSE)</f>
        <v>UNIVERSITAS JENDERAL SOEDIRMAN</v>
      </c>
      <c r="Q1259" t="str">
        <f t="shared" si="19"/>
        <v>UNIVERSITAS JENDERAL SOEDIRMANBAHASA DAN SASTRA INGGRIS</v>
      </c>
    </row>
    <row r="1260" spans="1:17" ht="15.75" thickBot="1" x14ac:dyDescent="0.3">
      <c r="A1260" s="7">
        <v>1259</v>
      </c>
      <c r="B1260" s="6">
        <v>36</v>
      </c>
      <c r="C1260" s="12">
        <v>3512126</v>
      </c>
      <c r="D1260" t="s">
        <v>444</v>
      </c>
      <c r="E1260" s="12">
        <v>12</v>
      </c>
      <c r="F1260" s="10" t="s">
        <v>13</v>
      </c>
      <c r="I1260" s="26"/>
      <c r="J1260" s="138">
        <v>591.86</v>
      </c>
      <c r="K1260" s="138">
        <v>599.99773000000005</v>
      </c>
      <c r="L1260" s="138">
        <v>583.72226999999998</v>
      </c>
      <c r="M1260" s="27"/>
      <c r="N1260" s="83">
        <v>591.86</v>
      </c>
      <c r="P1260" t="str">
        <f>VLOOKUP(B1260,PTN!A:B,2,FALSE)</f>
        <v>UNIVERSITAS JENDERAL SOEDIRMAN</v>
      </c>
      <c r="Q1260" t="str">
        <f t="shared" si="19"/>
        <v>UNIVERSITAS JENDERAL SOEDIRMANBAHASA JEPANG</v>
      </c>
    </row>
    <row r="1261" spans="1:17" ht="15.75" thickBot="1" x14ac:dyDescent="0.3">
      <c r="A1261" s="7">
        <v>1260</v>
      </c>
      <c r="B1261" s="6">
        <v>36</v>
      </c>
      <c r="C1261" s="13">
        <v>3512053</v>
      </c>
      <c r="D1261" t="s">
        <v>69</v>
      </c>
      <c r="E1261" s="13">
        <v>24</v>
      </c>
      <c r="F1261" s="10" t="s">
        <v>13</v>
      </c>
      <c r="I1261" s="87"/>
      <c r="J1261" s="138">
        <v>615.5</v>
      </c>
      <c r="K1261" s="138">
        <v>623.63773000000003</v>
      </c>
      <c r="L1261" s="138">
        <v>607.36226999999997</v>
      </c>
      <c r="M1261" s="28"/>
      <c r="N1261" s="83">
        <v>615.5</v>
      </c>
      <c r="P1261" t="str">
        <f>VLOOKUP(B1261,PTN!A:B,2,FALSE)</f>
        <v>UNIVERSITAS JENDERAL SOEDIRMAN</v>
      </c>
      <c r="Q1261" t="str">
        <f t="shared" si="19"/>
        <v>UNIVERSITAS JENDERAL SOEDIRMANEKONOMI PEMBANGUNAN</v>
      </c>
    </row>
    <row r="1262" spans="1:17" ht="15.75" thickBot="1" x14ac:dyDescent="0.3">
      <c r="A1262" s="7">
        <v>1261</v>
      </c>
      <c r="B1262" s="6">
        <v>36</v>
      </c>
      <c r="C1262" s="12">
        <v>3512111</v>
      </c>
      <c r="D1262" t="s">
        <v>223</v>
      </c>
      <c r="E1262" s="12">
        <v>16</v>
      </c>
      <c r="F1262" s="10" t="s">
        <v>13</v>
      </c>
      <c r="I1262" s="26"/>
      <c r="J1262" s="138">
        <v>618.01</v>
      </c>
      <c r="K1262" s="138">
        <v>626.14773000000002</v>
      </c>
      <c r="L1262" s="138">
        <v>609.87226999999996</v>
      </c>
      <c r="M1262" s="27"/>
      <c r="N1262" s="83">
        <v>618.01</v>
      </c>
      <c r="P1262" t="str">
        <f>VLOOKUP(B1262,PTN!A:B,2,FALSE)</f>
        <v>UNIVERSITAS JENDERAL SOEDIRMAN</v>
      </c>
      <c r="Q1262" t="str">
        <f t="shared" si="19"/>
        <v>UNIVERSITAS JENDERAL SOEDIRMANHUBUNGAN INTERNASIONAL</v>
      </c>
    </row>
    <row r="1263" spans="1:17" ht="15.75" thickBot="1" x14ac:dyDescent="0.3">
      <c r="A1263" s="7">
        <v>1262</v>
      </c>
      <c r="B1263" s="6">
        <v>36</v>
      </c>
      <c r="C1263" s="13">
        <v>3512014</v>
      </c>
      <c r="D1263" t="s">
        <v>31</v>
      </c>
      <c r="E1263" s="13">
        <v>70</v>
      </c>
      <c r="F1263" s="10" t="s">
        <v>13</v>
      </c>
      <c r="I1263" s="87"/>
      <c r="J1263" s="138">
        <v>606.9</v>
      </c>
      <c r="K1263" s="138">
        <v>615.03773000000001</v>
      </c>
      <c r="L1263" s="138">
        <v>598.76226999999994</v>
      </c>
      <c r="M1263" s="28"/>
      <c r="N1263" s="83">
        <v>606.9</v>
      </c>
      <c r="P1263" t="str">
        <f>VLOOKUP(B1263,PTN!A:B,2,FALSE)</f>
        <v>UNIVERSITAS JENDERAL SOEDIRMAN</v>
      </c>
      <c r="Q1263" t="str">
        <f t="shared" si="19"/>
        <v>UNIVERSITAS JENDERAL SOEDIRMANILMU HUKUM</v>
      </c>
    </row>
    <row r="1264" spans="1:17" ht="15.75" thickBot="1" x14ac:dyDescent="0.3">
      <c r="A1264" s="7">
        <v>1263</v>
      </c>
      <c r="B1264" s="6">
        <v>36</v>
      </c>
      <c r="C1264" s="12">
        <v>3512076</v>
      </c>
      <c r="D1264" t="s">
        <v>60</v>
      </c>
      <c r="E1264" s="12">
        <v>16</v>
      </c>
      <c r="F1264" s="10" t="s">
        <v>13</v>
      </c>
      <c r="I1264" s="26"/>
      <c r="J1264" s="138">
        <v>614.49</v>
      </c>
      <c r="K1264" s="138">
        <v>622.62773000000004</v>
      </c>
      <c r="L1264" s="138">
        <v>606.35226999999998</v>
      </c>
      <c r="M1264" s="27"/>
      <c r="N1264" s="83">
        <v>614.49</v>
      </c>
      <c r="P1264" t="str">
        <f>VLOOKUP(B1264,PTN!A:B,2,FALSE)</f>
        <v>UNIVERSITAS JENDERAL SOEDIRMAN</v>
      </c>
      <c r="Q1264" t="str">
        <f t="shared" si="19"/>
        <v>UNIVERSITAS JENDERAL SOEDIRMANILMU KOMUNIKASI</v>
      </c>
    </row>
    <row r="1265" spans="1:17" ht="15.75" thickBot="1" x14ac:dyDescent="0.3">
      <c r="A1265" s="7">
        <v>1264</v>
      </c>
      <c r="B1265" s="6">
        <v>36</v>
      </c>
      <c r="C1265" s="13">
        <v>3512084</v>
      </c>
      <c r="D1265" t="s">
        <v>33</v>
      </c>
      <c r="E1265" s="13">
        <v>16</v>
      </c>
      <c r="F1265" s="10" t="s">
        <v>13</v>
      </c>
      <c r="I1265" s="87"/>
      <c r="J1265" s="138">
        <v>601.83000000000004</v>
      </c>
      <c r="K1265" s="138">
        <v>609.96773000000007</v>
      </c>
      <c r="L1265" s="138">
        <v>593.69227000000001</v>
      </c>
      <c r="M1265" s="28"/>
      <c r="N1265" s="83">
        <v>601.83000000000004</v>
      </c>
      <c r="P1265" t="str">
        <f>VLOOKUP(B1265,PTN!A:B,2,FALSE)</f>
        <v>UNIVERSITAS JENDERAL SOEDIRMAN</v>
      </c>
      <c r="Q1265" t="str">
        <f t="shared" si="19"/>
        <v>UNIVERSITAS JENDERAL SOEDIRMANILMU POLITIK</v>
      </c>
    </row>
    <row r="1266" spans="1:17" ht="15.75" thickBot="1" x14ac:dyDescent="0.3">
      <c r="A1266" s="7">
        <v>1265</v>
      </c>
      <c r="B1266" s="6">
        <v>36</v>
      </c>
      <c r="C1266" s="12">
        <v>3512045</v>
      </c>
      <c r="D1266" t="s">
        <v>61</v>
      </c>
      <c r="E1266" s="12">
        <v>24</v>
      </c>
      <c r="F1266" s="10" t="s">
        <v>13</v>
      </c>
      <c r="I1266" s="26"/>
      <c r="J1266" s="138">
        <v>618.16999999999996</v>
      </c>
      <c r="K1266" s="138">
        <v>626.30772999999999</v>
      </c>
      <c r="L1266" s="138">
        <v>610.03226999999993</v>
      </c>
      <c r="M1266" s="27"/>
      <c r="N1266" s="83">
        <v>618.16999999999996</v>
      </c>
      <c r="P1266" t="str">
        <f>VLOOKUP(B1266,PTN!A:B,2,FALSE)</f>
        <v>UNIVERSITAS JENDERAL SOEDIRMAN</v>
      </c>
      <c r="Q1266" t="str">
        <f t="shared" si="19"/>
        <v>UNIVERSITAS JENDERAL SOEDIRMANMANAJEMEN</v>
      </c>
    </row>
    <row r="1267" spans="1:17" ht="15.75" thickBot="1" x14ac:dyDescent="0.3">
      <c r="A1267" s="7">
        <v>1266</v>
      </c>
      <c r="B1267" s="6">
        <v>36</v>
      </c>
      <c r="C1267" s="13">
        <v>3512142</v>
      </c>
      <c r="D1267" t="s">
        <v>99</v>
      </c>
      <c r="E1267" s="13">
        <v>10</v>
      </c>
      <c r="F1267" s="10" t="s">
        <v>13</v>
      </c>
      <c r="I1267" s="87"/>
      <c r="J1267" s="138">
        <v>582.32000000000005</v>
      </c>
      <c r="K1267" s="138">
        <v>590.45773000000008</v>
      </c>
      <c r="L1267" s="138">
        <v>574.18227000000002</v>
      </c>
      <c r="M1267" s="28"/>
      <c r="N1267" s="83">
        <v>582.32000000000005</v>
      </c>
      <c r="P1267" t="str">
        <f>VLOOKUP(B1267,PTN!A:B,2,FALSE)</f>
        <v>UNIVERSITAS JENDERAL SOEDIRMAN</v>
      </c>
      <c r="Q1267" t="str">
        <f t="shared" si="19"/>
        <v>UNIVERSITAS JENDERAL SOEDIRMANPENDIDIKAN BAHASA DAN SASTRA INDONESIA</v>
      </c>
    </row>
    <row r="1268" spans="1:17" ht="15.75" thickBot="1" x14ac:dyDescent="0.3">
      <c r="A1268" s="7">
        <v>1267</v>
      </c>
      <c r="B1268" s="6">
        <v>36</v>
      </c>
      <c r="C1268" s="12">
        <v>3512157</v>
      </c>
      <c r="D1268" t="s">
        <v>71</v>
      </c>
      <c r="E1268" s="12">
        <v>12</v>
      </c>
      <c r="F1268" s="10" t="s">
        <v>13</v>
      </c>
      <c r="I1268" s="26"/>
      <c r="J1268" s="138">
        <v>592.02</v>
      </c>
      <c r="K1268" s="138">
        <v>600.15773000000002</v>
      </c>
      <c r="L1268" s="138">
        <v>583.88226999999995</v>
      </c>
      <c r="M1268" s="27"/>
      <c r="N1268" s="83">
        <v>592.02</v>
      </c>
      <c r="P1268" t="str">
        <f>VLOOKUP(B1268,PTN!A:B,2,FALSE)</f>
        <v>UNIVERSITAS JENDERAL SOEDIRMAN</v>
      </c>
      <c r="Q1268" t="str">
        <f t="shared" si="19"/>
        <v>UNIVERSITAS JENDERAL SOEDIRMANPENDIDIKAN BAHASA INGGRIS</v>
      </c>
    </row>
    <row r="1269" spans="1:17" ht="15.75" thickBot="1" x14ac:dyDescent="0.3">
      <c r="A1269" s="7">
        <v>1268</v>
      </c>
      <c r="B1269" s="6">
        <v>36</v>
      </c>
      <c r="C1269" s="13">
        <v>3512134</v>
      </c>
      <c r="D1269" t="s">
        <v>100</v>
      </c>
      <c r="E1269" s="13">
        <v>10</v>
      </c>
      <c r="F1269" s="10" t="s">
        <v>13</v>
      </c>
      <c r="I1269" s="87"/>
      <c r="J1269" s="138">
        <v>580.42999999999995</v>
      </c>
      <c r="K1269" s="138">
        <v>588.56772999999998</v>
      </c>
      <c r="L1269" s="138">
        <v>572.29226999999992</v>
      </c>
      <c r="M1269" s="28"/>
      <c r="N1269" s="83">
        <v>580.42999999999995</v>
      </c>
      <c r="P1269" t="str">
        <f>VLOOKUP(B1269,PTN!A:B,2,FALSE)</f>
        <v>UNIVERSITAS JENDERAL SOEDIRMAN</v>
      </c>
      <c r="Q1269" t="str">
        <f t="shared" si="19"/>
        <v>UNIVERSITAS JENDERAL SOEDIRMANPENDIDIKAN EKONOMI</v>
      </c>
    </row>
    <row r="1270" spans="1:17" ht="15.75" thickBot="1" x14ac:dyDescent="0.3">
      <c r="A1270" s="7">
        <v>1269</v>
      </c>
      <c r="B1270" s="6">
        <v>36</v>
      </c>
      <c r="C1270" s="14">
        <v>3512022</v>
      </c>
      <c r="D1270" t="s">
        <v>63</v>
      </c>
      <c r="E1270" s="14">
        <v>24</v>
      </c>
      <c r="F1270" s="10" t="s">
        <v>13</v>
      </c>
      <c r="I1270" s="26"/>
      <c r="J1270" s="138">
        <v>596.73</v>
      </c>
      <c r="K1270" s="138">
        <v>604.86773000000005</v>
      </c>
      <c r="L1270" s="138">
        <v>588.59226999999998</v>
      </c>
      <c r="M1270" s="27"/>
      <c r="N1270" s="83">
        <v>596.73</v>
      </c>
      <c r="P1270" t="str">
        <f>VLOOKUP(B1270,PTN!A:B,2,FALSE)</f>
        <v>UNIVERSITAS JENDERAL SOEDIRMAN</v>
      </c>
      <c r="Q1270" t="str">
        <f t="shared" si="19"/>
        <v>UNIVERSITAS JENDERAL SOEDIRMANSOSIOLOGI</v>
      </c>
    </row>
    <row r="1271" spans="1:17" ht="16.5" thickTop="1" thickBot="1" x14ac:dyDescent="0.3">
      <c r="A1271" s="7">
        <v>1270</v>
      </c>
      <c r="B1271" s="6">
        <v>41</v>
      </c>
      <c r="C1271" s="12">
        <v>3561126</v>
      </c>
      <c r="D1271" t="s">
        <v>21</v>
      </c>
      <c r="E1271" s="12">
        <v>24</v>
      </c>
      <c r="F1271" s="10" t="s">
        <v>20</v>
      </c>
      <c r="I1271" s="20"/>
      <c r="J1271" s="138">
        <v>600.51</v>
      </c>
      <c r="K1271" s="138">
        <v>606.38</v>
      </c>
      <c r="L1271" s="138">
        <v>594.64</v>
      </c>
      <c r="M1271" s="21"/>
      <c r="N1271" s="83">
        <v>600.51</v>
      </c>
      <c r="P1271" t="str">
        <f>VLOOKUP(B1271,PTN!A:B,2,FALSE)</f>
        <v>UNIVERSITAS NEGERI SEMARANG</v>
      </c>
      <c r="Q1271" t="str">
        <f t="shared" si="19"/>
        <v>UNIVERSITAS NEGERI SEMARANGBIOLOGI</v>
      </c>
    </row>
    <row r="1272" spans="1:17" ht="15.75" thickBot="1" x14ac:dyDescent="0.3">
      <c r="A1272" s="7">
        <v>1271</v>
      </c>
      <c r="B1272" s="6">
        <v>41</v>
      </c>
      <c r="C1272" s="13">
        <v>3561262</v>
      </c>
      <c r="D1272" t="s">
        <v>77</v>
      </c>
      <c r="E1272" s="13">
        <v>12</v>
      </c>
      <c r="F1272" s="10" t="s">
        <v>20</v>
      </c>
      <c r="I1272" s="22"/>
      <c r="J1272" s="138">
        <v>626.17999999999995</v>
      </c>
      <c r="K1272" s="138">
        <v>633.43999999999994</v>
      </c>
      <c r="L1272" s="138">
        <v>618.91999999999996</v>
      </c>
      <c r="M1272" s="21"/>
      <c r="N1272" s="83">
        <v>626.17999999999995</v>
      </c>
      <c r="P1272" t="str">
        <f>VLOOKUP(B1272,PTN!A:B,2,FALSE)</f>
        <v>UNIVERSITAS NEGERI SEMARANG</v>
      </c>
      <c r="Q1272" t="str">
        <f t="shared" si="19"/>
        <v>UNIVERSITAS NEGERI SEMARANGFARMASI</v>
      </c>
    </row>
    <row r="1273" spans="1:17" ht="16.5" thickTop="1" thickBot="1" x14ac:dyDescent="0.3">
      <c r="A1273" s="7">
        <v>1272</v>
      </c>
      <c r="B1273" s="6">
        <v>41</v>
      </c>
      <c r="C1273" s="12">
        <v>3561103</v>
      </c>
      <c r="D1273" t="s">
        <v>65</v>
      </c>
      <c r="E1273" s="12">
        <v>24</v>
      </c>
      <c r="F1273" s="10" t="s">
        <v>20</v>
      </c>
      <c r="I1273" s="23"/>
      <c r="J1273" s="138">
        <v>596.61</v>
      </c>
      <c r="K1273" s="138">
        <v>602.61</v>
      </c>
      <c r="L1273" s="138">
        <v>590.61</v>
      </c>
      <c r="M1273" s="25"/>
      <c r="N1273" s="83">
        <v>596.61</v>
      </c>
      <c r="P1273" t="str">
        <f>VLOOKUP(B1273,PTN!A:B,2,FALSE)</f>
        <v>UNIVERSITAS NEGERI SEMARANG</v>
      </c>
      <c r="Q1273" t="str">
        <f t="shared" si="19"/>
        <v>UNIVERSITAS NEGERI SEMARANGFISIKA</v>
      </c>
    </row>
    <row r="1274" spans="1:17" ht="16.5" thickTop="1" thickBot="1" x14ac:dyDescent="0.3">
      <c r="A1274" s="7">
        <v>1273</v>
      </c>
      <c r="B1274" s="6">
        <v>41</v>
      </c>
      <c r="C1274" s="13">
        <v>3561231</v>
      </c>
      <c r="D1274" t="s">
        <v>113</v>
      </c>
      <c r="E1274" s="13">
        <v>36</v>
      </c>
      <c r="F1274" s="10" t="s">
        <v>20</v>
      </c>
      <c r="I1274" s="26"/>
      <c r="J1274" s="138">
        <v>608.74</v>
      </c>
      <c r="K1274" s="138">
        <v>615.29499999999996</v>
      </c>
      <c r="L1274" s="138">
        <v>602.18500000000006</v>
      </c>
      <c r="M1274" s="27"/>
      <c r="N1274" s="83">
        <v>608.74</v>
      </c>
      <c r="P1274" t="str">
        <f>VLOOKUP(B1274,PTN!A:B,2,FALSE)</f>
        <v>UNIVERSITAS NEGERI SEMARANG</v>
      </c>
      <c r="Q1274" t="str">
        <f t="shared" si="19"/>
        <v>UNIVERSITAS NEGERI SEMARANGGIZI</v>
      </c>
    </row>
    <row r="1275" spans="1:17" ht="15.75" thickBot="1" x14ac:dyDescent="0.3">
      <c r="A1275" s="7">
        <v>1274</v>
      </c>
      <c r="B1275" s="6">
        <v>41</v>
      </c>
      <c r="C1275" s="12">
        <v>3561084</v>
      </c>
      <c r="D1275" t="s">
        <v>114</v>
      </c>
      <c r="E1275" s="12">
        <v>36</v>
      </c>
      <c r="F1275" s="10" t="s">
        <v>20</v>
      </c>
      <c r="I1275" s="87"/>
      <c r="J1275" s="138" t="s">
        <v>1292</v>
      </c>
      <c r="K1275" s="138" t="s">
        <v>1292</v>
      </c>
      <c r="L1275" s="138" t="s">
        <v>1292</v>
      </c>
      <c r="M1275" s="28"/>
      <c r="N1275" s="83" t="s">
        <v>1292</v>
      </c>
      <c r="P1275" t="str">
        <f>VLOOKUP(B1275,PTN!A:B,2,FALSE)</f>
        <v>UNIVERSITAS NEGERI SEMARANG</v>
      </c>
      <c r="Q1275" t="str">
        <f t="shared" si="19"/>
        <v>UNIVERSITAS NEGERI SEMARANGILMU KEOLAHRAGAAN</v>
      </c>
    </row>
    <row r="1276" spans="1:17" ht="15.75" thickBot="1" x14ac:dyDescent="0.3">
      <c r="A1276" s="7">
        <v>1275</v>
      </c>
      <c r="B1276" s="6">
        <v>41</v>
      </c>
      <c r="C1276" s="13">
        <v>3561254</v>
      </c>
      <c r="D1276" t="s">
        <v>445</v>
      </c>
      <c r="E1276" s="13">
        <v>12</v>
      </c>
      <c r="F1276" s="10" t="s">
        <v>20</v>
      </c>
      <c r="I1276" s="26"/>
      <c r="J1276" s="138" t="s">
        <v>1292</v>
      </c>
      <c r="K1276" s="138" t="s">
        <v>1292</v>
      </c>
      <c r="L1276" s="138" t="s">
        <v>1292</v>
      </c>
      <c r="M1276" s="27"/>
      <c r="N1276" s="83" t="s">
        <v>1292</v>
      </c>
      <c r="P1276" t="str">
        <f>VLOOKUP(B1276,PTN!A:B,2,FALSE)</f>
        <v>UNIVERSITAS NEGERI SEMARANG</v>
      </c>
      <c r="Q1276" t="str">
        <f t="shared" si="19"/>
        <v>UNIVERSITAS NEGERI SEMARANGILMU LINGKUNGAN</v>
      </c>
    </row>
    <row r="1277" spans="1:17" ht="15.75" thickBot="1" x14ac:dyDescent="0.3">
      <c r="A1277" s="7">
        <v>1276</v>
      </c>
      <c r="B1277" s="6">
        <v>41</v>
      </c>
      <c r="C1277" s="12">
        <v>3561134</v>
      </c>
      <c r="D1277" t="s">
        <v>107</v>
      </c>
      <c r="E1277" s="12">
        <v>54</v>
      </c>
      <c r="F1277" s="10" t="s">
        <v>20</v>
      </c>
      <c r="I1277" s="87"/>
      <c r="J1277" s="138">
        <v>604.65</v>
      </c>
      <c r="K1277" s="138">
        <v>610.47</v>
      </c>
      <c r="L1277" s="138">
        <v>598.82999999999993</v>
      </c>
      <c r="M1277" s="28"/>
      <c r="N1277" s="83">
        <v>604.65</v>
      </c>
      <c r="P1277" t="str">
        <f>VLOOKUP(B1277,PTN!A:B,2,FALSE)</f>
        <v>UNIVERSITAS NEGERI SEMARANG</v>
      </c>
      <c r="Q1277" t="str">
        <f t="shared" si="19"/>
        <v>UNIVERSITAS NEGERI SEMARANGKESEHATAN MASYARAKAT</v>
      </c>
    </row>
    <row r="1278" spans="1:17" ht="15.75" thickBot="1" x14ac:dyDescent="0.3">
      <c r="A1278" s="7">
        <v>1277</v>
      </c>
      <c r="B1278" s="6">
        <v>41</v>
      </c>
      <c r="C1278" s="13">
        <v>3561111</v>
      </c>
      <c r="D1278" t="s">
        <v>22</v>
      </c>
      <c r="E1278" s="13">
        <v>24</v>
      </c>
      <c r="F1278" s="10" t="s">
        <v>20</v>
      </c>
      <c r="I1278" s="26"/>
      <c r="J1278" s="138">
        <v>609</v>
      </c>
      <c r="K1278" s="138">
        <v>615.83500000000004</v>
      </c>
      <c r="L1278" s="138">
        <v>602.16499999999996</v>
      </c>
      <c r="M1278" s="27"/>
      <c r="N1278" s="83">
        <v>609</v>
      </c>
      <c r="P1278" t="str">
        <f>VLOOKUP(B1278,PTN!A:B,2,FALSE)</f>
        <v>UNIVERSITAS NEGERI SEMARANG</v>
      </c>
      <c r="Q1278" t="str">
        <f t="shared" si="19"/>
        <v>UNIVERSITAS NEGERI SEMARANGKIMIA</v>
      </c>
    </row>
    <row r="1279" spans="1:17" ht="15.75" thickBot="1" x14ac:dyDescent="0.3">
      <c r="A1279" s="7">
        <v>1278</v>
      </c>
      <c r="B1279" s="6">
        <v>41</v>
      </c>
      <c r="C1279" s="12">
        <v>3561092</v>
      </c>
      <c r="D1279" t="s">
        <v>66</v>
      </c>
      <c r="E1279" s="12">
        <v>14</v>
      </c>
      <c r="F1279" s="10" t="s">
        <v>20</v>
      </c>
      <c r="I1279" s="87"/>
      <c r="J1279" s="138">
        <v>619.16999999999996</v>
      </c>
      <c r="K1279" s="138">
        <v>628.56999999999994</v>
      </c>
      <c r="L1279" s="138">
        <v>609.77</v>
      </c>
      <c r="M1279" s="28"/>
      <c r="N1279" s="83">
        <v>619.16999999999996</v>
      </c>
      <c r="P1279" t="str">
        <f>VLOOKUP(B1279,PTN!A:B,2,FALSE)</f>
        <v>UNIVERSITAS NEGERI SEMARANG</v>
      </c>
      <c r="Q1279" t="str">
        <f t="shared" si="19"/>
        <v>UNIVERSITAS NEGERI SEMARANGMATEMATIKA</v>
      </c>
    </row>
    <row r="1280" spans="1:17" ht="15.75" thickBot="1" x14ac:dyDescent="0.3">
      <c r="A1280" s="7">
        <v>1279</v>
      </c>
      <c r="B1280" s="6">
        <v>41</v>
      </c>
      <c r="C1280" s="13">
        <v>3561045</v>
      </c>
      <c r="D1280" t="s">
        <v>67</v>
      </c>
      <c r="E1280" s="13">
        <v>32</v>
      </c>
      <c r="F1280" s="10" t="s">
        <v>20</v>
      </c>
      <c r="I1280" s="26"/>
      <c r="J1280" s="138">
        <v>598.91999999999996</v>
      </c>
      <c r="K1280" s="138">
        <v>605.9</v>
      </c>
      <c r="L1280" s="138">
        <v>591.93999999999994</v>
      </c>
      <c r="M1280" s="27"/>
      <c r="N1280" s="83">
        <v>598.91999999999996</v>
      </c>
      <c r="P1280" t="str">
        <f>VLOOKUP(B1280,PTN!A:B,2,FALSE)</f>
        <v>UNIVERSITAS NEGERI SEMARANG</v>
      </c>
      <c r="Q1280" t="str">
        <f t="shared" si="19"/>
        <v>UNIVERSITAS NEGERI SEMARANGPENDIDIKAN BIOLOGI</v>
      </c>
    </row>
    <row r="1281" spans="1:17" ht="15.75" thickBot="1" x14ac:dyDescent="0.3">
      <c r="A1281" s="7">
        <v>1280</v>
      </c>
      <c r="B1281" s="6">
        <v>41</v>
      </c>
      <c r="C1281" s="12">
        <v>3561022</v>
      </c>
      <c r="D1281" t="s">
        <v>42</v>
      </c>
      <c r="E1281" s="12">
        <v>32</v>
      </c>
      <c r="F1281" s="10" t="s">
        <v>20</v>
      </c>
      <c r="I1281" s="87"/>
      <c r="J1281" s="138">
        <v>596.48</v>
      </c>
      <c r="K1281" s="138">
        <v>602.67000000000007</v>
      </c>
      <c r="L1281" s="138">
        <v>590.29</v>
      </c>
      <c r="M1281" s="28"/>
      <c r="N1281" s="83">
        <v>596.48</v>
      </c>
      <c r="P1281" t="str">
        <f>VLOOKUP(B1281,PTN!A:B,2,FALSE)</f>
        <v>UNIVERSITAS NEGERI SEMARANG</v>
      </c>
      <c r="Q1281" t="str">
        <f t="shared" si="19"/>
        <v>UNIVERSITAS NEGERI SEMARANGPENDIDIKAN FISIKA</v>
      </c>
    </row>
    <row r="1282" spans="1:17" ht="15.75" thickBot="1" x14ac:dyDescent="0.3">
      <c r="A1282" s="7">
        <v>1281</v>
      </c>
      <c r="B1282" s="6">
        <v>41</v>
      </c>
      <c r="C1282" s="13">
        <v>3561142</v>
      </c>
      <c r="D1282" t="s">
        <v>115</v>
      </c>
      <c r="E1282" s="13">
        <v>24</v>
      </c>
      <c r="F1282" s="10" t="s">
        <v>20</v>
      </c>
      <c r="I1282" s="26"/>
      <c r="J1282" s="138">
        <v>594.6</v>
      </c>
      <c r="K1282" s="138">
        <v>601.12</v>
      </c>
      <c r="L1282" s="138">
        <v>588.08000000000004</v>
      </c>
      <c r="M1282" s="27"/>
      <c r="N1282" s="83">
        <v>594.6</v>
      </c>
      <c r="P1282" t="str">
        <f>VLOOKUP(B1282,PTN!A:B,2,FALSE)</f>
        <v>UNIVERSITAS NEGERI SEMARANG</v>
      </c>
      <c r="Q1282" t="str">
        <f t="shared" si="19"/>
        <v>UNIVERSITAS NEGERI SEMARANGPENDIDIKAN IPA</v>
      </c>
    </row>
    <row r="1283" spans="1:17" ht="15.75" thickBot="1" x14ac:dyDescent="0.3">
      <c r="A1283" s="7">
        <v>1282</v>
      </c>
      <c r="B1283" s="6">
        <v>41</v>
      </c>
      <c r="C1283" s="12">
        <v>3561037</v>
      </c>
      <c r="D1283" t="s">
        <v>43</v>
      </c>
      <c r="E1283" s="12">
        <v>32</v>
      </c>
      <c r="F1283" s="10" t="s">
        <v>20</v>
      </c>
      <c r="I1283" s="87"/>
      <c r="J1283" s="138">
        <v>599.5</v>
      </c>
      <c r="K1283" s="138">
        <v>605.95500000000004</v>
      </c>
      <c r="L1283" s="138">
        <v>593.04499999999996</v>
      </c>
      <c r="M1283" s="28"/>
      <c r="N1283" s="83">
        <v>599.5</v>
      </c>
      <c r="P1283" t="str">
        <f>VLOOKUP(B1283,PTN!A:B,2,FALSE)</f>
        <v>UNIVERSITAS NEGERI SEMARANG</v>
      </c>
      <c r="Q1283" t="str">
        <f t="shared" ref="Q1283:Q1346" si="20">P1283&amp;D1283</f>
        <v>UNIVERSITAS NEGERI SEMARANGPENDIDIKAN KIMIA</v>
      </c>
    </row>
    <row r="1284" spans="1:17" ht="15.75" thickBot="1" x14ac:dyDescent="0.3">
      <c r="A1284" s="7">
        <v>1283</v>
      </c>
      <c r="B1284" s="6">
        <v>41</v>
      </c>
      <c r="C1284" s="13">
        <v>3561014</v>
      </c>
      <c r="D1284" t="s">
        <v>44</v>
      </c>
      <c r="E1284" s="13">
        <v>57</v>
      </c>
      <c r="F1284" s="10" t="s">
        <v>20</v>
      </c>
      <c r="I1284" s="26"/>
      <c r="J1284" s="138">
        <v>617.21</v>
      </c>
      <c r="K1284" s="138">
        <v>625.67500000000007</v>
      </c>
      <c r="L1284" s="138">
        <v>608.745</v>
      </c>
      <c r="M1284" s="27"/>
      <c r="N1284" s="83">
        <v>617.21</v>
      </c>
      <c r="P1284" t="str">
        <f>VLOOKUP(B1284,PTN!A:B,2,FALSE)</f>
        <v>UNIVERSITAS NEGERI SEMARANG</v>
      </c>
      <c r="Q1284" t="str">
        <f t="shared" si="20"/>
        <v>UNIVERSITAS NEGERI SEMARANGPENDIDIKAN MATEMATIKA</v>
      </c>
    </row>
    <row r="1285" spans="1:17" ht="15.75" thickBot="1" x14ac:dyDescent="0.3">
      <c r="A1285" s="7">
        <v>1284</v>
      </c>
      <c r="B1285" s="6">
        <v>41</v>
      </c>
      <c r="C1285" s="12">
        <v>3561053</v>
      </c>
      <c r="D1285" t="s">
        <v>116</v>
      </c>
      <c r="E1285" s="12">
        <v>18</v>
      </c>
      <c r="F1285" s="10" t="s">
        <v>20</v>
      </c>
      <c r="I1285" s="87"/>
      <c r="J1285" s="138" t="s">
        <v>1292</v>
      </c>
      <c r="K1285" s="138" t="s">
        <v>1292</v>
      </c>
      <c r="L1285" s="138" t="s">
        <v>1292</v>
      </c>
      <c r="M1285" s="28"/>
      <c r="N1285" s="83" t="s">
        <v>1292</v>
      </c>
      <c r="P1285" t="str">
        <f>VLOOKUP(B1285,PTN!A:B,2,FALSE)</f>
        <v>UNIVERSITAS NEGERI SEMARANG</v>
      </c>
      <c r="Q1285" t="str">
        <f t="shared" si="20"/>
        <v>UNIVERSITAS NEGERI SEMARANGPENDIDIKAN TEKNIK BANGUNAN</v>
      </c>
    </row>
    <row r="1286" spans="1:17" ht="15.75" thickBot="1" x14ac:dyDescent="0.3">
      <c r="A1286" s="7">
        <v>1285</v>
      </c>
      <c r="B1286" s="6">
        <v>41</v>
      </c>
      <c r="C1286" s="13">
        <v>3561076</v>
      </c>
      <c r="D1286" t="s">
        <v>23</v>
      </c>
      <c r="E1286" s="13">
        <v>18</v>
      </c>
      <c r="F1286" s="10" t="s">
        <v>20</v>
      </c>
      <c r="I1286" s="26"/>
      <c r="J1286" s="138" t="s">
        <v>1292</v>
      </c>
      <c r="K1286" s="138" t="s">
        <v>1292</v>
      </c>
      <c r="L1286" s="138" t="s">
        <v>1292</v>
      </c>
      <c r="M1286" s="27"/>
      <c r="N1286" s="83" t="s">
        <v>1292</v>
      </c>
      <c r="P1286" t="str">
        <f>VLOOKUP(B1286,PTN!A:B,2,FALSE)</f>
        <v>UNIVERSITAS NEGERI SEMARANG</v>
      </c>
      <c r="Q1286" t="str">
        <f t="shared" si="20"/>
        <v>UNIVERSITAS NEGERI SEMARANGPENDIDIKAN TEKNIK ELEKTRO</v>
      </c>
    </row>
    <row r="1287" spans="1:17" ht="15.75" thickBot="1" x14ac:dyDescent="0.3">
      <c r="A1287" s="7">
        <v>1286</v>
      </c>
      <c r="B1287" s="6">
        <v>41</v>
      </c>
      <c r="C1287" s="12">
        <v>3561061</v>
      </c>
      <c r="D1287" t="s">
        <v>45</v>
      </c>
      <c r="E1287" s="12">
        <v>27</v>
      </c>
      <c r="F1287" s="10" t="s">
        <v>20</v>
      </c>
      <c r="I1287" s="87"/>
      <c r="J1287" s="138" t="s">
        <v>1292</v>
      </c>
      <c r="K1287" s="138" t="s">
        <v>1292</v>
      </c>
      <c r="L1287" s="138" t="s">
        <v>1292</v>
      </c>
      <c r="M1287" s="28"/>
      <c r="N1287" s="83" t="s">
        <v>1292</v>
      </c>
      <c r="P1287" t="str">
        <f>VLOOKUP(B1287,PTN!A:B,2,FALSE)</f>
        <v>UNIVERSITAS NEGERI SEMARANG</v>
      </c>
      <c r="Q1287" t="str">
        <f t="shared" si="20"/>
        <v>UNIVERSITAS NEGERI SEMARANGPENDIDIKAN TEKNIK MESIN</v>
      </c>
    </row>
    <row r="1288" spans="1:17" ht="15.75" thickBot="1" x14ac:dyDescent="0.3">
      <c r="A1288" s="7">
        <v>1287</v>
      </c>
      <c r="B1288" s="6">
        <v>41</v>
      </c>
      <c r="C1288" s="13">
        <v>3561173</v>
      </c>
      <c r="D1288" t="s">
        <v>117</v>
      </c>
      <c r="E1288" s="13">
        <v>27</v>
      </c>
      <c r="F1288" s="10" t="s">
        <v>20</v>
      </c>
      <c r="I1288" s="26"/>
      <c r="J1288" s="138" t="s">
        <v>1292</v>
      </c>
      <c r="K1288" s="138" t="s">
        <v>1292</v>
      </c>
      <c r="L1288" s="138" t="s">
        <v>1292</v>
      </c>
      <c r="M1288" s="27"/>
      <c r="N1288" s="83" t="s">
        <v>1292</v>
      </c>
      <c r="P1288" t="str">
        <f>VLOOKUP(B1288,PTN!A:B,2,FALSE)</f>
        <v>UNIVERSITAS NEGERI SEMARANG</v>
      </c>
      <c r="Q1288" t="str">
        <f t="shared" si="20"/>
        <v>UNIVERSITAS NEGERI SEMARANGPENDIDIKAN TEKNIK OTOMOTIF</v>
      </c>
    </row>
    <row r="1289" spans="1:17" ht="15.75" thickBot="1" x14ac:dyDescent="0.3">
      <c r="A1289" s="7">
        <v>1288</v>
      </c>
      <c r="B1289" s="6">
        <v>41</v>
      </c>
      <c r="C1289" s="12">
        <v>3561157</v>
      </c>
      <c r="D1289" t="s">
        <v>446</v>
      </c>
      <c r="E1289" s="12">
        <v>18</v>
      </c>
      <c r="F1289" s="10" t="s">
        <v>20</v>
      </c>
      <c r="I1289" s="87"/>
      <c r="J1289" s="138" t="s">
        <v>1292</v>
      </c>
      <c r="K1289" s="138" t="s">
        <v>1292</v>
      </c>
      <c r="L1289" s="138" t="s">
        <v>1292</v>
      </c>
      <c r="M1289" s="28"/>
      <c r="N1289" s="83" t="s">
        <v>1292</v>
      </c>
      <c r="P1289" t="str">
        <f>VLOOKUP(B1289,PTN!A:B,2,FALSE)</f>
        <v>UNIVERSITAS NEGERI SEMARANG</v>
      </c>
      <c r="Q1289" t="str">
        <f t="shared" si="20"/>
        <v>UNIVERSITAS NEGERI SEMARANGPEND. TEKNIK INFORMATIKA &amp; KOMPUTER</v>
      </c>
    </row>
    <row r="1290" spans="1:17" ht="15.75" thickBot="1" x14ac:dyDescent="0.3">
      <c r="A1290" s="7">
        <v>1289</v>
      </c>
      <c r="B1290" s="6">
        <v>41</v>
      </c>
      <c r="C1290" s="13">
        <v>3561246</v>
      </c>
      <c r="D1290" t="s">
        <v>46</v>
      </c>
      <c r="E1290" s="13">
        <v>12</v>
      </c>
      <c r="F1290" s="10" t="s">
        <v>20</v>
      </c>
      <c r="I1290" s="26"/>
      <c r="J1290" s="138">
        <v>602.64</v>
      </c>
      <c r="K1290" s="138">
        <v>607.27499999999998</v>
      </c>
      <c r="L1290" s="138">
        <v>598.005</v>
      </c>
      <c r="M1290" s="27"/>
      <c r="N1290" s="83">
        <v>602.64</v>
      </c>
      <c r="P1290" t="str">
        <f>VLOOKUP(B1290,PTN!A:B,2,FALSE)</f>
        <v>UNIVERSITAS NEGERI SEMARANG</v>
      </c>
      <c r="Q1290" t="str">
        <f t="shared" si="20"/>
        <v>UNIVERSITAS NEGERI SEMARANGSISTEM INFORMASI</v>
      </c>
    </row>
    <row r="1291" spans="1:17" ht="15.75" thickBot="1" x14ac:dyDescent="0.3">
      <c r="A1291" s="7">
        <v>1290</v>
      </c>
      <c r="B1291" s="6">
        <v>41</v>
      </c>
      <c r="C1291" s="12">
        <v>3561165</v>
      </c>
      <c r="D1291" t="s">
        <v>47</v>
      </c>
      <c r="E1291" s="12">
        <v>18</v>
      </c>
      <c r="F1291" s="10" t="s">
        <v>20</v>
      </c>
      <c r="I1291" s="87"/>
      <c r="J1291" s="138">
        <v>610.16</v>
      </c>
      <c r="K1291" s="138">
        <v>616.63</v>
      </c>
      <c r="L1291" s="138">
        <v>603.68999999999994</v>
      </c>
      <c r="M1291" s="28"/>
      <c r="N1291" s="83">
        <v>610.16</v>
      </c>
      <c r="P1291" t="str">
        <f>VLOOKUP(B1291,PTN!A:B,2,FALSE)</f>
        <v>UNIVERSITAS NEGERI SEMARANG</v>
      </c>
      <c r="Q1291" t="str">
        <f t="shared" si="20"/>
        <v>UNIVERSITAS NEGERI SEMARANGTEKNIK ARSITEKTUR</v>
      </c>
    </row>
    <row r="1292" spans="1:17" ht="15.75" thickBot="1" x14ac:dyDescent="0.3">
      <c r="A1292" s="7">
        <v>1291</v>
      </c>
      <c r="B1292" s="6">
        <v>41</v>
      </c>
      <c r="C1292" s="13">
        <v>3561223</v>
      </c>
      <c r="D1292" t="s">
        <v>48</v>
      </c>
      <c r="E1292" s="13">
        <v>12</v>
      </c>
      <c r="F1292" s="10" t="s">
        <v>20</v>
      </c>
      <c r="I1292" s="26"/>
      <c r="J1292" s="138">
        <v>608.05999999999995</v>
      </c>
      <c r="K1292" s="138">
        <v>614.6099999999999</v>
      </c>
      <c r="L1292" s="138">
        <v>601.51</v>
      </c>
      <c r="M1292" s="27"/>
      <c r="N1292" s="83">
        <v>608.05999999999995</v>
      </c>
      <c r="P1292" t="str">
        <f>VLOOKUP(B1292,PTN!A:B,2,FALSE)</f>
        <v>UNIVERSITAS NEGERI SEMARANG</v>
      </c>
      <c r="Q1292" t="str">
        <f t="shared" si="20"/>
        <v>UNIVERSITAS NEGERI SEMARANGTEKNIK ELEKTRO</v>
      </c>
    </row>
    <row r="1293" spans="1:17" ht="15.75" thickBot="1" x14ac:dyDescent="0.3">
      <c r="A1293" s="7">
        <v>1292</v>
      </c>
      <c r="B1293" s="6">
        <v>41</v>
      </c>
      <c r="C1293" s="12">
        <v>3561215</v>
      </c>
      <c r="D1293" t="s">
        <v>50</v>
      </c>
      <c r="E1293" s="12">
        <v>24</v>
      </c>
      <c r="F1293" s="10" t="s">
        <v>20</v>
      </c>
      <c r="I1293" s="87"/>
      <c r="J1293" s="138">
        <v>627.1</v>
      </c>
      <c r="K1293" s="138">
        <v>634.34500000000003</v>
      </c>
      <c r="L1293" s="138">
        <v>619.85500000000002</v>
      </c>
      <c r="M1293" s="28"/>
      <c r="N1293" s="83">
        <v>627.1</v>
      </c>
      <c r="P1293" t="str">
        <f>VLOOKUP(B1293,PTN!A:B,2,FALSE)</f>
        <v>UNIVERSITAS NEGERI SEMARANG</v>
      </c>
      <c r="Q1293" t="str">
        <f t="shared" si="20"/>
        <v>UNIVERSITAS NEGERI SEMARANGTEKNIK INFORMATIKA</v>
      </c>
    </row>
    <row r="1294" spans="1:17" ht="15.75" thickBot="1" x14ac:dyDescent="0.3">
      <c r="A1294" s="7">
        <v>1293</v>
      </c>
      <c r="B1294" s="6">
        <v>41</v>
      </c>
      <c r="C1294" s="13">
        <v>3561181</v>
      </c>
      <c r="D1294" t="s">
        <v>51</v>
      </c>
      <c r="E1294" s="13">
        <v>32</v>
      </c>
      <c r="F1294" s="10" t="s">
        <v>20</v>
      </c>
      <c r="I1294" s="26"/>
      <c r="J1294" s="138">
        <v>618.15</v>
      </c>
      <c r="K1294" s="138">
        <v>624.57999999999993</v>
      </c>
      <c r="L1294" s="138">
        <v>611.72</v>
      </c>
      <c r="M1294" s="27"/>
      <c r="N1294" s="83">
        <v>618.15</v>
      </c>
      <c r="P1294" t="str">
        <f>VLOOKUP(B1294,PTN!A:B,2,FALSE)</f>
        <v>UNIVERSITAS NEGERI SEMARANG</v>
      </c>
      <c r="Q1294" t="str">
        <f t="shared" si="20"/>
        <v>UNIVERSITAS NEGERI SEMARANGTEKNIK KIMIA</v>
      </c>
    </row>
    <row r="1295" spans="1:17" ht="15.75" thickBot="1" x14ac:dyDescent="0.3">
      <c r="A1295" s="7">
        <v>1294</v>
      </c>
      <c r="B1295" s="6">
        <v>41</v>
      </c>
      <c r="C1295" s="12">
        <v>3561196</v>
      </c>
      <c r="D1295" t="s">
        <v>53</v>
      </c>
      <c r="E1295" s="12">
        <v>18</v>
      </c>
      <c r="F1295" s="10" t="s">
        <v>20</v>
      </c>
      <c r="I1295" s="87"/>
      <c r="J1295" s="138">
        <v>601.09</v>
      </c>
      <c r="K1295" s="138">
        <v>607</v>
      </c>
      <c r="L1295" s="138">
        <v>595.18000000000006</v>
      </c>
      <c r="M1295" s="28"/>
      <c r="N1295" s="83">
        <v>601.09</v>
      </c>
      <c r="P1295" t="str">
        <f>VLOOKUP(B1295,PTN!A:B,2,FALSE)</f>
        <v>UNIVERSITAS NEGERI SEMARANG</v>
      </c>
      <c r="Q1295" t="str">
        <f t="shared" si="20"/>
        <v>UNIVERSITAS NEGERI SEMARANGTEKNIK MESIN</v>
      </c>
    </row>
    <row r="1296" spans="1:17" ht="15.75" thickBot="1" x14ac:dyDescent="0.3">
      <c r="A1296" s="7">
        <v>1295</v>
      </c>
      <c r="B1296" s="6">
        <v>41</v>
      </c>
      <c r="C1296" s="16">
        <v>3561207</v>
      </c>
      <c r="D1296" t="s">
        <v>54</v>
      </c>
      <c r="E1296" s="16">
        <v>24</v>
      </c>
      <c r="F1296" s="10" t="s">
        <v>20</v>
      </c>
      <c r="I1296" s="26"/>
      <c r="J1296" s="138">
        <v>618.91</v>
      </c>
      <c r="K1296" s="138">
        <v>624.56999999999994</v>
      </c>
      <c r="L1296" s="138">
        <v>613.25</v>
      </c>
      <c r="M1296" s="27"/>
      <c r="N1296" s="83">
        <v>618.91</v>
      </c>
      <c r="P1296" t="str">
        <f>VLOOKUP(B1296,PTN!A:B,2,FALSE)</f>
        <v>UNIVERSITAS NEGERI SEMARANG</v>
      </c>
      <c r="Q1296" t="str">
        <f t="shared" si="20"/>
        <v>UNIVERSITAS NEGERI SEMARANGTEKNIK SIPIL</v>
      </c>
    </row>
    <row r="1297" spans="1:17" ht="16.5" thickTop="1" thickBot="1" x14ac:dyDescent="0.3">
      <c r="A1297" s="7">
        <v>1296</v>
      </c>
      <c r="B1297" s="6">
        <v>41</v>
      </c>
      <c r="C1297" s="12">
        <v>3562176</v>
      </c>
      <c r="D1297" t="s">
        <v>55</v>
      </c>
      <c r="E1297" s="12">
        <v>72</v>
      </c>
      <c r="F1297" s="10" t="s">
        <v>13</v>
      </c>
      <c r="I1297" s="20"/>
      <c r="J1297" s="138">
        <v>612.85</v>
      </c>
      <c r="K1297" s="138">
        <v>620.98773000000006</v>
      </c>
      <c r="L1297" s="138">
        <v>604.71226999999999</v>
      </c>
      <c r="M1297" s="21"/>
      <c r="N1297" s="83">
        <v>612.85</v>
      </c>
      <c r="P1297" t="str">
        <f>VLOOKUP(B1297,PTN!A:B,2,FALSE)</f>
        <v>UNIVERSITAS NEGERI SEMARANG</v>
      </c>
      <c r="Q1297" t="str">
        <f t="shared" si="20"/>
        <v>UNIVERSITAS NEGERI SEMARANGAKUNTANSI</v>
      </c>
    </row>
    <row r="1298" spans="1:17" ht="15.75" thickBot="1" x14ac:dyDescent="0.3">
      <c r="A1298" s="7">
        <v>1297</v>
      </c>
      <c r="B1298" s="6">
        <v>41</v>
      </c>
      <c r="C1298" s="13">
        <v>3562017</v>
      </c>
      <c r="D1298" t="s">
        <v>187</v>
      </c>
      <c r="E1298" s="13">
        <v>27</v>
      </c>
      <c r="F1298" s="10" t="s">
        <v>13</v>
      </c>
      <c r="I1298" s="22"/>
      <c r="J1298" s="138">
        <v>580.11</v>
      </c>
      <c r="K1298" s="138">
        <v>588.24773000000005</v>
      </c>
      <c r="L1298" s="138">
        <v>571.97226999999998</v>
      </c>
      <c r="M1298" s="21"/>
      <c r="N1298" s="83">
        <v>580.11</v>
      </c>
      <c r="P1298" t="str">
        <f>VLOOKUP(B1298,PTN!A:B,2,FALSE)</f>
        <v>UNIVERSITAS NEGERI SEMARANG</v>
      </c>
      <c r="Q1298" t="str">
        <f t="shared" si="20"/>
        <v>UNIVERSITAS NEGERI SEMARANGBIMBINGAN DAN KONSELING</v>
      </c>
    </row>
    <row r="1299" spans="1:17" ht="16.5" thickTop="1" thickBot="1" x14ac:dyDescent="0.3">
      <c r="A1299" s="7">
        <v>1298</v>
      </c>
      <c r="B1299" s="6">
        <v>41</v>
      </c>
      <c r="C1299" s="12">
        <v>3562122</v>
      </c>
      <c r="D1299" t="s">
        <v>69</v>
      </c>
      <c r="E1299" s="12">
        <v>53</v>
      </c>
      <c r="F1299" s="10" t="s">
        <v>13</v>
      </c>
      <c r="I1299" s="23"/>
      <c r="J1299" s="138">
        <v>601.59</v>
      </c>
      <c r="K1299" s="138">
        <v>609.72773000000007</v>
      </c>
      <c r="L1299" s="138">
        <v>593.45227</v>
      </c>
      <c r="M1299" s="25"/>
      <c r="N1299" s="83">
        <v>601.59</v>
      </c>
      <c r="P1299" t="str">
        <f>VLOOKUP(B1299,PTN!A:B,2,FALSE)</f>
        <v>UNIVERSITAS NEGERI SEMARANG</v>
      </c>
      <c r="Q1299" t="str">
        <f t="shared" si="20"/>
        <v>UNIVERSITAS NEGERI SEMARANGEKONOMI PEMBANGUNAN</v>
      </c>
    </row>
    <row r="1300" spans="1:17" ht="16.5" thickTop="1" thickBot="1" x14ac:dyDescent="0.3">
      <c r="A1300" s="7">
        <v>1299</v>
      </c>
      <c r="B1300" s="6">
        <v>41</v>
      </c>
      <c r="C1300" s="13">
        <v>3562153</v>
      </c>
      <c r="D1300" t="s">
        <v>290</v>
      </c>
      <c r="E1300" s="13">
        <v>39</v>
      </c>
      <c r="F1300" s="10" t="s">
        <v>13</v>
      </c>
      <c r="I1300" s="26"/>
      <c r="J1300" s="138">
        <v>595.27</v>
      </c>
      <c r="K1300" s="138">
        <v>603.40773000000002</v>
      </c>
      <c r="L1300" s="138">
        <v>587.13226999999995</v>
      </c>
      <c r="M1300" s="27"/>
      <c r="N1300" s="83">
        <v>595.27</v>
      </c>
      <c r="P1300" t="str">
        <f>VLOOKUP(B1300,PTN!A:B,2,FALSE)</f>
        <v>UNIVERSITAS NEGERI SEMARANG</v>
      </c>
      <c r="Q1300" t="str">
        <f t="shared" si="20"/>
        <v>UNIVERSITAS NEGERI SEMARANGGEOGRAFI</v>
      </c>
    </row>
    <row r="1301" spans="1:17" ht="15.75" thickBot="1" x14ac:dyDescent="0.3">
      <c r="A1301" s="7">
        <v>1300</v>
      </c>
      <c r="B1301" s="6">
        <v>41</v>
      </c>
      <c r="C1301" s="12">
        <v>3562161</v>
      </c>
      <c r="D1301" t="s">
        <v>31</v>
      </c>
      <c r="E1301" s="12">
        <v>120</v>
      </c>
      <c r="F1301" s="10" t="s">
        <v>13</v>
      </c>
      <c r="I1301" s="87"/>
      <c r="J1301" s="138">
        <v>603.22</v>
      </c>
      <c r="K1301" s="138">
        <v>611.35773000000006</v>
      </c>
      <c r="L1301" s="138">
        <v>595.08226999999999</v>
      </c>
      <c r="M1301" s="28"/>
      <c r="N1301" s="83">
        <v>603.22</v>
      </c>
      <c r="P1301" t="str">
        <f>VLOOKUP(B1301,PTN!A:B,2,FALSE)</f>
        <v>UNIVERSITAS NEGERI SEMARANG</v>
      </c>
      <c r="Q1301" t="str">
        <f t="shared" si="20"/>
        <v>UNIVERSITAS NEGERI SEMARANGILMU HUKUM</v>
      </c>
    </row>
    <row r="1302" spans="1:17" ht="15.75" thickBot="1" x14ac:dyDescent="0.3">
      <c r="A1302" s="7">
        <v>1301</v>
      </c>
      <c r="B1302" s="6">
        <v>41</v>
      </c>
      <c r="C1302" s="13">
        <v>3562404</v>
      </c>
      <c r="D1302" t="s">
        <v>33</v>
      </c>
      <c r="E1302" s="13">
        <v>30</v>
      </c>
      <c r="F1302" s="10" t="s">
        <v>13</v>
      </c>
      <c r="I1302" s="26"/>
      <c r="J1302" s="138">
        <v>586.76</v>
      </c>
      <c r="K1302" s="138">
        <v>594.89773000000002</v>
      </c>
      <c r="L1302" s="138">
        <v>578.62226999999996</v>
      </c>
      <c r="M1302" s="27"/>
      <c r="N1302" s="83">
        <v>586.76</v>
      </c>
      <c r="P1302" t="str">
        <f>VLOOKUP(B1302,PTN!A:B,2,FALSE)</f>
        <v>UNIVERSITAS NEGERI SEMARANG</v>
      </c>
      <c r="Q1302" t="str">
        <f t="shared" si="20"/>
        <v>UNIVERSITAS NEGERI SEMARANGILMU POLITIK</v>
      </c>
    </row>
    <row r="1303" spans="1:17" ht="15.75" thickBot="1" x14ac:dyDescent="0.3">
      <c r="A1303" s="7">
        <v>1302</v>
      </c>
      <c r="B1303" s="6">
        <v>41</v>
      </c>
      <c r="C1303" s="12">
        <v>3562296</v>
      </c>
      <c r="D1303" t="s">
        <v>148</v>
      </c>
      <c r="E1303" s="12">
        <v>30</v>
      </c>
      <c r="F1303" s="10" t="s">
        <v>13</v>
      </c>
      <c r="I1303" s="87"/>
      <c r="J1303" s="138">
        <v>583.55999999999995</v>
      </c>
      <c r="K1303" s="138">
        <v>591.69772999999998</v>
      </c>
      <c r="L1303" s="138">
        <v>575.42226999999991</v>
      </c>
      <c r="M1303" s="28"/>
      <c r="N1303" s="83">
        <v>583.55999999999995</v>
      </c>
      <c r="P1303" t="str">
        <f>VLOOKUP(B1303,PTN!A:B,2,FALSE)</f>
        <v>UNIVERSITAS NEGERI SEMARANG</v>
      </c>
      <c r="Q1303" t="str">
        <f t="shared" si="20"/>
        <v>UNIVERSITAS NEGERI SEMARANGILMU SEJARAH</v>
      </c>
    </row>
    <row r="1304" spans="1:17" ht="15.75" thickBot="1" x14ac:dyDescent="0.3">
      <c r="A1304" s="7">
        <v>1303</v>
      </c>
      <c r="B1304" s="6">
        <v>41</v>
      </c>
      <c r="C1304" s="13">
        <v>3562137</v>
      </c>
      <c r="D1304" t="s">
        <v>61</v>
      </c>
      <c r="E1304" s="13">
        <v>72</v>
      </c>
      <c r="F1304" s="10" t="s">
        <v>13</v>
      </c>
      <c r="I1304" s="26"/>
      <c r="J1304" s="138">
        <v>602.32000000000005</v>
      </c>
      <c r="K1304" s="138">
        <v>610.45773000000008</v>
      </c>
      <c r="L1304" s="138">
        <v>594.18227000000002</v>
      </c>
      <c r="M1304" s="27"/>
      <c r="N1304" s="83">
        <v>602.32000000000005</v>
      </c>
      <c r="P1304" t="str">
        <f>VLOOKUP(B1304,PTN!A:B,2,FALSE)</f>
        <v>UNIVERSITAS NEGERI SEMARANG</v>
      </c>
      <c r="Q1304" t="str">
        <f t="shared" si="20"/>
        <v>UNIVERSITAS NEGERI SEMARANGMANAJEMEN</v>
      </c>
    </row>
    <row r="1305" spans="1:17" ht="15.75" thickBot="1" x14ac:dyDescent="0.3">
      <c r="A1305" s="7">
        <v>1304</v>
      </c>
      <c r="B1305" s="6">
        <v>41</v>
      </c>
      <c r="C1305" s="12">
        <v>3562211</v>
      </c>
      <c r="D1305" t="s">
        <v>447</v>
      </c>
      <c r="E1305" s="12">
        <v>36</v>
      </c>
      <c r="F1305" s="10" t="s">
        <v>13</v>
      </c>
      <c r="I1305" s="87"/>
      <c r="J1305" s="138">
        <v>583.03</v>
      </c>
      <c r="K1305" s="138">
        <v>591.16773000000001</v>
      </c>
      <c r="L1305" s="138">
        <v>574.89226999999994</v>
      </c>
      <c r="M1305" s="28"/>
      <c r="N1305" s="83">
        <v>583.03</v>
      </c>
      <c r="P1305" t="str">
        <f>VLOOKUP(B1305,PTN!A:B,2,FALSE)</f>
        <v>UNIVERSITAS NEGERI SEMARANG</v>
      </c>
      <c r="Q1305" t="str">
        <f t="shared" si="20"/>
        <v>UNIVERSITAS NEGERI SEMARANGPEND. EKONOMI (PEND. ADMIN. PEKANTORAN)</v>
      </c>
    </row>
    <row r="1306" spans="1:17" ht="15.75" thickBot="1" x14ac:dyDescent="0.3">
      <c r="A1306" s="7">
        <v>1305</v>
      </c>
      <c r="B1306" s="6">
        <v>41</v>
      </c>
      <c r="C1306" s="13">
        <v>3562377</v>
      </c>
      <c r="D1306" t="s">
        <v>448</v>
      </c>
      <c r="E1306" s="13">
        <v>41</v>
      </c>
      <c r="F1306" s="10" t="s">
        <v>13</v>
      </c>
      <c r="I1306" s="26"/>
      <c r="J1306" s="138" t="s">
        <v>1292</v>
      </c>
      <c r="K1306" s="138" t="s">
        <v>1292</v>
      </c>
      <c r="L1306" s="138" t="s">
        <v>1292</v>
      </c>
      <c r="M1306" s="27"/>
      <c r="N1306" s="83" t="s">
        <v>1292</v>
      </c>
      <c r="P1306" t="str">
        <f>VLOOKUP(B1306,PTN!A:B,2,FALSE)</f>
        <v>UNIVERSITAS NEGERI SEMARANG</v>
      </c>
      <c r="Q1306" t="str">
        <f t="shared" si="20"/>
        <v>UNIVERSITAS NEGERI SEMARANGPEND.GURU PEND. ANAK USIA DINI (PGPAUD)</v>
      </c>
    </row>
    <row r="1307" spans="1:17" ht="15.75" thickBot="1" x14ac:dyDescent="0.3">
      <c r="A1307" s="7">
        <v>1306</v>
      </c>
      <c r="B1307" s="6">
        <v>41</v>
      </c>
      <c r="C1307" s="12">
        <v>3562354</v>
      </c>
      <c r="D1307" t="s">
        <v>244</v>
      </c>
      <c r="E1307" s="12">
        <v>21</v>
      </c>
      <c r="F1307" s="10" t="s">
        <v>13</v>
      </c>
      <c r="I1307" s="87"/>
      <c r="J1307" s="138">
        <v>571.29</v>
      </c>
      <c r="K1307" s="138">
        <v>579.42773</v>
      </c>
      <c r="L1307" s="138">
        <v>563.15226999999993</v>
      </c>
      <c r="M1307" s="28"/>
      <c r="N1307" s="83">
        <v>571.29</v>
      </c>
      <c r="P1307" t="str">
        <f>VLOOKUP(B1307,PTN!A:B,2,FALSE)</f>
        <v>UNIVERSITAS NEGERI SEMARANG</v>
      </c>
      <c r="Q1307" t="str">
        <f t="shared" si="20"/>
        <v>UNIVERSITAS NEGERI SEMARANGPENDIDIKAN BAHASA ARAB</v>
      </c>
    </row>
    <row r="1308" spans="1:17" ht="15.75" thickBot="1" x14ac:dyDescent="0.3">
      <c r="A1308" s="7">
        <v>1307</v>
      </c>
      <c r="B1308" s="6">
        <v>41</v>
      </c>
      <c r="C1308" s="13">
        <v>3562226</v>
      </c>
      <c r="D1308" t="s">
        <v>99</v>
      </c>
      <c r="E1308" s="13">
        <v>30</v>
      </c>
      <c r="F1308" s="10" t="s">
        <v>13</v>
      </c>
      <c r="I1308" s="26"/>
      <c r="J1308" s="138">
        <v>576.55999999999995</v>
      </c>
      <c r="K1308" s="138">
        <v>584.69772999999998</v>
      </c>
      <c r="L1308" s="138">
        <v>568.42226999999991</v>
      </c>
      <c r="M1308" s="27"/>
      <c r="N1308" s="83">
        <v>576.55999999999995</v>
      </c>
      <c r="P1308" t="str">
        <f>VLOOKUP(B1308,PTN!A:B,2,FALSE)</f>
        <v>UNIVERSITAS NEGERI SEMARANG</v>
      </c>
      <c r="Q1308" t="str">
        <f t="shared" si="20"/>
        <v>UNIVERSITAS NEGERI SEMARANGPENDIDIKAN BAHASA DAN SASTRA INDONESIA</v>
      </c>
    </row>
    <row r="1309" spans="1:17" ht="15.75" thickBot="1" x14ac:dyDescent="0.3">
      <c r="A1309" s="7">
        <v>1308</v>
      </c>
      <c r="B1309" s="6">
        <v>41</v>
      </c>
      <c r="C1309" s="12">
        <v>3562315</v>
      </c>
      <c r="D1309" t="s">
        <v>449</v>
      </c>
      <c r="E1309" s="12">
        <v>27</v>
      </c>
      <c r="F1309" s="10" t="s">
        <v>13</v>
      </c>
      <c r="I1309" s="87"/>
      <c r="J1309" s="138" t="s">
        <v>1292</v>
      </c>
      <c r="K1309" s="138" t="s">
        <v>1292</v>
      </c>
      <c r="L1309" s="138" t="s">
        <v>1292</v>
      </c>
      <c r="M1309" s="28"/>
      <c r="N1309" s="83" t="s">
        <v>1292</v>
      </c>
      <c r="P1309" t="str">
        <f>VLOOKUP(B1309,PTN!A:B,2,FALSE)</f>
        <v>UNIVERSITAS NEGERI SEMARANG</v>
      </c>
      <c r="Q1309" t="str">
        <f t="shared" si="20"/>
        <v>UNIVERSITAS NEGERI SEMARANGPENDIDIKAN BAHASA DAN SASTRA JAWA</v>
      </c>
    </row>
    <row r="1310" spans="1:17" ht="15.75" thickBot="1" x14ac:dyDescent="0.3">
      <c r="A1310" s="7">
        <v>1309</v>
      </c>
      <c r="B1310" s="6">
        <v>41</v>
      </c>
      <c r="C1310" s="13">
        <v>3562234</v>
      </c>
      <c r="D1310" t="s">
        <v>71</v>
      </c>
      <c r="E1310" s="13">
        <v>54</v>
      </c>
      <c r="F1310" s="10" t="s">
        <v>13</v>
      </c>
      <c r="I1310" s="26"/>
      <c r="J1310" s="138">
        <v>599.73</v>
      </c>
      <c r="K1310" s="138">
        <v>607.86773000000005</v>
      </c>
      <c r="L1310" s="138">
        <v>591.59226999999998</v>
      </c>
      <c r="M1310" s="27"/>
      <c r="N1310" s="83">
        <v>599.73</v>
      </c>
      <c r="P1310" t="str">
        <f>VLOOKUP(B1310,PTN!A:B,2,FALSE)</f>
        <v>UNIVERSITAS NEGERI SEMARANG</v>
      </c>
      <c r="Q1310" t="str">
        <f t="shared" si="20"/>
        <v>UNIVERSITAS NEGERI SEMARANGPENDIDIKAN BAHASA INGGRIS</v>
      </c>
    </row>
    <row r="1311" spans="1:17" ht="15.75" thickBot="1" x14ac:dyDescent="0.3">
      <c r="A1311" s="7">
        <v>1310</v>
      </c>
      <c r="B1311" s="6">
        <v>41</v>
      </c>
      <c r="C1311" s="12">
        <v>3562346</v>
      </c>
      <c r="D1311" t="s">
        <v>198</v>
      </c>
      <c r="E1311" s="12">
        <v>21</v>
      </c>
      <c r="F1311" s="10" t="s">
        <v>13</v>
      </c>
      <c r="I1311" s="87"/>
      <c r="J1311" s="138">
        <v>577.5</v>
      </c>
      <c r="K1311" s="138">
        <v>585.63773000000003</v>
      </c>
      <c r="L1311" s="138">
        <v>569.36226999999997</v>
      </c>
      <c r="M1311" s="28"/>
      <c r="N1311" s="83">
        <v>577.5</v>
      </c>
      <c r="P1311" t="str">
        <f>VLOOKUP(B1311,PTN!A:B,2,FALSE)</f>
        <v>UNIVERSITAS NEGERI SEMARANG</v>
      </c>
      <c r="Q1311" t="str">
        <f t="shared" si="20"/>
        <v>UNIVERSITAS NEGERI SEMARANGPENDIDIKAN BAHASA JEPANG</v>
      </c>
    </row>
    <row r="1312" spans="1:17" ht="15.75" thickBot="1" x14ac:dyDescent="0.3">
      <c r="A1312" s="7">
        <v>1311</v>
      </c>
      <c r="B1312" s="6">
        <v>41</v>
      </c>
      <c r="C1312" s="13">
        <v>3562393</v>
      </c>
      <c r="D1312" t="s">
        <v>325</v>
      </c>
      <c r="E1312" s="13">
        <v>11</v>
      </c>
      <c r="F1312" s="10" t="s">
        <v>13</v>
      </c>
      <c r="I1312" s="26"/>
      <c r="J1312" s="138">
        <v>569.01</v>
      </c>
      <c r="K1312" s="138">
        <v>577.14773000000002</v>
      </c>
      <c r="L1312" s="138">
        <v>560.87226999999996</v>
      </c>
      <c r="M1312" s="27"/>
      <c r="N1312" s="83">
        <v>569.01</v>
      </c>
      <c r="P1312" t="str">
        <f>VLOOKUP(B1312,PTN!A:B,2,FALSE)</f>
        <v>UNIVERSITAS NEGERI SEMARANG</v>
      </c>
      <c r="Q1312" t="str">
        <f t="shared" si="20"/>
        <v>UNIVERSITAS NEGERI SEMARANGPENDIDIKAN BAHASA MANDARIN</v>
      </c>
    </row>
    <row r="1313" spans="1:17" ht="15.75" thickBot="1" x14ac:dyDescent="0.3">
      <c r="A1313" s="7">
        <v>1312</v>
      </c>
      <c r="B1313" s="6">
        <v>41</v>
      </c>
      <c r="C1313" s="12">
        <v>3562242</v>
      </c>
      <c r="D1313" t="s">
        <v>326</v>
      </c>
      <c r="E1313" s="12">
        <v>18</v>
      </c>
      <c r="F1313" s="10" t="s">
        <v>13</v>
      </c>
      <c r="I1313" s="87"/>
      <c r="J1313" s="138">
        <v>562.97</v>
      </c>
      <c r="K1313" s="138">
        <v>571.10773000000006</v>
      </c>
      <c r="L1313" s="138">
        <v>554.83226999999999</v>
      </c>
      <c r="M1313" s="28"/>
      <c r="N1313" s="83">
        <v>562.97</v>
      </c>
      <c r="P1313" t="str">
        <f>VLOOKUP(B1313,PTN!A:B,2,FALSE)</f>
        <v>UNIVERSITAS NEGERI SEMARANG</v>
      </c>
      <c r="Q1313" t="str">
        <f t="shared" si="20"/>
        <v>UNIVERSITAS NEGERI SEMARANGPENDIDIKAN BAHASA PRANCIS</v>
      </c>
    </row>
    <row r="1314" spans="1:17" ht="15.75" thickBot="1" x14ac:dyDescent="0.3">
      <c r="A1314" s="7">
        <v>1313</v>
      </c>
      <c r="B1314" s="6">
        <v>41</v>
      </c>
      <c r="C1314" s="13">
        <v>3562192</v>
      </c>
      <c r="D1314" t="s">
        <v>450</v>
      </c>
      <c r="E1314" s="13">
        <v>36</v>
      </c>
      <c r="F1314" s="10" t="s">
        <v>13</v>
      </c>
      <c r="I1314" s="26"/>
      <c r="J1314" s="138">
        <v>591.47</v>
      </c>
      <c r="K1314" s="138">
        <v>599.60773000000006</v>
      </c>
      <c r="L1314" s="138">
        <v>583.33226999999999</v>
      </c>
      <c r="M1314" s="27"/>
      <c r="N1314" s="83">
        <v>591.47</v>
      </c>
      <c r="P1314" t="str">
        <f>VLOOKUP(B1314,PTN!A:B,2,FALSE)</f>
        <v>UNIVERSITAS NEGERI SEMARANG</v>
      </c>
      <c r="Q1314" t="str">
        <f t="shared" si="20"/>
        <v>UNIVERSITAS NEGERI SEMARANGPENDIDIKAN EKONOMI (PENDIDIKAN AKUNTANSI)</v>
      </c>
    </row>
    <row r="1315" spans="1:17" ht="15.75" thickBot="1" x14ac:dyDescent="0.3">
      <c r="A1315" s="7">
        <v>1314</v>
      </c>
      <c r="B1315" s="6">
        <v>41</v>
      </c>
      <c r="C1315" s="12">
        <v>3562203</v>
      </c>
      <c r="D1315" t="s">
        <v>451</v>
      </c>
      <c r="E1315" s="12">
        <v>36</v>
      </c>
      <c r="F1315" s="10" t="s">
        <v>13</v>
      </c>
      <c r="I1315" s="87"/>
      <c r="J1315" s="138">
        <v>572.98</v>
      </c>
      <c r="K1315" s="138">
        <v>581.11773000000005</v>
      </c>
      <c r="L1315" s="138">
        <v>564.84226999999998</v>
      </c>
      <c r="M1315" s="28"/>
      <c r="N1315" s="83">
        <v>572.98</v>
      </c>
      <c r="P1315" t="str">
        <f>VLOOKUP(B1315,PTN!A:B,2,FALSE)</f>
        <v>UNIVERSITAS NEGERI SEMARANG</v>
      </c>
      <c r="Q1315" t="str">
        <f t="shared" si="20"/>
        <v>UNIVERSITAS NEGERI SEMARANGPENDIDIKAN EKONOMI (PENDIDIKAN KOPERASI)</v>
      </c>
    </row>
    <row r="1316" spans="1:17" ht="15.75" thickBot="1" x14ac:dyDescent="0.3">
      <c r="A1316" s="7">
        <v>1315</v>
      </c>
      <c r="B1316" s="6">
        <v>41</v>
      </c>
      <c r="C1316" s="13">
        <v>3562056</v>
      </c>
      <c r="D1316" t="s">
        <v>72</v>
      </c>
      <c r="E1316" s="13">
        <v>30</v>
      </c>
      <c r="F1316" s="10" t="s">
        <v>13</v>
      </c>
      <c r="I1316" s="26"/>
      <c r="J1316" s="138">
        <v>579.09</v>
      </c>
      <c r="K1316" s="138">
        <v>587.22773000000007</v>
      </c>
      <c r="L1316" s="138">
        <v>570.95227</v>
      </c>
      <c r="M1316" s="27"/>
      <c r="N1316" s="83">
        <v>579.09</v>
      </c>
      <c r="P1316" t="str">
        <f>VLOOKUP(B1316,PTN!A:B,2,FALSE)</f>
        <v>UNIVERSITAS NEGERI SEMARANG</v>
      </c>
      <c r="Q1316" t="str">
        <f t="shared" si="20"/>
        <v>UNIVERSITAS NEGERI SEMARANGPENDIDIKAN GEOGRAFI</v>
      </c>
    </row>
    <row r="1317" spans="1:17" ht="15.75" thickBot="1" x14ac:dyDescent="0.3">
      <c r="A1317" s="7">
        <v>1316</v>
      </c>
      <c r="B1317" s="6">
        <v>41</v>
      </c>
      <c r="C1317" s="12">
        <v>3562362</v>
      </c>
      <c r="D1317" t="s">
        <v>73</v>
      </c>
      <c r="E1317" s="12">
        <v>120</v>
      </c>
      <c r="F1317" s="10" t="s">
        <v>13</v>
      </c>
      <c r="I1317" s="87"/>
      <c r="J1317" s="138">
        <v>580.87</v>
      </c>
      <c r="K1317" s="138">
        <v>589.00773000000004</v>
      </c>
      <c r="L1317" s="138">
        <v>572.73226999999997</v>
      </c>
      <c r="M1317" s="28"/>
      <c r="N1317" s="83">
        <v>580.87</v>
      </c>
      <c r="P1317" t="str">
        <f>VLOOKUP(B1317,PTN!A:B,2,FALSE)</f>
        <v>UNIVERSITAS NEGERI SEMARANG</v>
      </c>
      <c r="Q1317" t="str">
        <f t="shared" si="20"/>
        <v>UNIVERSITAS NEGERI SEMARANGPENDIDIKAN GURU SEKOLAH DASAR</v>
      </c>
    </row>
    <row r="1318" spans="1:17" ht="15.75" thickBot="1" x14ac:dyDescent="0.3">
      <c r="A1318" s="7">
        <v>1317</v>
      </c>
      <c r="B1318" s="6">
        <v>41</v>
      </c>
      <c r="C1318" s="13">
        <v>3562435</v>
      </c>
      <c r="D1318" t="s">
        <v>328</v>
      </c>
      <c r="E1318" s="13">
        <v>30</v>
      </c>
      <c r="F1318" s="10" t="s">
        <v>13</v>
      </c>
      <c r="I1318" s="26"/>
      <c r="J1318" s="138">
        <v>573.80999999999995</v>
      </c>
      <c r="K1318" s="138">
        <v>581.94772999999998</v>
      </c>
      <c r="L1318" s="138">
        <v>565.67226999999991</v>
      </c>
      <c r="M1318" s="27"/>
      <c r="N1318" s="83">
        <v>573.80999999999995</v>
      </c>
      <c r="P1318" t="str">
        <f>VLOOKUP(B1318,PTN!A:B,2,FALSE)</f>
        <v>UNIVERSITAS NEGERI SEMARANG</v>
      </c>
      <c r="Q1318" t="str">
        <f t="shared" si="20"/>
        <v>UNIVERSITAS NEGERI SEMARANGPENDIDIKAN ILMU PENGETAHUAN SOSIAL</v>
      </c>
    </row>
    <row r="1319" spans="1:17" ht="15.75" thickBot="1" x14ac:dyDescent="0.3">
      <c r="A1319" s="7">
        <v>1318</v>
      </c>
      <c r="B1319" s="6">
        <v>41</v>
      </c>
      <c r="C1319" s="12">
        <v>3562072</v>
      </c>
      <c r="D1319" t="s">
        <v>452</v>
      </c>
      <c r="E1319" s="12">
        <v>53</v>
      </c>
      <c r="F1319" s="10" t="s">
        <v>13</v>
      </c>
      <c r="I1319" s="87"/>
      <c r="J1319" s="138" t="s">
        <v>1292</v>
      </c>
      <c r="K1319" s="138" t="s">
        <v>1292</v>
      </c>
      <c r="L1319" s="138" t="s">
        <v>1292</v>
      </c>
      <c r="M1319" s="28"/>
      <c r="N1319" s="83" t="s">
        <v>1292</v>
      </c>
      <c r="P1319" t="str">
        <f>VLOOKUP(B1319,PTN!A:B,2,FALSE)</f>
        <v>UNIVERSITAS NEGERI SEMARANG</v>
      </c>
      <c r="Q1319" t="str">
        <f t="shared" si="20"/>
        <v>UNIVERSITAS NEGERI SEMARANGPENDIDIKAN JASMANI, KESEHATAN &amp; REKREASI</v>
      </c>
    </row>
    <row r="1320" spans="1:17" ht="15.75" thickBot="1" x14ac:dyDescent="0.3">
      <c r="A1320" s="7">
        <v>1319</v>
      </c>
      <c r="B1320" s="6">
        <v>41</v>
      </c>
      <c r="C1320" s="13">
        <v>3562412</v>
      </c>
      <c r="D1320" t="s">
        <v>453</v>
      </c>
      <c r="E1320" s="13">
        <v>24</v>
      </c>
      <c r="F1320" s="10" t="s">
        <v>13</v>
      </c>
      <c r="I1320" s="26"/>
      <c r="J1320" s="138" t="s">
        <v>1292</v>
      </c>
      <c r="K1320" s="138" t="s">
        <v>1292</v>
      </c>
      <c r="L1320" s="138" t="s">
        <v>1292</v>
      </c>
      <c r="M1320" s="27"/>
      <c r="N1320" s="83" t="s">
        <v>1292</v>
      </c>
      <c r="P1320" t="str">
        <f>VLOOKUP(B1320,PTN!A:B,2,FALSE)</f>
        <v>UNIVERSITAS NEGERI SEMARANG</v>
      </c>
      <c r="Q1320" t="str">
        <f t="shared" si="20"/>
        <v>UNIVERSITAS NEGERI SEMARANGPENDIDIKAN JASMANI SEKOLAH DASAR</v>
      </c>
    </row>
    <row r="1321" spans="1:17" ht="15.75" thickBot="1" x14ac:dyDescent="0.3">
      <c r="A1321" s="7">
        <v>1320</v>
      </c>
      <c r="B1321" s="6">
        <v>41</v>
      </c>
      <c r="C1321" s="12">
        <v>3562087</v>
      </c>
      <c r="D1321" t="s">
        <v>330</v>
      </c>
      <c r="E1321" s="12">
        <v>36</v>
      </c>
      <c r="F1321" s="10" t="s">
        <v>13</v>
      </c>
      <c r="I1321" s="87"/>
      <c r="J1321" s="138" t="s">
        <v>1292</v>
      </c>
      <c r="K1321" s="138" t="s">
        <v>1292</v>
      </c>
      <c r="L1321" s="138" t="s">
        <v>1292</v>
      </c>
      <c r="M1321" s="28"/>
      <c r="N1321" s="83" t="s">
        <v>1292</v>
      </c>
      <c r="P1321" t="str">
        <f>VLOOKUP(B1321,PTN!A:B,2,FALSE)</f>
        <v>UNIVERSITAS NEGERI SEMARANG</v>
      </c>
      <c r="Q1321" t="str">
        <f t="shared" si="20"/>
        <v>UNIVERSITAS NEGERI SEMARANGPENDIDIKAN KEPELATIHAN OLAHRAGA</v>
      </c>
    </row>
    <row r="1322" spans="1:17" ht="15.75" thickBot="1" x14ac:dyDescent="0.3">
      <c r="A1322" s="7">
        <v>1321</v>
      </c>
      <c r="B1322" s="6">
        <v>41</v>
      </c>
      <c r="C1322" s="13">
        <v>3562443</v>
      </c>
      <c r="D1322" t="s">
        <v>102</v>
      </c>
      <c r="E1322" s="13">
        <v>12</v>
      </c>
      <c r="F1322" s="10" t="s">
        <v>13</v>
      </c>
      <c r="I1322" s="26"/>
      <c r="J1322" s="138" t="s">
        <v>1292</v>
      </c>
      <c r="K1322" s="138" t="s">
        <v>1292</v>
      </c>
      <c r="L1322" s="138" t="s">
        <v>1292</v>
      </c>
      <c r="M1322" s="27"/>
      <c r="N1322" s="83" t="s">
        <v>1292</v>
      </c>
      <c r="P1322" t="str">
        <f>VLOOKUP(B1322,PTN!A:B,2,FALSE)</f>
        <v>UNIVERSITAS NEGERI SEMARANG</v>
      </c>
      <c r="Q1322" t="str">
        <f t="shared" si="20"/>
        <v>UNIVERSITAS NEGERI SEMARANGPENDIDIKAN KESEJAHTERAAN KELUARGA</v>
      </c>
    </row>
    <row r="1323" spans="1:17" ht="15.75" thickBot="1" x14ac:dyDescent="0.3">
      <c r="A1323" s="7">
        <v>1322</v>
      </c>
      <c r="B1323" s="6">
        <v>41</v>
      </c>
      <c r="C1323" s="12">
        <v>3562033</v>
      </c>
      <c r="D1323" t="s">
        <v>201</v>
      </c>
      <c r="E1323" s="12">
        <v>27</v>
      </c>
      <c r="F1323" s="10" t="s">
        <v>13</v>
      </c>
      <c r="I1323" s="87"/>
      <c r="J1323" s="138" t="s">
        <v>1292</v>
      </c>
      <c r="K1323" s="138" t="s">
        <v>1292</v>
      </c>
      <c r="L1323" s="138" t="s">
        <v>1292</v>
      </c>
      <c r="M1323" s="28"/>
      <c r="N1323" s="83" t="s">
        <v>1292</v>
      </c>
      <c r="P1323" t="str">
        <f>VLOOKUP(B1323,PTN!A:B,2,FALSE)</f>
        <v>UNIVERSITAS NEGERI SEMARANG</v>
      </c>
      <c r="Q1323" t="str">
        <f t="shared" si="20"/>
        <v>UNIVERSITAS NEGERI SEMARANGPENDIDIKAN LUAR SEKOLAH</v>
      </c>
    </row>
    <row r="1324" spans="1:17" ht="15.75" thickBot="1" x14ac:dyDescent="0.3">
      <c r="A1324" s="7">
        <v>1323</v>
      </c>
      <c r="B1324" s="6">
        <v>41</v>
      </c>
      <c r="C1324" s="13">
        <v>3562041</v>
      </c>
      <c r="D1324" t="s">
        <v>333</v>
      </c>
      <c r="E1324" s="13">
        <v>30</v>
      </c>
      <c r="F1324" s="10" t="s">
        <v>13</v>
      </c>
      <c r="I1324" s="26"/>
      <c r="J1324" s="138">
        <v>574.86</v>
      </c>
      <c r="K1324" s="138">
        <v>582.99773000000005</v>
      </c>
      <c r="L1324" s="138">
        <v>566.72226999999998</v>
      </c>
      <c r="M1324" s="27"/>
      <c r="N1324" s="83">
        <v>574.86</v>
      </c>
      <c r="P1324" t="str">
        <f>VLOOKUP(B1324,PTN!A:B,2,FALSE)</f>
        <v>UNIVERSITAS NEGERI SEMARANG</v>
      </c>
      <c r="Q1324" t="str">
        <f t="shared" si="20"/>
        <v>UNIVERSITAS NEGERI SEMARANGPENDIDIKAN PANCASILA &amp; KEWARGANEGARAAN</v>
      </c>
    </row>
    <row r="1325" spans="1:17" ht="15.75" thickBot="1" x14ac:dyDescent="0.3">
      <c r="A1325" s="7">
        <v>1324</v>
      </c>
      <c r="B1325" s="6">
        <v>41</v>
      </c>
      <c r="C1325" s="12">
        <v>3562064</v>
      </c>
      <c r="D1325" t="s">
        <v>75</v>
      </c>
      <c r="E1325" s="12">
        <v>30</v>
      </c>
      <c r="F1325" s="10" t="s">
        <v>13</v>
      </c>
      <c r="I1325" s="87"/>
      <c r="J1325" s="138">
        <v>589.41</v>
      </c>
      <c r="K1325" s="138">
        <v>597.54773</v>
      </c>
      <c r="L1325" s="138">
        <v>581.27226999999993</v>
      </c>
      <c r="M1325" s="28"/>
      <c r="N1325" s="83">
        <v>589.41</v>
      </c>
      <c r="P1325" t="str">
        <f>VLOOKUP(B1325,PTN!A:B,2,FALSE)</f>
        <v>UNIVERSITAS NEGERI SEMARANG</v>
      </c>
      <c r="Q1325" t="str">
        <f t="shared" si="20"/>
        <v>UNIVERSITAS NEGERI SEMARANGPENDIDIKAN SEJARAH</v>
      </c>
    </row>
    <row r="1326" spans="1:17" ht="15.75" thickBot="1" x14ac:dyDescent="0.3">
      <c r="A1326" s="7">
        <v>1325</v>
      </c>
      <c r="B1326" s="6">
        <v>41</v>
      </c>
      <c r="C1326" s="13">
        <v>3562257</v>
      </c>
      <c r="D1326" t="s">
        <v>131</v>
      </c>
      <c r="E1326" s="13">
        <v>21</v>
      </c>
      <c r="F1326" s="10" t="s">
        <v>13</v>
      </c>
      <c r="I1326" s="26"/>
      <c r="J1326" s="138" t="s">
        <v>1292</v>
      </c>
      <c r="K1326" s="138" t="s">
        <v>1292</v>
      </c>
      <c r="L1326" s="138" t="s">
        <v>1292</v>
      </c>
      <c r="M1326" s="27"/>
      <c r="N1326" s="83" t="s">
        <v>1292</v>
      </c>
      <c r="P1326" t="str">
        <f>VLOOKUP(B1326,PTN!A:B,2,FALSE)</f>
        <v>UNIVERSITAS NEGERI SEMARANG</v>
      </c>
      <c r="Q1326" t="str">
        <f t="shared" si="20"/>
        <v>UNIVERSITAS NEGERI SEMARANGPENDIDIKAN SENI RUPA</v>
      </c>
    </row>
    <row r="1327" spans="1:17" ht="15.75" thickBot="1" x14ac:dyDescent="0.3">
      <c r="A1327" s="7">
        <v>1326</v>
      </c>
      <c r="B1327" s="6">
        <v>41</v>
      </c>
      <c r="C1327" s="12">
        <v>3562114</v>
      </c>
      <c r="D1327" t="s">
        <v>454</v>
      </c>
      <c r="E1327" s="12">
        <v>36</v>
      </c>
      <c r="F1327" s="10" t="s">
        <v>13</v>
      </c>
      <c r="I1327" s="87"/>
      <c r="J1327" s="138">
        <v>590.34</v>
      </c>
      <c r="K1327" s="138">
        <v>598.47773000000007</v>
      </c>
      <c r="L1327" s="138">
        <v>582.20227</v>
      </c>
      <c r="M1327" s="28"/>
      <c r="N1327" s="83">
        <v>590.34</v>
      </c>
      <c r="P1327" t="str">
        <f>VLOOKUP(B1327,PTN!A:B,2,FALSE)</f>
        <v>UNIVERSITAS NEGERI SEMARANG</v>
      </c>
      <c r="Q1327" t="str">
        <f t="shared" si="20"/>
        <v>UNIVERSITAS NEGERI SEMARANGPENDIDIKAN SOSIOLOGI &amp; ANTROPOLOGI</v>
      </c>
    </row>
    <row r="1328" spans="1:17" ht="15.75" thickBot="1" x14ac:dyDescent="0.3">
      <c r="A1328" s="7">
        <v>1327</v>
      </c>
      <c r="B1328" s="6">
        <v>41</v>
      </c>
      <c r="C1328" s="13">
        <v>3562095</v>
      </c>
      <c r="D1328" t="s">
        <v>455</v>
      </c>
      <c r="E1328" s="13">
        <v>24</v>
      </c>
      <c r="F1328" s="10" t="s">
        <v>13</v>
      </c>
      <c r="I1328" s="26"/>
      <c r="J1328" s="138">
        <v>575.04</v>
      </c>
      <c r="K1328" s="138">
        <v>583.17773</v>
      </c>
      <c r="L1328" s="138">
        <v>566.90226999999993</v>
      </c>
      <c r="M1328" s="27"/>
      <c r="N1328" s="83">
        <v>575.04</v>
      </c>
      <c r="P1328" t="str">
        <f>VLOOKUP(B1328,PTN!A:B,2,FALSE)</f>
        <v>UNIVERSITAS NEGERI SEMARANG</v>
      </c>
      <c r="Q1328" t="str">
        <f t="shared" si="20"/>
        <v>UNIVERSITAS NEGERI SEMARANGPendidikan Tata Boga</v>
      </c>
    </row>
    <row r="1329" spans="1:17" ht="15.75" thickBot="1" x14ac:dyDescent="0.3">
      <c r="A1329" s="7">
        <v>1328</v>
      </c>
      <c r="B1329" s="6">
        <v>41</v>
      </c>
      <c r="C1329" s="12">
        <v>3562106</v>
      </c>
      <c r="D1329" t="s">
        <v>456</v>
      </c>
      <c r="E1329" s="12">
        <v>24</v>
      </c>
      <c r="F1329" s="10" t="s">
        <v>13</v>
      </c>
      <c r="I1329" s="87"/>
      <c r="J1329" s="138">
        <v>567.26</v>
      </c>
      <c r="K1329" s="138">
        <v>575.39773000000002</v>
      </c>
      <c r="L1329" s="138">
        <v>559.12226999999996</v>
      </c>
      <c r="M1329" s="28"/>
      <c r="N1329" s="83">
        <v>567.26</v>
      </c>
      <c r="P1329" t="str">
        <f>VLOOKUP(B1329,PTN!A:B,2,FALSE)</f>
        <v>UNIVERSITAS NEGERI SEMARANG</v>
      </c>
      <c r="Q1329" t="str">
        <f t="shared" si="20"/>
        <v>UNIVERSITAS NEGERI SEMARANGPendidikan Tata Busana</v>
      </c>
    </row>
    <row r="1330" spans="1:17" ht="15.75" thickBot="1" x14ac:dyDescent="0.3">
      <c r="A1330" s="7">
        <v>1329</v>
      </c>
      <c r="B1330" s="6">
        <v>41</v>
      </c>
      <c r="C1330" s="13">
        <v>3562385</v>
      </c>
      <c r="D1330" t="s">
        <v>457</v>
      </c>
      <c r="E1330" s="13">
        <v>18</v>
      </c>
      <c r="F1330" s="10" t="s">
        <v>13</v>
      </c>
      <c r="I1330" s="26"/>
      <c r="J1330" s="138" t="s">
        <v>1292</v>
      </c>
      <c r="K1330" s="138" t="s">
        <v>1292</v>
      </c>
      <c r="L1330" s="138" t="s">
        <v>1292</v>
      </c>
      <c r="M1330" s="27"/>
      <c r="N1330" s="83" t="s">
        <v>1292</v>
      </c>
      <c r="P1330" t="str">
        <f>VLOOKUP(B1330,PTN!A:B,2,FALSE)</f>
        <v>UNIVERSITAS NEGERI SEMARANG</v>
      </c>
      <c r="Q1330" t="str">
        <f t="shared" si="20"/>
        <v>UNIVERSITAS NEGERI SEMARANGPENDIDIKAN TATA KECANTIKAN</v>
      </c>
    </row>
    <row r="1331" spans="1:17" ht="15.75" thickBot="1" x14ac:dyDescent="0.3">
      <c r="A1331" s="7">
        <v>1330</v>
      </c>
      <c r="B1331" s="6">
        <v>41</v>
      </c>
      <c r="C1331" s="12">
        <v>3562331</v>
      </c>
      <c r="D1331" t="s">
        <v>458</v>
      </c>
      <c r="E1331" s="12">
        <v>27</v>
      </c>
      <c r="F1331" s="10" t="s">
        <v>13</v>
      </c>
      <c r="I1331" s="87"/>
      <c r="J1331" s="138" t="s">
        <v>1292</v>
      </c>
      <c r="K1331" s="138" t="s">
        <v>1292</v>
      </c>
      <c r="L1331" s="138" t="s">
        <v>1292</v>
      </c>
      <c r="M1331" s="28"/>
      <c r="N1331" s="83" t="s">
        <v>1292</v>
      </c>
      <c r="P1331" t="str">
        <f>VLOOKUP(B1331,PTN!A:B,2,FALSE)</f>
        <v>UNIVERSITAS NEGERI SEMARANG</v>
      </c>
      <c r="Q1331" t="str">
        <f t="shared" si="20"/>
        <v>UNIVERSITAS NEGERI SEMARANGP. SENI DRAMA, TARI &amp; MUSIK (P. SENI MUSIK)</v>
      </c>
    </row>
    <row r="1332" spans="1:17" ht="15.75" thickBot="1" x14ac:dyDescent="0.3">
      <c r="A1332" s="7">
        <v>1331</v>
      </c>
      <c r="B1332" s="6">
        <v>41</v>
      </c>
      <c r="C1332" s="13">
        <v>3562323</v>
      </c>
      <c r="D1332" t="s">
        <v>459</v>
      </c>
      <c r="E1332" s="13">
        <v>27</v>
      </c>
      <c r="F1332" s="10" t="s">
        <v>13</v>
      </c>
      <c r="I1332" s="26"/>
      <c r="J1332" s="138" t="s">
        <v>1292</v>
      </c>
      <c r="K1332" s="138" t="s">
        <v>1292</v>
      </c>
      <c r="L1332" s="138" t="s">
        <v>1292</v>
      </c>
      <c r="M1332" s="27"/>
      <c r="N1332" s="83" t="s">
        <v>1292</v>
      </c>
      <c r="P1332" t="str">
        <f>VLOOKUP(B1332,PTN!A:B,2,FALSE)</f>
        <v>UNIVERSITAS NEGERI SEMARANG</v>
      </c>
      <c r="Q1332" t="str">
        <f t="shared" si="20"/>
        <v>UNIVERSITAS NEGERI SEMARANGP. SENI DRAMA, TARI &amp; MUSIK (P. SENI TARI)</v>
      </c>
    </row>
    <row r="1333" spans="1:17" ht="15.75" thickBot="1" x14ac:dyDescent="0.3">
      <c r="A1333" s="7">
        <v>1332</v>
      </c>
      <c r="B1333" s="6">
        <v>41</v>
      </c>
      <c r="C1333" s="12">
        <v>3562145</v>
      </c>
      <c r="D1333" t="s">
        <v>36</v>
      </c>
      <c r="E1333" s="12">
        <v>41</v>
      </c>
      <c r="F1333" s="10" t="s">
        <v>13</v>
      </c>
      <c r="I1333" s="87"/>
      <c r="J1333" s="138">
        <v>608.91999999999996</v>
      </c>
      <c r="K1333" s="138">
        <v>617.05772999999999</v>
      </c>
      <c r="L1333" s="138">
        <v>600.78226999999993</v>
      </c>
      <c r="M1333" s="28"/>
      <c r="N1333" s="83">
        <v>608.91999999999996</v>
      </c>
      <c r="P1333" t="str">
        <f>VLOOKUP(B1333,PTN!A:B,2,FALSE)</f>
        <v>UNIVERSITAS NEGERI SEMARANG</v>
      </c>
      <c r="Q1333" t="str">
        <f t="shared" si="20"/>
        <v>UNIVERSITAS NEGERI SEMARANGPSIKOLOGI</v>
      </c>
    </row>
    <row r="1334" spans="1:17" ht="15.75" thickBot="1" x14ac:dyDescent="0.3">
      <c r="A1334" s="7">
        <v>1333</v>
      </c>
      <c r="B1334" s="6">
        <v>41</v>
      </c>
      <c r="C1334" s="13">
        <v>3562265</v>
      </c>
      <c r="D1334" t="s">
        <v>62</v>
      </c>
      <c r="E1334" s="13">
        <v>18</v>
      </c>
      <c r="F1334" s="10" t="s">
        <v>13</v>
      </c>
      <c r="I1334" s="26"/>
      <c r="J1334" s="138">
        <v>577.61</v>
      </c>
      <c r="K1334" s="138">
        <v>585.74773000000005</v>
      </c>
      <c r="L1334" s="138">
        <v>569.47226999999998</v>
      </c>
      <c r="M1334" s="27"/>
      <c r="N1334" s="83">
        <v>577.61</v>
      </c>
      <c r="P1334" t="str">
        <f>VLOOKUP(B1334,PTN!A:B,2,FALSE)</f>
        <v>UNIVERSITAS NEGERI SEMARANG</v>
      </c>
      <c r="Q1334" t="str">
        <f t="shared" si="20"/>
        <v>UNIVERSITAS NEGERI SEMARANGSASTRA INDONESIA</v>
      </c>
    </row>
    <row r="1335" spans="1:17" ht="15.75" thickBot="1" x14ac:dyDescent="0.3">
      <c r="A1335" s="7">
        <v>1334</v>
      </c>
      <c r="B1335" s="6">
        <v>41</v>
      </c>
      <c r="C1335" s="12">
        <v>3562273</v>
      </c>
      <c r="D1335" t="s">
        <v>139</v>
      </c>
      <c r="E1335" s="12">
        <v>26</v>
      </c>
      <c r="F1335" s="10" t="s">
        <v>13</v>
      </c>
      <c r="I1335" s="87"/>
      <c r="J1335" s="138">
        <v>610.11</v>
      </c>
      <c r="K1335" s="138">
        <v>618.24773000000005</v>
      </c>
      <c r="L1335" s="138">
        <v>601.97226999999998</v>
      </c>
      <c r="M1335" s="28"/>
      <c r="N1335" s="83">
        <v>610.11</v>
      </c>
      <c r="P1335" t="str">
        <f>VLOOKUP(B1335,PTN!A:B,2,FALSE)</f>
        <v>UNIVERSITAS NEGERI SEMARANG</v>
      </c>
      <c r="Q1335" t="str">
        <f t="shared" si="20"/>
        <v>UNIVERSITAS NEGERI SEMARANGSASTRA INGGRIS</v>
      </c>
    </row>
    <row r="1336" spans="1:17" ht="15.75" thickBot="1" x14ac:dyDescent="0.3">
      <c r="A1336" s="7">
        <v>1335</v>
      </c>
      <c r="B1336" s="6">
        <v>41</v>
      </c>
      <c r="C1336" s="13">
        <v>3562307</v>
      </c>
      <c r="D1336" t="s">
        <v>460</v>
      </c>
      <c r="E1336" s="13">
        <v>9</v>
      </c>
      <c r="F1336" s="10" t="s">
        <v>13</v>
      </c>
      <c r="I1336" s="26"/>
      <c r="J1336" s="138">
        <v>380</v>
      </c>
      <c r="K1336" s="138" t="s">
        <v>1292</v>
      </c>
      <c r="L1336" s="138" t="s">
        <v>1292</v>
      </c>
      <c r="M1336" s="27"/>
      <c r="N1336" s="83">
        <v>380</v>
      </c>
      <c r="P1336" t="str">
        <f>VLOOKUP(B1336,PTN!A:B,2,FALSE)</f>
        <v>UNIVERSITAS NEGERI SEMARANG</v>
      </c>
      <c r="Q1336" t="str">
        <f t="shared" si="20"/>
        <v>UNIVERSITAS NEGERI SEMARANGSASTRA JAWA</v>
      </c>
    </row>
    <row r="1337" spans="1:17" ht="15.75" thickBot="1" x14ac:dyDescent="0.3">
      <c r="A1337" s="7">
        <v>1336</v>
      </c>
      <c r="B1337" s="6">
        <v>41</v>
      </c>
      <c r="C1337" s="12">
        <v>3562281</v>
      </c>
      <c r="D1337" t="s">
        <v>461</v>
      </c>
      <c r="E1337" s="12">
        <v>21</v>
      </c>
      <c r="F1337" s="10" t="s">
        <v>13</v>
      </c>
      <c r="I1337" s="87"/>
      <c r="J1337" s="138">
        <v>588.71</v>
      </c>
      <c r="K1337" s="138">
        <v>596.84773000000007</v>
      </c>
      <c r="L1337" s="138">
        <v>580.57227</v>
      </c>
      <c r="M1337" s="28"/>
      <c r="N1337" s="83">
        <v>588.71</v>
      </c>
      <c r="P1337" t="str">
        <f>VLOOKUP(B1337,PTN!A:B,2,FALSE)</f>
        <v>UNIVERSITAS NEGERI SEMARANG</v>
      </c>
      <c r="Q1337" t="str">
        <f t="shared" si="20"/>
        <v>UNIVERSITAS NEGERI SEMARANGSASTRA PRANCIS</v>
      </c>
    </row>
    <row r="1338" spans="1:17" ht="15.75" thickBot="1" x14ac:dyDescent="0.3">
      <c r="A1338" s="7">
        <v>1337</v>
      </c>
      <c r="B1338" s="6">
        <v>41</v>
      </c>
      <c r="C1338" s="13">
        <v>3562184</v>
      </c>
      <c r="D1338" t="s">
        <v>462</v>
      </c>
      <c r="E1338" s="13">
        <v>21</v>
      </c>
      <c r="F1338" s="10" t="s">
        <v>13</v>
      </c>
      <c r="I1338" s="26"/>
      <c r="J1338" s="138">
        <v>575.54999999999995</v>
      </c>
      <c r="K1338" s="138">
        <v>583.68772999999999</v>
      </c>
      <c r="L1338" s="138">
        <v>567.41226999999992</v>
      </c>
      <c r="M1338" s="27"/>
      <c r="N1338" s="83">
        <v>575.54999999999995</v>
      </c>
      <c r="P1338" t="str">
        <f>VLOOKUP(B1338,PTN!A:B,2,FALSE)</f>
        <v>UNIVERSITAS NEGERI SEMARANG</v>
      </c>
      <c r="Q1338" t="str">
        <f t="shared" si="20"/>
        <v>UNIVERSITAS NEGERI SEMARANGSENI RUPA (DKV,LUKIS,PTNG,GRAFIS,GBR KRIYA)</v>
      </c>
    </row>
    <row r="1339" spans="1:17" ht="15.75" thickBot="1" x14ac:dyDescent="0.3">
      <c r="A1339" s="7">
        <v>1338</v>
      </c>
      <c r="B1339" s="6">
        <v>41</v>
      </c>
      <c r="C1339" s="14">
        <v>3562025</v>
      </c>
      <c r="D1339" t="s">
        <v>210</v>
      </c>
      <c r="E1339" s="14">
        <v>27</v>
      </c>
      <c r="F1339" s="10" t="s">
        <v>13</v>
      </c>
      <c r="I1339" s="87"/>
      <c r="J1339" s="138">
        <v>580.66999999999996</v>
      </c>
      <c r="K1339" s="138">
        <v>588.80772999999999</v>
      </c>
      <c r="L1339" s="138">
        <v>572.53226999999993</v>
      </c>
      <c r="M1339" s="28"/>
      <c r="N1339" s="83">
        <v>580.66999999999996</v>
      </c>
      <c r="P1339" t="str">
        <f>VLOOKUP(B1339,PTN!A:B,2,FALSE)</f>
        <v>UNIVERSITAS NEGERI SEMARANG</v>
      </c>
      <c r="Q1339" t="str">
        <f t="shared" si="20"/>
        <v>UNIVERSITAS NEGERI SEMARANGTEKNOLOGI PENDIDIKAN</v>
      </c>
    </row>
    <row r="1340" spans="1:17" ht="16.5" thickTop="1" thickBot="1" x14ac:dyDescent="0.3">
      <c r="A1340" s="7">
        <v>1339</v>
      </c>
      <c r="B1340" s="6">
        <v>38</v>
      </c>
      <c r="C1340" s="12">
        <v>3531046</v>
      </c>
      <c r="D1340" t="s">
        <v>37</v>
      </c>
      <c r="E1340" s="12">
        <v>36</v>
      </c>
      <c r="F1340" s="10" t="s">
        <v>20</v>
      </c>
      <c r="I1340" s="20"/>
      <c r="J1340" s="138">
        <v>615.65</v>
      </c>
      <c r="K1340" s="138">
        <v>620.91</v>
      </c>
      <c r="L1340" s="138">
        <v>610.39</v>
      </c>
      <c r="M1340" s="21"/>
      <c r="N1340" s="83">
        <v>615.65</v>
      </c>
      <c r="P1340" t="str">
        <f>VLOOKUP(B1340,PTN!A:B,2,FALSE)</f>
        <v>UNIVERSITAS SEBELAS MARET</v>
      </c>
      <c r="Q1340" t="str">
        <f t="shared" si="20"/>
        <v>UNIVERSITAS SEBELAS MARETAGRIBISNIS</v>
      </c>
    </row>
    <row r="1341" spans="1:17" ht="15.75" thickBot="1" x14ac:dyDescent="0.3">
      <c r="A1341" s="7">
        <v>1340</v>
      </c>
      <c r="B1341" s="6">
        <v>38</v>
      </c>
      <c r="C1341" s="13">
        <v>3531031</v>
      </c>
      <c r="D1341" t="s">
        <v>463</v>
      </c>
      <c r="E1341" s="13">
        <v>60</v>
      </c>
      <c r="F1341" s="10" t="s">
        <v>20</v>
      </c>
      <c r="I1341" s="22"/>
      <c r="J1341" s="138">
        <v>613.36</v>
      </c>
      <c r="K1341" s="138">
        <v>621.91999999999996</v>
      </c>
      <c r="L1341" s="138">
        <v>604.80000000000007</v>
      </c>
      <c r="M1341" s="21"/>
      <c r="N1341" s="83">
        <v>613.36</v>
      </c>
      <c r="P1341" t="str">
        <f>VLOOKUP(B1341,PTN!A:B,2,FALSE)</f>
        <v>UNIVERSITAS SEBELAS MARET</v>
      </c>
      <c r="Q1341" t="str">
        <f t="shared" si="20"/>
        <v>UNIVERSITAS SEBELAS MARETAGROTEKNOLOGI / AGROEKOTEKNOLOGI</v>
      </c>
    </row>
    <row r="1342" spans="1:17" ht="16.5" thickTop="1" thickBot="1" x14ac:dyDescent="0.3">
      <c r="A1342" s="7">
        <v>1341</v>
      </c>
      <c r="B1342" s="6">
        <v>38</v>
      </c>
      <c r="C1342" s="12">
        <v>3531085</v>
      </c>
      <c r="D1342" t="s">
        <v>19</v>
      </c>
      <c r="E1342" s="12">
        <v>30</v>
      </c>
      <c r="F1342" s="10" t="s">
        <v>20</v>
      </c>
      <c r="I1342" s="23"/>
      <c r="J1342" s="138">
        <v>635.29999999999995</v>
      </c>
      <c r="K1342" s="138">
        <v>640.62</v>
      </c>
      <c r="L1342" s="138">
        <v>629.9799999999999</v>
      </c>
      <c r="M1342" s="25"/>
      <c r="N1342" s="83">
        <v>635.29999999999995</v>
      </c>
      <c r="P1342" t="str">
        <f>VLOOKUP(B1342,PTN!A:B,2,FALSE)</f>
        <v>UNIVERSITAS SEBELAS MARET</v>
      </c>
      <c r="Q1342" t="str">
        <f t="shared" si="20"/>
        <v>UNIVERSITAS SEBELAS MARETARSITEKTUR</v>
      </c>
    </row>
    <row r="1343" spans="1:17" ht="16.5" thickTop="1" thickBot="1" x14ac:dyDescent="0.3">
      <c r="A1343" s="7">
        <v>1342</v>
      </c>
      <c r="B1343" s="6">
        <v>38</v>
      </c>
      <c r="C1343" s="13">
        <v>3531151</v>
      </c>
      <c r="D1343" t="s">
        <v>21</v>
      </c>
      <c r="E1343" s="13">
        <v>27</v>
      </c>
      <c r="F1343" s="10" t="s">
        <v>20</v>
      </c>
      <c r="I1343" s="26"/>
      <c r="J1343" s="138">
        <v>625.55999999999995</v>
      </c>
      <c r="K1343" s="138">
        <v>632.67499999999995</v>
      </c>
      <c r="L1343" s="138">
        <v>618.44499999999994</v>
      </c>
      <c r="M1343" s="27"/>
      <c r="N1343" s="83">
        <v>625.55999999999995</v>
      </c>
      <c r="P1343" t="str">
        <f>VLOOKUP(B1343,PTN!A:B,2,FALSE)</f>
        <v>UNIVERSITAS SEBELAS MARET</v>
      </c>
      <c r="Q1343" t="str">
        <f t="shared" si="20"/>
        <v>UNIVERSITAS SEBELAS MARETBIOLOGI</v>
      </c>
    </row>
    <row r="1344" spans="1:17" ht="15.75" thickBot="1" x14ac:dyDescent="0.3">
      <c r="A1344" s="7">
        <v>1343</v>
      </c>
      <c r="B1344" s="6">
        <v>38</v>
      </c>
      <c r="C1344" s="12">
        <v>3531271</v>
      </c>
      <c r="D1344" t="s">
        <v>77</v>
      </c>
      <c r="E1344" s="12">
        <v>18</v>
      </c>
      <c r="F1344" s="10" t="s">
        <v>20</v>
      </c>
      <c r="I1344" s="87"/>
      <c r="J1344" s="138">
        <v>647.24</v>
      </c>
      <c r="K1344" s="138">
        <v>653.52</v>
      </c>
      <c r="L1344" s="138">
        <v>640.96</v>
      </c>
      <c r="M1344" s="28"/>
      <c r="N1344" s="83">
        <v>647.24</v>
      </c>
      <c r="P1344" t="str">
        <f>VLOOKUP(B1344,PTN!A:B,2,FALSE)</f>
        <v>UNIVERSITAS SEBELAS MARET</v>
      </c>
      <c r="Q1344" t="str">
        <f t="shared" si="20"/>
        <v>UNIVERSITAS SEBELAS MARETFARMASI</v>
      </c>
    </row>
    <row r="1345" spans="1:17" ht="15.75" thickBot="1" x14ac:dyDescent="0.3">
      <c r="A1345" s="7">
        <v>1344</v>
      </c>
      <c r="B1345" s="6">
        <v>38</v>
      </c>
      <c r="C1345" s="13">
        <v>3531135</v>
      </c>
      <c r="D1345" t="s">
        <v>65</v>
      </c>
      <c r="E1345" s="13">
        <v>30</v>
      </c>
      <c r="F1345" s="10" t="s">
        <v>20</v>
      </c>
      <c r="I1345" s="26"/>
      <c r="J1345" s="138">
        <v>615.57000000000005</v>
      </c>
      <c r="K1345" s="138">
        <v>620.07500000000005</v>
      </c>
      <c r="L1345" s="138">
        <v>611.06500000000005</v>
      </c>
      <c r="M1345" s="27"/>
      <c r="N1345" s="83">
        <v>615.57000000000005</v>
      </c>
      <c r="P1345" t="str">
        <f>VLOOKUP(B1345,PTN!A:B,2,FALSE)</f>
        <v>UNIVERSITAS SEBELAS MARET</v>
      </c>
      <c r="Q1345" t="str">
        <f t="shared" si="20"/>
        <v>UNIVERSITAS SEBELAS MARETFISIKA</v>
      </c>
    </row>
    <row r="1346" spans="1:17" ht="15.75" thickBot="1" x14ac:dyDescent="0.3">
      <c r="A1346" s="7">
        <v>1345</v>
      </c>
      <c r="B1346" s="6">
        <v>38</v>
      </c>
      <c r="C1346" s="12">
        <v>3531062</v>
      </c>
      <c r="D1346" t="s">
        <v>141</v>
      </c>
      <c r="E1346" s="12">
        <v>30</v>
      </c>
      <c r="F1346" s="10" t="s">
        <v>20</v>
      </c>
      <c r="I1346" s="87"/>
      <c r="J1346" s="138">
        <v>628.75</v>
      </c>
      <c r="K1346" s="138">
        <v>634.98</v>
      </c>
      <c r="L1346" s="138">
        <v>622.52</v>
      </c>
      <c r="M1346" s="28"/>
      <c r="N1346" s="83">
        <v>628.75</v>
      </c>
      <c r="P1346" t="str">
        <f>VLOOKUP(B1346,PTN!A:B,2,FALSE)</f>
        <v>UNIVERSITAS SEBELAS MARET</v>
      </c>
      <c r="Q1346" t="str">
        <f t="shared" si="20"/>
        <v>UNIVERSITAS SEBELAS MARETILMU DAN TEKNOLOGI PANGAN</v>
      </c>
    </row>
    <row r="1347" spans="1:17" ht="15.75" thickBot="1" x14ac:dyDescent="0.3">
      <c r="A1347" s="7">
        <v>1346</v>
      </c>
      <c r="B1347" s="6">
        <v>38</v>
      </c>
      <c r="C1347" s="13">
        <v>3531313</v>
      </c>
      <c r="D1347" t="s">
        <v>445</v>
      </c>
      <c r="E1347" s="13">
        <v>30</v>
      </c>
      <c r="F1347" s="10" t="s">
        <v>20</v>
      </c>
      <c r="I1347" s="26"/>
      <c r="J1347" s="138">
        <v>604.91</v>
      </c>
      <c r="K1347" s="138">
        <v>610.29999999999995</v>
      </c>
      <c r="L1347" s="138">
        <v>599.52</v>
      </c>
      <c r="M1347" s="27"/>
      <c r="N1347" s="83">
        <v>604.91</v>
      </c>
      <c r="P1347" t="str">
        <f>VLOOKUP(B1347,PTN!A:B,2,FALSE)</f>
        <v>UNIVERSITAS SEBELAS MARET</v>
      </c>
      <c r="Q1347" t="str">
        <f t="shared" ref="Q1347:Q1410" si="21">P1347&amp;D1347</f>
        <v>UNIVERSITAS SEBELAS MARETILMU LINGKUNGAN</v>
      </c>
    </row>
    <row r="1348" spans="1:17" ht="15.75" thickBot="1" x14ac:dyDescent="0.3">
      <c r="A1348" s="7">
        <v>1347</v>
      </c>
      <c r="B1348" s="6">
        <v>38</v>
      </c>
      <c r="C1348" s="12">
        <v>3531255</v>
      </c>
      <c r="D1348" t="s">
        <v>79</v>
      </c>
      <c r="E1348" s="12">
        <v>30</v>
      </c>
      <c r="F1348" s="10" t="s">
        <v>20</v>
      </c>
      <c r="I1348" s="87"/>
      <c r="J1348" s="138">
        <v>613.79</v>
      </c>
      <c r="K1348" s="138">
        <v>622.54999999999995</v>
      </c>
      <c r="L1348" s="138">
        <v>605.03</v>
      </c>
      <c r="M1348" s="28"/>
      <c r="N1348" s="83">
        <v>613.79</v>
      </c>
      <c r="P1348" t="str">
        <f>VLOOKUP(B1348,PTN!A:B,2,FALSE)</f>
        <v>UNIVERSITAS SEBELAS MARET</v>
      </c>
      <c r="Q1348" t="str">
        <f t="shared" si="21"/>
        <v>UNIVERSITAS SEBELAS MARETILMU TANAH</v>
      </c>
    </row>
    <row r="1349" spans="1:17" ht="15.75" thickBot="1" x14ac:dyDescent="0.3">
      <c r="A1349" s="7">
        <v>1348</v>
      </c>
      <c r="B1349" s="6">
        <v>38</v>
      </c>
      <c r="C1349" s="13">
        <v>3531174</v>
      </c>
      <c r="D1349" t="s">
        <v>80</v>
      </c>
      <c r="E1349" s="13">
        <v>24</v>
      </c>
      <c r="F1349" s="10" t="s">
        <v>20</v>
      </c>
      <c r="I1349" s="26"/>
      <c r="J1349" s="138">
        <v>659.53</v>
      </c>
      <c r="K1349" s="138">
        <v>668.13</v>
      </c>
      <c r="L1349" s="138">
        <v>650.92999999999995</v>
      </c>
      <c r="M1349" s="27"/>
      <c r="N1349" s="83">
        <v>659.53</v>
      </c>
      <c r="P1349" t="str">
        <f>VLOOKUP(B1349,PTN!A:B,2,FALSE)</f>
        <v>UNIVERSITAS SEBELAS MARET</v>
      </c>
      <c r="Q1349" t="str">
        <f t="shared" si="21"/>
        <v>UNIVERSITAS SEBELAS MARETINFORMATIKA</v>
      </c>
    </row>
    <row r="1350" spans="1:17" ht="15.75" thickBot="1" x14ac:dyDescent="0.3">
      <c r="A1350" s="7">
        <v>1349</v>
      </c>
      <c r="B1350" s="6">
        <v>38</v>
      </c>
      <c r="C1350" s="12">
        <v>3531015</v>
      </c>
      <c r="D1350" t="s">
        <v>236</v>
      </c>
      <c r="E1350" s="12">
        <v>66</v>
      </c>
      <c r="F1350" s="10" t="s">
        <v>20</v>
      </c>
      <c r="I1350" s="87"/>
      <c r="J1350" s="138">
        <v>701.21</v>
      </c>
      <c r="K1350" s="138">
        <v>709.29500000000007</v>
      </c>
      <c r="L1350" s="138">
        <v>693.125</v>
      </c>
      <c r="M1350" s="28"/>
      <c r="N1350" s="83">
        <v>701.21</v>
      </c>
      <c r="P1350" t="str">
        <f>VLOOKUP(B1350,PTN!A:B,2,FALSE)</f>
        <v>UNIVERSITAS SEBELAS MARET</v>
      </c>
      <c r="Q1350" t="str">
        <f t="shared" si="21"/>
        <v>UNIVERSITAS SEBELAS MARETKEDOKTERAN</v>
      </c>
    </row>
    <row r="1351" spans="1:17" ht="15.75" thickBot="1" x14ac:dyDescent="0.3">
      <c r="A1351" s="7">
        <v>1350</v>
      </c>
      <c r="B1351" s="6">
        <v>38</v>
      </c>
      <c r="C1351" s="13">
        <v>3531143</v>
      </c>
      <c r="D1351" t="s">
        <v>22</v>
      </c>
      <c r="E1351" s="13">
        <v>27</v>
      </c>
      <c r="F1351" s="10" t="s">
        <v>20</v>
      </c>
      <c r="I1351" s="26"/>
      <c r="J1351" s="138">
        <v>631.44000000000005</v>
      </c>
      <c r="K1351" s="138">
        <v>637.69000000000005</v>
      </c>
      <c r="L1351" s="138">
        <v>625.19000000000005</v>
      </c>
      <c r="M1351" s="27"/>
      <c r="N1351" s="83">
        <v>631.44000000000005</v>
      </c>
      <c r="P1351" t="str">
        <f>VLOOKUP(B1351,PTN!A:B,2,FALSE)</f>
        <v>UNIVERSITAS SEBELAS MARET</v>
      </c>
      <c r="Q1351" t="str">
        <f t="shared" si="21"/>
        <v>UNIVERSITAS SEBELAS MARETKIMIA</v>
      </c>
    </row>
    <row r="1352" spans="1:17" ht="15.75" thickBot="1" x14ac:dyDescent="0.3">
      <c r="A1352" s="7">
        <v>1351</v>
      </c>
      <c r="B1352" s="6">
        <v>38</v>
      </c>
      <c r="C1352" s="12">
        <v>3531127</v>
      </c>
      <c r="D1352" t="s">
        <v>66</v>
      </c>
      <c r="E1352" s="12">
        <v>30</v>
      </c>
      <c r="F1352" s="10" t="s">
        <v>20</v>
      </c>
      <c r="I1352" s="87"/>
      <c r="J1352" s="138">
        <v>631.23</v>
      </c>
      <c r="K1352" s="138">
        <v>641.40499999999997</v>
      </c>
      <c r="L1352" s="138">
        <v>621.05500000000006</v>
      </c>
      <c r="M1352" s="28"/>
      <c r="N1352" s="83">
        <v>631.23</v>
      </c>
      <c r="P1352" t="str">
        <f>VLOOKUP(B1352,PTN!A:B,2,FALSE)</f>
        <v>UNIVERSITAS SEBELAS MARET</v>
      </c>
      <c r="Q1352" t="str">
        <f t="shared" si="21"/>
        <v>UNIVERSITAS SEBELAS MARETMATEMATIKA</v>
      </c>
    </row>
    <row r="1353" spans="1:17" ht="15.75" thickBot="1" x14ac:dyDescent="0.3">
      <c r="A1353" s="7">
        <v>1352</v>
      </c>
      <c r="B1353" s="6">
        <v>38</v>
      </c>
      <c r="C1353" s="13">
        <v>3531201</v>
      </c>
      <c r="D1353" t="s">
        <v>67</v>
      </c>
      <c r="E1353" s="13">
        <v>27</v>
      </c>
      <c r="F1353" s="10" t="s">
        <v>20</v>
      </c>
      <c r="I1353" s="26"/>
      <c r="J1353" s="138">
        <v>609.22</v>
      </c>
      <c r="K1353" s="138">
        <v>616.20500000000004</v>
      </c>
      <c r="L1353" s="138">
        <v>602.23500000000001</v>
      </c>
      <c r="M1353" s="27"/>
      <c r="N1353" s="83">
        <v>609.22</v>
      </c>
      <c r="P1353" t="str">
        <f>VLOOKUP(B1353,PTN!A:B,2,FALSE)</f>
        <v>UNIVERSITAS SEBELAS MARET</v>
      </c>
      <c r="Q1353" t="str">
        <f t="shared" si="21"/>
        <v>UNIVERSITAS SEBELAS MARETPENDIDIKAN BIOLOGI</v>
      </c>
    </row>
    <row r="1354" spans="1:17" ht="15.75" thickBot="1" x14ac:dyDescent="0.3">
      <c r="A1354" s="7">
        <v>1353</v>
      </c>
      <c r="B1354" s="6">
        <v>38</v>
      </c>
      <c r="C1354" s="12">
        <v>3531182</v>
      </c>
      <c r="D1354" t="s">
        <v>42</v>
      </c>
      <c r="E1354" s="12">
        <v>24</v>
      </c>
      <c r="F1354" s="10" t="s">
        <v>20</v>
      </c>
      <c r="I1354" s="87"/>
      <c r="J1354" s="138">
        <v>603.92999999999995</v>
      </c>
      <c r="K1354" s="138">
        <v>608.9899999999999</v>
      </c>
      <c r="L1354" s="138">
        <v>598.87</v>
      </c>
      <c r="M1354" s="28"/>
      <c r="N1354" s="83">
        <v>603.92999999999995</v>
      </c>
      <c r="P1354" t="str">
        <f>VLOOKUP(B1354,PTN!A:B,2,FALSE)</f>
        <v>UNIVERSITAS SEBELAS MARET</v>
      </c>
      <c r="Q1354" t="str">
        <f t="shared" si="21"/>
        <v>UNIVERSITAS SEBELAS MARETPENDIDIKAN FISIKA</v>
      </c>
    </row>
    <row r="1355" spans="1:17" ht="15.75" thickBot="1" x14ac:dyDescent="0.3">
      <c r="A1355" s="7">
        <v>1354</v>
      </c>
      <c r="B1355" s="6">
        <v>38</v>
      </c>
      <c r="C1355" s="13">
        <v>3531305</v>
      </c>
      <c r="D1355" t="s">
        <v>115</v>
      </c>
      <c r="E1355" s="13">
        <v>24</v>
      </c>
      <c r="F1355" s="10" t="s">
        <v>20</v>
      </c>
      <c r="I1355" s="26"/>
      <c r="J1355" s="138">
        <v>596.62</v>
      </c>
      <c r="K1355" s="138">
        <v>602.51</v>
      </c>
      <c r="L1355" s="138">
        <v>590.73</v>
      </c>
      <c r="M1355" s="27"/>
      <c r="N1355" s="83">
        <v>596.62</v>
      </c>
      <c r="P1355" t="str">
        <f>VLOOKUP(B1355,PTN!A:B,2,FALSE)</f>
        <v>UNIVERSITAS SEBELAS MARET</v>
      </c>
      <c r="Q1355" t="str">
        <f t="shared" si="21"/>
        <v>UNIVERSITAS SEBELAS MARETPENDIDIKAN IPA</v>
      </c>
    </row>
    <row r="1356" spans="1:17" ht="15.75" thickBot="1" x14ac:dyDescent="0.3">
      <c r="A1356" s="7">
        <v>1355</v>
      </c>
      <c r="B1356" s="6">
        <v>38</v>
      </c>
      <c r="C1356" s="12">
        <v>3531197</v>
      </c>
      <c r="D1356" t="s">
        <v>43</v>
      </c>
      <c r="E1356" s="12">
        <v>24</v>
      </c>
      <c r="F1356" s="10" t="s">
        <v>20</v>
      </c>
      <c r="I1356" s="87"/>
      <c r="J1356" s="138">
        <v>612.71</v>
      </c>
      <c r="K1356" s="138">
        <v>618.33000000000004</v>
      </c>
      <c r="L1356" s="138">
        <v>607.09</v>
      </c>
      <c r="M1356" s="28"/>
      <c r="N1356" s="83">
        <v>612.71</v>
      </c>
      <c r="P1356" t="str">
        <f>VLOOKUP(B1356,PTN!A:B,2,FALSE)</f>
        <v>UNIVERSITAS SEBELAS MARET</v>
      </c>
      <c r="Q1356" t="str">
        <f t="shared" si="21"/>
        <v>UNIVERSITAS SEBELAS MARETPENDIDIKAN KIMIA</v>
      </c>
    </row>
    <row r="1357" spans="1:17" ht="15.75" thickBot="1" x14ac:dyDescent="0.3">
      <c r="A1357" s="7">
        <v>1356</v>
      </c>
      <c r="B1357" s="6">
        <v>38</v>
      </c>
      <c r="C1357" s="13">
        <v>3531216</v>
      </c>
      <c r="D1357" t="s">
        <v>44</v>
      </c>
      <c r="E1357" s="13">
        <v>24</v>
      </c>
      <c r="F1357" s="10" t="s">
        <v>20</v>
      </c>
      <c r="I1357" s="26"/>
      <c r="J1357" s="138">
        <v>633.16</v>
      </c>
      <c r="K1357" s="138">
        <v>641.69499999999994</v>
      </c>
      <c r="L1357" s="138">
        <v>624.625</v>
      </c>
      <c r="M1357" s="27"/>
      <c r="N1357" s="83">
        <v>633.16</v>
      </c>
      <c r="P1357" t="str">
        <f>VLOOKUP(B1357,PTN!A:B,2,FALSE)</f>
        <v>UNIVERSITAS SEBELAS MARET</v>
      </c>
      <c r="Q1357" t="str">
        <f t="shared" si="21"/>
        <v>UNIVERSITAS SEBELAS MARETPENDIDIKAN MATEMATIKA</v>
      </c>
    </row>
    <row r="1358" spans="1:17" ht="15.75" thickBot="1" x14ac:dyDescent="0.3">
      <c r="A1358" s="7">
        <v>1357</v>
      </c>
      <c r="B1358" s="6">
        <v>38</v>
      </c>
      <c r="C1358" s="12">
        <v>3531232</v>
      </c>
      <c r="D1358" t="s">
        <v>116</v>
      </c>
      <c r="E1358" s="12">
        <v>24</v>
      </c>
      <c r="F1358" s="10" t="s">
        <v>20</v>
      </c>
      <c r="I1358" s="87"/>
      <c r="J1358" s="138" t="s">
        <v>1292</v>
      </c>
      <c r="K1358" s="138" t="s">
        <v>1292</v>
      </c>
      <c r="L1358" s="138" t="s">
        <v>1292</v>
      </c>
      <c r="M1358" s="28"/>
      <c r="N1358" s="83" t="s">
        <v>1292</v>
      </c>
      <c r="P1358" t="str">
        <f>VLOOKUP(B1358,PTN!A:B,2,FALSE)</f>
        <v>UNIVERSITAS SEBELAS MARET</v>
      </c>
      <c r="Q1358" t="str">
        <f t="shared" si="21"/>
        <v>UNIVERSITAS SEBELAS MARETPENDIDIKAN TEKNIK BANGUNAN</v>
      </c>
    </row>
    <row r="1359" spans="1:17" ht="15.75" thickBot="1" x14ac:dyDescent="0.3">
      <c r="A1359" s="7">
        <v>1358</v>
      </c>
      <c r="B1359" s="6">
        <v>38</v>
      </c>
      <c r="C1359" s="13">
        <v>3531247</v>
      </c>
      <c r="D1359" t="s">
        <v>464</v>
      </c>
      <c r="E1359" s="13">
        <v>24</v>
      </c>
      <c r="F1359" s="10" t="s">
        <v>20</v>
      </c>
      <c r="I1359" s="26"/>
      <c r="J1359" s="138" t="s">
        <v>1292</v>
      </c>
      <c r="K1359" s="138" t="s">
        <v>1292</v>
      </c>
      <c r="L1359" s="138" t="s">
        <v>1292</v>
      </c>
      <c r="M1359" s="27"/>
      <c r="N1359" s="83" t="s">
        <v>1292</v>
      </c>
      <c r="P1359" t="str">
        <f>VLOOKUP(B1359,PTN!A:B,2,FALSE)</f>
        <v>UNIVERSITAS SEBELAS MARET</v>
      </c>
      <c r="Q1359" t="str">
        <f t="shared" si="21"/>
        <v>UNIVERSITAS SEBELAS MARETPENDIDIKAN TEKNIK INFORMATIKA &amp; KOMPUTER</v>
      </c>
    </row>
    <row r="1360" spans="1:17" ht="15.75" thickBot="1" x14ac:dyDescent="0.3">
      <c r="A1360" s="7">
        <v>1359</v>
      </c>
      <c r="B1360" s="6">
        <v>38</v>
      </c>
      <c r="C1360" s="12">
        <v>3531224</v>
      </c>
      <c r="D1360" t="s">
        <v>45</v>
      </c>
      <c r="E1360" s="12">
        <v>24</v>
      </c>
      <c r="F1360" s="10" t="s">
        <v>20</v>
      </c>
      <c r="I1360" s="87"/>
      <c r="J1360" s="138" t="s">
        <v>1292</v>
      </c>
      <c r="K1360" s="138" t="s">
        <v>1292</v>
      </c>
      <c r="L1360" s="138" t="s">
        <v>1292</v>
      </c>
      <c r="M1360" s="28"/>
      <c r="N1360" s="83" t="s">
        <v>1292</v>
      </c>
      <c r="P1360" t="str">
        <f>VLOOKUP(B1360,PTN!A:B,2,FALSE)</f>
        <v>UNIVERSITAS SEBELAS MARET</v>
      </c>
      <c r="Q1360" t="str">
        <f t="shared" si="21"/>
        <v>UNIVERSITAS SEBELAS MARETPENDIDIKAN TEKNIK MESIN</v>
      </c>
    </row>
    <row r="1361" spans="1:17" ht="15.75" thickBot="1" x14ac:dyDescent="0.3">
      <c r="A1361" s="7">
        <v>1360</v>
      </c>
      <c r="B1361" s="6">
        <v>38</v>
      </c>
      <c r="C1361" s="13">
        <v>3531321</v>
      </c>
      <c r="D1361" t="s">
        <v>465</v>
      </c>
      <c r="E1361" s="13">
        <v>15</v>
      </c>
      <c r="F1361" s="10" t="s">
        <v>20</v>
      </c>
      <c r="I1361" s="26"/>
      <c r="J1361" s="138" t="s">
        <v>1292</v>
      </c>
      <c r="K1361" s="138" t="s">
        <v>1292</v>
      </c>
      <c r="L1361" s="138" t="s">
        <v>1292</v>
      </c>
      <c r="M1361" s="27"/>
      <c r="N1361" s="83" t="s">
        <v>1292</v>
      </c>
      <c r="P1361" t="str">
        <f>VLOOKUP(B1361,PTN!A:B,2,FALSE)</f>
        <v>UNIVERSITAS SEBELAS MARET</v>
      </c>
      <c r="Q1361" t="str">
        <f t="shared" si="21"/>
        <v>UNIVERSITAS SEBELAS MARETPENGELOLAAN HUTAN</v>
      </c>
    </row>
    <row r="1362" spans="1:17" ht="15.75" thickBot="1" x14ac:dyDescent="0.3">
      <c r="A1362" s="7">
        <v>1361</v>
      </c>
      <c r="B1362" s="6">
        <v>38</v>
      </c>
      <c r="C1362" s="12">
        <v>3531263</v>
      </c>
      <c r="D1362" t="s">
        <v>466</v>
      </c>
      <c r="E1362" s="12">
        <v>30</v>
      </c>
      <c r="F1362" s="10" t="s">
        <v>20</v>
      </c>
      <c r="I1362" s="87"/>
      <c r="J1362" s="138">
        <v>596.1</v>
      </c>
      <c r="K1362" s="138">
        <v>603.58500000000004</v>
      </c>
      <c r="L1362" s="138">
        <v>588.61500000000001</v>
      </c>
      <c r="M1362" s="28"/>
      <c r="N1362" s="83">
        <v>596.1</v>
      </c>
      <c r="P1362" t="str">
        <f>VLOOKUP(B1362,PTN!A:B,2,FALSE)</f>
        <v>UNIVERSITAS SEBELAS MARET</v>
      </c>
      <c r="Q1362" t="str">
        <f t="shared" si="21"/>
        <v>UNIVERSITAS SEBELAS MARETPENYULUHAN DAN KOMUNIKASI PERTANIAN</v>
      </c>
    </row>
    <row r="1363" spans="1:17" ht="15.75" thickBot="1" x14ac:dyDescent="0.3">
      <c r="A1363" s="7">
        <v>1362</v>
      </c>
      <c r="B1363" s="6">
        <v>38</v>
      </c>
      <c r="C1363" s="13">
        <v>3531166</v>
      </c>
      <c r="D1363" t="s">
        <v>467</v>
      </c>
      <c r="E1363" s="13">
        <v>14</v>
      </c>
      <c r="F1363" s="10" t="s">
        <v>20</v>
      </c>
      <c r="I1363" s="26"/>
      <c r="J1363" s="138">
        <v>633.35</v>
      </c>
      <c r="K1363" s="138">
        <v>640.42000000000007</v>
      </c>
      <c r="L1363" s="138">
        <v>626.28</v>
      </c>
      <c r="M1363" s="27"/>
      <c r="N1363" s="83">
        <v>633.35</v>
      </c>
      <c r="P1363" t="str">
        <f>VLOOKUP(B1363,PTN!A:B,2,FALSE)</f>
        <v>UNIVERSITAS SEBELAS MARET</v>
      </c>
      <c r="Q1363" t="str">
        <f t="shared" si="21"/>
        <v>UNIVERSITAS SEBELAS MARETPERENCANAAN WILAYAH DAN KOTA (PWK)</v>
      </c>
    </row>
    <row r="1364" spans="1:17" ht="15.75" thickBot="1" x14ac:dyDescent="0.3">
      <c r="A1364" s="7">
        <v>1363</v>
      </c>
      <c r="B1364" s="6">
        <v>38</v>
      </c>
      <c r="C1364" s="12">
        <v>3531054</v>
      </c>
      <c r="D1364" t="s">
        <v>88</v>
      </c>
      <c r="E1364" s="12">
        <v>42</v>
      </c>
      <c r="F1364" s="10" t="s">
        <v>20</v>
      </c>
      <c r="I1364" s="87"/>
      <c r="J1364" s="138" t="s">
        <v>1292</v>
      </c>
      <c r="K1364" s="138" t="s">
        <v>1292</v>
      </c>
      <c r="L1364" s="138" t="s">
        <v>1292</v>
      </c>
      <c r="M1364" s="28"/>
      <c r="N1364" s="83" t="s">
        <v>1292</v>
      </c>
      <c r="P1364" t="str">
        <f>VLOOKUP(B1364,PTN!A:B,2,FALSE)</f>
        <v>UNIVERSITAS SEBELAS MARET</v>
      </c>
      <c r="Q1364" t="str">
        <f t="shared" si="21"/>
        <v>UNIVERSITAS SEBELAS MARETPETERNAKAN</v>
      </c>
    </row>
    <row r="1365" spans="1:17" ht="15.75" thickBot="1" x14ac:dyDescent="0.3">
      <c r="A1365" s="7">
        <v>1364</v>
      </c>
      <c r="B1365" s="6">
        <v>38</v>
      </c>
      <c r="C1365" s="13">
        <v>3531023</v>
      </c>
      <c r="D1365" t="s">
        <v>36</v>
      </c>
      <c r="E1365" s="13">
        <v>36</v>
      </c>
      <c r="F1365" s="10" t="s">
        <v>20</v>
      </c>
      <c r="I1365" s="26"/>
      <c r="J1365" s="138">
        <v>652.26</v>
      </c>
      <c r="K1365" s="138">
        <v>658.57500000000005</v>
      </c>
      <c r="L1365" s="138">
        <v>645.94499999999994</v>
      </c>
      <c r="M1365" s="27"/>
      <c r="N1365" s="83">
        <v>652.26</v>
      </c>
      <c r="P1365" t="str">
        <f>VLOOKUP(B1365,PTN!A:B,2,FALSE)</f>
        <v>UNIVERSITAS SEBELAS MARET</v>
      </c>
      <c r="Q1365" t="str">
        <f t="shared" si="21"/>
        <v>UNIVERSITAS SEBELAS MARETPSIKOLOGI</v>
      </c>
    </row>
    <row r="1366" spans="1:17" ht="15.75" thickBot="1" x14ac:dyDescent="0.3">
      <c r="A1366" s="7">
        <v>1365</v>
      </c>
      <c r="B1366" s="6">
        <v>38</v>
      </c>
      <c r="C1366" s="12">
        <v>3531294</v>
      </c>
      <c r="D1366" t="s">
        <v>90</v>
      </c>
      <c r="E1366" s="12">
        <v>30</v>
      </c>
      <c r="F1366" s="10" t="s">
        <v>20</v>
      </c>
      <c r="I1366" s="87"/>
      <c r="J1366" s="138">
        <v>645.49</v>
      </c>
      <c r="K1366" s="138">
        <v>654.32000000000005</v>
      </c>
      <c r="L1366" s="138">
        <v>636.66</v>
      </c>
      <c r="M1366" s="28"/>
      <c r="N1366" s="83">
        <v>645.49</v>
      </c>
      <c r="P1366" t="str">
        <f>VLOOKUP(B1366,PTN!A:B,2,FALSE)</f>
        <v>UNIVERSITAS SEBELAS MARET</v>
      </c>
      <c r="Q1366" t="str">
        <f t="shared" si="21"/>
        <v>UNIVERSITAS SEBELAS MARETSTATISTIKA</v>
      </c>
    </row>
    <row r="1367" spans="1:17" ht="15.75" thickBot="1" x14ac:dyDescent="0.3">
      <c r="A1367" s="7">
        <v>1366</v>
      </c>
      <c r="B1367" s="6">
        <v>38</v>
      </c>
      <c r="C1367" s="13">
        <v>3531286</v>
      </c>
      <c r="D1367" t="s">
        <v>48</v>
      </c>
      <c r="E1367" s="13">
        <v>24</v>
      </c>
      <c r="F1367" s="10" t="s">
        <v>20</v>
      </c>
      <c r="I1367" s="26"/>
      <c r="J1367" s="138">
        <v>627.95000000000005</v>
      </c>
      <c r="K1367" s="138">
        <v>635.30000000000007</v>
      </c>
      <c r="L1367" s="138">
        <v>620.6</v>
      </c>
      <c r="M1367" s="27"/>
      <c r="N1367" s="83">
        <v>627.95000000000005</v>
      </c>
      <c r="P1367" t="str">
        <f>VLOOKUP(B1367,PTN!A:B,2,FALSE)</f>
        <v>UNIVERSITAS SEBELAS MARET</v>
      </c>
      <c r="Q1367" t="str">
        <f t="shared" si="21"/>
        <v>UNIVERSITAS SEBELAS MARETTEKNIK ELEKTRO</v>
      </c>
    </row>
    <row r="1368" spans="1:17" ht="15.75" thickBot="1" x14ac:dyDescent="0.3">
      <c r="A1368" s="7">
        <v>1367</v>
      </c>
      <c r="B1368" s="6">
        <v>38</v>
      </c>
      <c r="C1368" s="12">
        <v>3531093</v>
      </c>
      <c r="D1368" t="s">
        <v>49</v>
      </c>
      <c r="E1368" s="12">
        <v>33</v>
      </c>
      <c r="F1368" s="10" t="s">
        <v>20</v>
      </c>
      <c r="I1368" s="87"/>
      <c r="J1368" s="138">
        <v>645.64</v>
      </c>
      <c r="K1368" s="138">
        <v>653.66499999999996</v>
      </c>
      <c r="L1368" s="138">
        <v>637.61500000000001</v>
      </c>
      <c r="M1368" s="28"/>
      <c r="N1368" s="83">
        <v>645.64</v>
      </c>
      <c r="P1368" t="str">
        <f>VLOOKUP(B1368,PTN!A:B,2,FALSE)</f>
        <v>UNIVERSITAS SEBELAS MARET</v>
      </c>
      <c r="Q1368" t="str">
        <f t="shared" si="21"/>
        <v>UNIVERSITAS SEBELAS MARETTEKNIK INDUSTRI</v>
      </c>
    </row>
    <row r="1369" spans="1:17" ht="15.75" thickBot="1" x14ac:dyDescent="0.3">
      <c r="A1369" s="7">
        <v>1368</v>
      </c>
      <c r="B1369" s="6">
        <v>38</v>
      </c>
      <c r="C1369" s="13">
        <v>3531112</v>
      </c>
      <c r="D1369" t="s">
        <v>51</v>
      </c>
      <c r="E1369" s="13">
        <v>30</v>
      </c>
      <c r="F1369" s="10" t="s">
        <v>20</v>
      </c>
      <c r="I1369" s="26"/>
      <c r="J1369" s="138">
        <v>642.97</v>
      </c>
      <c r="K1369" s="138">
        <v>648.74</v>
      </c>
      <c r="L1369" s="138">
        <v>637.20000000000005</v>
      </c>
      <c r="M1369" s="27"/>
      <c r="N1369" s="83">
        <v>642.97</v>
      </c>
      <c r="P1369" t="str">
        <f>VLOOKUP(B1369,PTN!A:B,2,FALSE)</f>
        <v>UNIVERSITAS SEBELAS MARET</v>
      </c>
      <c r="Q1369" t="str">
        <f t="shared" si="21"/>
        <v>UNIVERSITAS SEBELAS MARETTEKNIK KIMIA</v>
      </c>
    </row>
    <row r="1370" spans="1:17" ht="15.75" thickBot="1" x14ac:dyDescent="0.3">
      <c r="A1370" s="7">
        <v>1369</v>
      </c>
      <c r="B1370" s="6">
        <v>38</v>
      </c>
      <c r="C1370" s="12">
        <v>3531104</v>
      </c>
      <c r="D1370" t="s">
        <v>53</v>
      </c>
      <c r="E1370" s="12">
        <v>30</v>
      </c>
      <c r="F1370" s="10" t="s">
        <v>20</v>
      </c>
      <c r="I1370" s="87"/>
      <c r="J1370" s="138">
        <v>635.07000000000005</v>
      </c>
      <c r="K1370" s="138">
        <v>643.42000000000007</v>
      </c>
      <c r="L1370" s="138">
        <v>626.72</v>
      </c>
      <c r="M1370" s="28"/>
      <c r="N1370" s="83">
        <v>635.07000000000005</v>
      </c>
      <c r="P1370" t="str">
        <f>VLOOKUP(B1370,PTN!A:B,2,FALSE)</f>
        <v>UNIVERSITAS SEBELAS MARET</v>
      </c>
      <c r="Q1370" t="str">
        <f t="shared" si="21"/>
        <v>UNIVERSITAS SEBELAS MARETTEKNIK MESIN</v>
      </c>
    </row>
    <row r="1371" spans="1:17" ht="15.75" thickBot="1" x14ac:dyDescent="0.3">
      <c r="A1371" s="7">
        <v>1370</v>
      </c>
      <c r="B1371" s="6">
        <v>38</v>
      </c>
      <c r="C1371" s="16">
        <v>3531077</v>
      </c>
      <c r="D1371" t="s">
        <v>54</v>
      </c>
      <c r="E1371" s="16">
        <v>48</v>
      </c>
      <c r="F1371" s="10" t="s">
        <v>20</v>
      </c>
      <c r="I1371" s="26"/>
      <c r="J1371" s="138">
        <v>647.11</v>
      </c>
      <c r="K1371" s="138">
        <v>652.91999999999996</v>
      </c>
      <c r="L1371" s="138">
        <v>641.30000000000007</v>
      </c>
      <c r="M1371" s="27"/>
      <c r="N1371" s="83">
        <v>647.11</v>
      </c>
      <c r="P1371" t="str">
        <f>VLOOKUP(B1371,PTN!A:B,2,FALSE)</f>
        <v>UNIVERSITAS SEBELAS MARET</v>
      </c>
      <c r="Q1371" t="str">
        <f t="shared" si="21"/>
        <v>UNIVERSITAS SEBELAS MARETTEKNIK SIPIL</v>
      </c>
    </row>
    <row r="1372" spans="1:17" ht="16.5" thickTop="1" thickBot="1" x14ac:dyDescent="0.3">
      <c r="A1372" s="7">
        <v>1371</v>
      </c>
      <c r="B1372" s="6">
        <v>38</v>
      </c>
      <c r="C1372" s="12">
        <v>3532073</v>
      </c>
      <c r="D1372" t="s">
        <v>55</v>
      </c>
      <c r="E1372" s="12">
        <v>42</v>
      </c>
      <c r="F1372" s="10" t="s">
        <v>13</v>
      </c>
      <c r="I1372" s="20"/>
      <c r="J1372" s="138">
        <v>641.09</v>
      </c>
      <c r="K1372" s="138">
        <v>649.22773000000007</v>
      </c>
      <c r="L1372" s="138">
        <v>632.95227</v>
      </c>
      <c r="M1372" s="21"/>
      <c r="N1372" s="83">
        <v>641.09</v>
      </c>
      <c r="P1372" t="str">
        <f>VLOOKUP(B1372,PTN!A:B,2,FALSE)</f>
        <v>UNIVERSITAS SEBELAS MARET</v>
      </c>
      <c r="Q1372" t="str">
        <f t="shared" si="21"/>
        <v>UNIVERSITAS SEBELAS MARETAKUNTANSI</v>
      </c>
    </row>
    <row r="1373" spans="1:17" ht="15.75" thickBot="1" x14ac:dyDescent="0.3">
      <c r="A1373" s="7">
        <v>1372</v>
      </c>
      <c r="B1373" s="6">
        <v>38</v>
      </c>
      <c r="C1373" s="13">
        <v>3532282</v>
      </c>
      <c r="D1373" t="s">
        <v>187</v>
      </c>
      <c r="E1373" s="13">
        <v>24</v>
      </c>
      <c r="F1373" s="10" t="s">
        <v>13</v>
      </c>
      <c r="I1373" s="22"/>
      <c r="J1373" s="138">
        <v>593.07000000000005</v>
      </c>
      <c r="K1373" s="138">
        <v>601.20773000000008</v>
      </c>
      <c r="L1373" s="138">
        <v>584.93227000000002</v>
      </c>
      <c r="M1373" s="21"/>
      <c r="N1373" s="83">
        <v>593.07000000000005</v>
      </c>
      <c r="P1373" t="str">
        <f>VLOOKUP(B1373,PTN!A:B,2,FALSE)</f>
        <v>UNIVERSITAS SEBELAS MARET</v>
      </c>
      <c r="Q1373" t="str">
        <f t="shared" si="21"/>
        <v>UNIVERSITAS SEBELAS MARETBIMBINGAN DAN KONSELING</v>
      </c>
    </row>
    <row r="1374" spans="1:17" ht="16.5" thickTop="1" thickBot="1" x14ac:dyDescent="0.3">
      <c r="A1374" s="7">
        <v>1373</v>
      </c>
      <c r="B1374" s="6">
        <v>38</v>
      </c>
      <c r="C1374" s="12">
        <v>3532146</v>
      </c>
      <c r="D1374" t="s">
        <v>432</v>
      </c>
      <c r="E1374" s="12">
        <v>15</v>
      </c>
      <c r="F1374" s="10" t="s">
        <v>13</v>
      </c>
      <c r="I1374" s="23"/>
      <c r="J1374" s="138">
        <v>603.53</v>
      </c>
      <c r="K1374" s="138">
        <v>611.66773000000001</v>
      </c>
      <c r="L1374" s="138">
        <v>595.39226999999994</v>
      </c>
      <c r="M1374" s="25"/>
      <c r="N1374" s="83">
        <v>603.53</v>
      </c>
      <c r="P1374" t="str">
        <f>VLOOKUP(B1374,PTN!A:B,2,FALSE)</f>
        <v>UNIVERSITAS SEBELAS MARET</v>
      </c>
      <c r="Q1374" t="str">
        <f t="shared" si="21"/>
        <v>UNIVERSITAS SEBELAS MARETDESAIN INTERIOR</v>
      </c>
    </row>
    <row r="1375" spans="1:17" ht="16.5" thickTop="1" thickBot="1" x14ac:dyDescent="0.3">
      <c r="A1375" s="7">
        <v>1374</v>
      </c>
      <c r="B1375" s="6">
        <v>38</v>
      </c>
      <c r="C1375" s="13">
        <v>3532154</v>
      </c>
      <c r="D1375" t="s">
        <v>12</v>
      </c>
      <c r="E1375" s="13">
        <v>18</v>
      </c>
      <c r="F1375" s="10" t="s">
        <v>13</v>
      </c>
      <c r="I1375" s="26"/>
      <c r="J1375" s="138">
        <v>625.62</v>
      </c>
      <c r="K1375" s="138">
        <v>633.75773000000004</v>
      </c>
      <c r="L1375" s="138">
        <v>617.48226999999997</v>
      </c>
      <c r="M1375" s="27"/>
      <c r="N1375" s="83">
        <v>625.62</v>
      </c>
      <c r="P1375" t="str">
        <f>VLOOKUP(B1375,PTN!A:B,2,FALSE)</f>
        <v>UNIVERSITAS SEBELAS MARET</v>
      </c>
      <c r="Q1375" t="str">
        <f t="shared" si="21"/>
        <v>UNIVERSITAS SEBELAS MARETDESAIN KOMUNIKASI VISUAL</v>
      </c>
    </row>
    <row r="1376" spans="1:17" ht="15.75" thickBot="1" x14ac:dyDescent="0.3">
      <c r="A1376" s="7">
        <v>1375</v>
      </c>
      <c r="B1376" s="6">
        <v>38</v>
      </c>
      <c r="C1376" s="12">
        <v>3532057</v>
      </c>
      <c r="D1376" t="s">
        <v>69</v>
      </c>
      <c r="E1376" s="12">
        <v>42</v>
      </c>
      <c r="F1376" s="10" t="s">
        <v>13</v>
      </c>
      <c r="I1376" s="87"/>
      <c r="J1376" s="138">
        <v>629.28</v>
      </c>
      <c r="K1376" s="138">
        <v>637.41773000000001</v>
      </c>
      <c r="L1376" s="138">
        <v>621.14226999999994</v>
      </c>
      <c r="M1376" s="28"/>
      <c r="N1376" s="83">
        <v>629.28</v>
      </c>
      <c r="P1376" t="str">
        <f>VLOOKUP(B1376,PTN!A:B,2,FALSE)</f>
        <v>UNIVERSITAS SEBELAS MARET</v>
      </c>
      <c r="Q1376" t="str">
        <f t="shared" si="21"/>
        <v>UNIVERSITAS SEBELAS MARETEKONOMI PEMBANGUNAN</v>
      </c>
    </row>
    <row r="1377" spans="1:17" ht="15.75" thickBot="1" x14ac:dyDescent="0.3">
      <c r="A1377" s="7">
        <v>1376</v>
      </c>
      <c r="B1377" s="6">
        <v>38</v>
      </c>
      <c r="C1377" s="13">
        <v>3532332</v>
      </c>
      <c r="D1377" t="s">
        <v>223</v>
      </c>
      <c r="E1377" s="13">
        <v>20</v>
      </c>
      <c r="F1377" s="10" t="s">
        <v>13</v>
      </c>
      <c r="I1377" s="26"/>
      <c r="J1377" s="138">
        <v>634.88</v>
      </c>
      <c r="K1377" s="138">
        <v>643.01773000000003</v>
      </c>
      <c r="L1377" s="138">
        <v>626.74226999999996</v>
      </c>
      <c r="M1377" s="27"/>
      <c r="N1377" s="83">
        <v>634.88</v>
      </c>
      <c r="P1377" t="str">
        <f>VLOOKUP(B1377,PTN!A:B,2,FALSE)</f>
        <v>UNIVERSITAS SEBELAS MARET</v>
      </c>
      <c r="Q1377" t="str">
        <f t="shared" si="21"/>
        <v>UNIVERSITAS SEBELAS MARETHUBUNGAN INTERNASIONAL</v>
      </c>
    </row>
    <row r="1378" spans="1:17" ht="15.75" thickBot="1" x14ac:dyDescent="0.3">
      <c r="A1378" s="7">
        <v>1377</v>
      </c>
      <c r="B1378" s="6">
        <v>38</v>
      </c>
      <c r="C1378" s="12">
        <v>3532011</v>
      </c>
      <c r="D1378" t="s">
        <v>29</v>
      </c>
      <c r="E1378" s="12">
        <v>36</v>
      </c>
      <c r="F1378" s="10" t="s">
        <v>13</v>
      </c>
      <c r="I1378" s="87"/>
      <c r="J1378" s="138">
        <v>623.28</v>
      </c>
      <c r="K1378" s="138">
        <v>631.41773000000001</v>
      </c>
      <c r="L1378" s="138">
        <v>615.14226999999994</v>
      </c>
      <c r="M1378" s="28"/>
      <c r="N1378" s="83">
        <v>623.28</v>
      </c>
      <c r="P1378" t="str">
        <f>VLOOKUP(B1378,PTN!A:B,2,FALSE)</f>
        <v>UNIVERSITAS SEBELAS MARET</v>
      </c>
      <c r="Q1378" t="str">
        <f t="shared" si="21"/>
        <v>UNIVERSITAS SEBELAS MARETILMU ADMINISTRASI NEGARA</v>
      </c>
    </row>
    <row r="1379" spans="1:17" ht="15.75" thickBot="1" x14ac:dyDescent="0.3">
      <c r="A1379" s="7">
        <v>1378</v>
      </c>
      <c r="B1379" s="6">
        <v>38</v>
      </c>
      <c r="C1379" s="13">
        <v>3532042</v>
      </c>
      <c r="D1379" t="s">
        <v>31</v>
      </c>
      <c r="E1379" s="13">
        <v>135</v>
      </c>
      <c r="F1379" s="10" t="s">
        <v>13</v>
      </c>
      <c r="I1379" s="26"/>
      <c r="J1379" s="138">
        <v>621.44000000000005</v>
      </c>
      <c r="K1379" s="138">
        <v>629.57773000000009</v>
      </c>
      <c r="L1379" s="138">
        <v>613.30227000000002</v>
      </c>
      <c r="M1379" s="27"/>
      <c r="N1379" s="83">
        <v>621.44000000000005</v>
      </c>
      <c r="P1379" t="str">
        <f>VLOOKUP(B1379,PTN!A:B,2,FALSE)</f>
        <v>UNIVERSITAS SEBELAS MARET</v>
      </c>
      <c r="Q1379" t="str">
        <f t="shared" si="21"/>
        <v>UNIVERSITAS SEBELAS MARETILMU HUKUM</v>
      </c>
    </row>
    <row r="1380" spans="1:17" ht="15.75" thickBot="1" x14ac:dyDescent="0.3">
      <c r="A1380" s="7">
        <v>1379</v>
      </c>
      <c r="B1380" s="6">
        <v>38</v>
      </c>
      <c r="C1380" s="12">
        <v>3532026</v>
      </c>
      <c r="D1380" t="s">
        <v>60</v>
      </c>
      <c r="E1380" s="12">
        <v>30</v>
      </c>
      <c r="F1380" s="10" t="s">
        <v>13</v>
      </c>
      <c r="I1380" s="87"/>
      <c r="J1380" s="138">
        <v>638.62</v>
      </c>
      <c r="K1380" s="138">
        <v>646.75773000000004</v>
      </c>
      <c r="L1380" s="138">
        <v>630.48226999999997</v>
      </c>
      <c r="M1380" s="28"/>
      <c r="N1380" s="83">
        <v>638.62</v>
      </c>
      <c r="P1380" t="str">
        <f>VLOOKUP(B1380,PTN!A:B,2,FALSE)</f>
        <v>UNIVERSITAS SEBELAS MARET</v>
      </c>
      <c r="Q1380" t="str">
        <f t="shared" si="21"/>
        <v>UNIVERSITAS SEBELAS MARETILMU KOMUNIKASI</v>
      </c>
    </row>
    <row r="1381" spans="1:17" ht="15.75" thickBot="1" x14ac:dyDescent="0.3">
      <c r="A1381" s="7">
        <v>1380</v>
      </c>
      <c r="B1381" s="6">
        <v>38</v>
      </c>
      <c r="C1381" s="13">
        <v>3532081</v>
      </c>
      <c r="D1381" t="s">
        <v>148</v>
      </c>
      <c r="E1381" s="13">
        <v>18</v>
      </c>
      <c r="F1381" s="10" t="s">
        <v>13</v>
      </c>
      <c r="I1381" s="26"/>
      <c r="J1381" s="138">
        <v>602.02</v>
      </c>
      <c r="K1381" s="138">
        <v>610.15773000000002</v>
      </c>
      <c r="L1381" s="138">
        <v>593.88226999999995</v>
      </c>
      <c r="M1381" s="27"/>
      <c r="N1381" s="83">
        <v>602.02</v>
      </c>
      <c r="P1381" t="str">
        <f>VLOOKUP(B1381,PTN!A:B,2,FALSE)</f>
        <v>UNIVERSITAS SEBELAS MARET</v>
      </c>
      <c r="Q1381" t="str">
        <f t="shared" si="21"/>
        <v>UNIVERSITAS SEBELAS MARETILMU SEJARAH</v>
      </c>
    </row>
    <row r="1382" spans="1:17" ht="15.75" thickBot="1" x14ac:dyDescent="0.3">
      <c r="A1382" s="7">
        <v>1381</v>
      </c>
      <c r="B1382" s="6">
        <v>38</v>
      </c>
      <c r="C1382" s="12">
        <v>3532123</v>
      </c>
      <c r="D1382" t="s">
        <v>468</v>
      </c>
      <c r="E1382" s="12">
        <v>18</v>
      </c>
      <c r="F1382" s="10" t="s">
        <v>13</v>
      </c>
      <c r="I1382" s="87"/>
      <c r="J1382" s="138" t="s">
        <v>1292</v>
      </c>
      <c r="K1382" s="138" t="s">
        <v>1292</v>
      </c>
      <c r="L1382" s="138" t="s">
        <v>1292</v>
      </c>
      <c r="M1382" s="28"/>
      <c r="N1382" s="83" t="s">
        <v>1292</v>
      </c>
      <c r="P1382" t="str">
        <f>VLOOKUP(B1382,PTN!A:B,2,FALSE)</f>
        <v>UNIVERSITAS SEBELAS MARET</v>
      </c>
      <c r="Q1382" t="str">
        <f t="shared" si="21"/>
        <v>UNIVERSITAS SEBELAS MARETKRIYA SENI (DESAIN TEKSTIL)</v>
      </c>
    </row>
    <row r="1383" spans="1:17" ht="15.75" thickBot="1" x14ac:dyDescent="0.3">
      <c r="A1383" s="7">
        <v>1382</v>
      </c>
      <c r="B1383" s="6">
        <v>38</v>
      </c>
      <c r="C1383" s="13">
        <v>3532065</v>
      </c>
      <c r="D1383" t="s">
        <v>61</v>
      </c>
      <c r="E1383" s="13">
        <v>42</v>
      </c>
      <c r="F1383" s="10" t="s">
        <v>13</v>
      </c>
      <c r="I1383" s="26"/>
      <c r="J1383" s="138">
        <v>638.26</v>
      </c>
      <c r="K1383" s="138">
        <v>646.39773000000002</v>
      </c>
      <c r="L1383" s="138">
        <v>630.12226999999996</v>
      </c>
      <c r="M1383" s="27"/>
      <c r="N1383" s="83">
        <v>638.26</v>
      </c>
      <c r="P1383" t="str">
        <f>VLOOKUP(B1383,PTN!A:B,2,FALSE)</f>
        <v>UNIVERSITAS SEBELAS MARET</v>
      </c>
      <c r="Q1383" t="str">
        <f t="shared" si="21"/>
        <v>UNIVERSITAS SEBELAS MARETMANAJEMEN</v>
      </c>
    </row>
    <row r="1384" spans="1:17" ht="15.75" thickBot="1" x14ac:dyDescent="0.3">
      <c r="A1384" s="7">
        <v>1383</v>
      </c>
      <c r="B1384" s="6">
        <v>38</v>
      </c>
      <c r="C1384" s="12">
        <v>3532235</v>
      </c>
      <c r="D1384" t="s">
        <v>119</v>
      </c>
      <c r="E1384" s="12">
        <v>24</v>
      </c>
      <c r="F1384" s="10" t="s">
        <v>13</v>
      </c>
      <c r="I1384" s="87"/>
      <c r="J1384" s="138">
        <v>592.25</v>
      </c>
      <c r="K1384" s="138">
        <v>600.38773000000003</v>
      </c>
      <c r="L1384" s="138">
        <v>584.11226999999997</v>
      </c>
      <c r="M1384" s="28"/>
      <c r="N1384" s="83">
        <v>592.25</v>
      </c>
      <c r="P1384" t="str">
        <f>VLOOKUP(B1384,PTN!A:B,2,FALSE)</f>
        <v>UNIVERSITAS SEBELAS MARET</v>
      </c>
      <c r="Q1384" t="str">
        <f t="shared" si="21"/>
        <v>UNIVERSITAS SEBELAS MARETPEND. BAHASA, SASTRA INDONESIA &amp; DAERAH</v>
      </c>
    </row>
    <row r="1385" spans="1:17" ht="15.75" thickBot="1" x14ac:dyDescent="0.3">
      <c r="A1385" s="7">
        <v>1384</v>
      </c>
      <c r="B1385" s="6">
        <v>38</v>
      </c>
      <c r="C1385" s="13">
        <v>3532297</v>
      </c>
      <c r="D1385" t="s">
        <v>469</v>
      </c>
      <c r="E1385" s="13">
        <v>24</v>
      </c>
      <c r="F1385" s="10" t="s">
        <v>13</v>
      </c>
      <c r="I1385" s="26"/>
      <c r="J1385" s="138" t="s">
        <v>1292</v>
      </c>
      <c r="K1385" s="138" t="s">
        <v>1292</v>
      </c>
      <c r="L1385" s="138" t="s">
        <v>1292</v>
      </c>
      <c r="M1385" s="27"/>
      <c r="N1385" s="83" t="s">
        <v>1292</v>
      </c>
      <c r="P1385" t="str">
        <f>VLOOKUP(B1385,PTN!A:B,2,FALSE)</f>
        <v>UNIVERSITAS SEBELAS MARET</v>
      </c>
      <c r="Q1385" t="str">
        <f t="shared" si="21"/>
        <v>UNIVERSITAS SEBELAS MARETPEND. GURU PEND ANAK USIA DINI (PG-PAUD)</v>
      </c>
    </row>
    <row r="1386" spans="1:17" ht="15.75" thickBot="1" x14ac:dyDescent="0.3">
      <c r="A1386" s="7">
        <v>1385</v>
      </c>
      <c r="B1386" s="6">
        <v>38</v>
      </c>
      <c r="C1386" s="12">
        <v>3532324</v>
      </c>
      <c r="D1386" t="s">
        <v>470</v>
      </c>
      <c r="E1386" s="12">
        <v>36</v>
      </c>
      <c r="F1386" s="10" t="s">
        <v>13</v>
      </c>
      <c r="I1386" s="87"/>
      <c r="J1386" s="138">
        <v>573.94000000000005</v>
      </c>
      <c r="K1386" s="138">
        <v>582.07773000000009</v>
      </c>
      <c r="L1386" s="138">
        <v>565.80227000000002</v>
      </c>
      <c r="M1386" s="28"/>
      <c r="N1386" s="83">
        <v>573.94000000000005</v>
      </c>
      <c r="P1386" t="str">
        <f>VLOOKUP(B1386,PTN!A:B,2,FALSE)</f>
        <v>UNIVERSITAS SEBELAS MARET</v>
      </c>
      <c r="Q1386" t="str">
        <f t="shared" si="21"/>
        <v>UNIVERSITAS SEBELAS MARETPEND. GURU SEKOLAH DASAR (PGSD) KEBUMEN</v>
      </c>
    </row>
    <row r="1387" spans="1:17" ht="15.75" thickBot="1" x14ac:dyDescent="0.3">
      <c r="A1387" s="7">
        <v>1386</v>
      </c>
      <c r="B1387" s="6">
        <v>38</v>
      </c>
      <c r="C1387" s="13">
        <v>3532274</v>
      </c>
      <c r="D1387" t="s">
        <v>471</v>
      </c>
      <c r="E1387" s="13">
        <v>48</v>
      </c>
      <c r="F1387" s="10" t="s">
        <v>13</v>
      </c>
      <c r="I1387" s="26"/>
      <c r="J1387" s="138">
        <v>596.95000000000005</v>
      </c>
      <c r="K1387" s="138">
        <v>605.08773000000008</v>
      </c>
      <c r="L1387" s="138">
        <v>588.81227000000001</v>
      </c>
      <c r="M1387" s="27"/>
      <c r="N1387" s="83">
        <v>596.95000000000005</v>
      </c>
      <c r="P1387" t="str">
        <f>VLOOKUP(B1387,PTN!A:B,2,FALSE)</f>
        <v>UNIVERSITAS SEBELAS MARET</v>
      </c>
      <c r="Q1387" t="str">
        <f t="shared" si="21"/>
        <v>UNIVERSITAS SEBELAS MARETPEND. GURU SEKOLAH DASAR (PGSD) SURAKARTA</v>
      </c>
    </row>
    <row r="1388" spans="1:17" ht="15.75" thickBot="1" x14ac:dyDescent="0.3">
      <c r="A1388" s="7">
        <v>1387</v>
      </c>
      <c r="B1388" s="6">
        <v>38</v>
      </c>
      <c r="C1388" s="12">
        <v>3532355</v>
      </c>
      <c r="D1388" t="s">
        <v>121</v>
      </c>
      <c r="E1388" s="12">
        <v>24</v>
      </c>
      <c r="F1388" s="10" t="s">
        <v>13</v>
      </c>
      <c r="I1388" s="87"/>
      <c r="J1388" s="138">
        <v>591.14</v>
      </c>
      <c r="K1388" s="138">
        <v>599.27773000000002</v>
      </c>
      <c r="L1388" s="138">
        <v>583.00226999999995</v>
      </c>
      <c r="M1388" s="28"/>
      <c r="N1388" s="83">
        <v>591.14</v>
      </c>
      <c r="P1388" t="str">
        <f>VLOOKUP(B1388,PTN!A:B,2,FALSE)</f>
        <v>UNIVERSITAS SEBELAS MARET</v>
      </c>
      <c r="Q1388" t="str">
        <f t="shared" si="21"/>
        <v>UNIVERSITAS SEBELAS MARETPENDIDIKAN ADMINISTRASI PERKANTORAN</v>
      </c>
    </row>
    <row r="1389" spans="1:17" ht="15.75" thickBot="1" x14ac:dyDescent="0.3">
      <c r="A1389" s="7">
        <v>1388</v>
      </c>
      <c r="B1389" s="6">
        <v>38</v>
      </c>
      <c r="C1389" s="13">
        <v>3532347</v>
      </c>
      <c r="D1389" t="s">
        <v>122</v>
      </c>
      <c r="E1389" s="13">
        <v>24</v>
      </c>
      <c r="F1389" s="10" t="s">
        <v>13</v>
      </c>
      <c r="I1389" s="26"/>
      <c r="J1389" s="138">
        <v>598.55999999999995</v>
      </c>
      <c r="K1389" s="138">
        <v>606.69772999999998</v>
      </c>
      <c r="L1389" s="138">
        <v>590.42226999999991</v>
      </c>
      <c r="M1389" s="27"/>
      <c r="N1389" s="83">
        <v>598.55999999999995</v>
      </c>
      <c r="P1389" t="str">
        <f>VLOOKUP(B1389,PTN!A:B,2,FALSE)</f>
        <v>UNIVERSITAS SEBELAS MARET</v>
      </c>
      <c r="Q1389" t="str">
        <f t="shared" si="21"/>
        <v>UNIVERSITAS SEBELAS MARETPENDIDIKAN AKUNTANSI</v>
      </c>
    </row>
    <row r="1390" spans="1:17" ht="15.75" thickBot="1" x14ac:dyDescent="0.3">
      <c r="A1390" s="7">
        <v>1389</v>
      </c>
      <c r="B1390" s="6">
        <v>38</v>
      </c>
      <c r="C1390" s="12">
        <v>3532243</v>
      </c>
      <c r="D1390" t="s">
        <v>71</v>
      </c>
      <c r="E1390" s="12">
        <v>24</v>
      </c>
      <c r="F1390" s="10" t="s">
        <v>13</v>
      </c>
      <c r="I1390" s="87"/>
      <c r="J1390" s="138">
        <v>611.74</v>
      </c>
      <c r="K1390" s="138">
        <v>619.87773000000004</v>
      </c>
      <c r="L1390" s="138">
        <v>603.60226999999998</v>
      </c>
      <c r="M1390" s="28"/>
      <c r="N1390" s="83">
        <v>611.74</v>
      </c>
      <c r="P1390" t="str">
        <f>VLOOKUP(B1390,PTN!A:B,2,FALSE)</f>
        <v>UNIVERSITAS SEBELAS MARET</v>
      </c>
      <c r="Q1390" t="str">
        <f t="shared" si="21"/>
        <v>UNIVERSITAS SEBELAS MARETPENDIDIKAN BAHASA INGGRIS</v>
      </c>
    </row>
    <row r="1391" spans="1:17" ht="15.75" thickBot="1" x14ac:dyDescent="0.3">
      <c r="A1391" s="7">
        <v>1390</v>
      </c>
      <c r="B1391" s="6">
        <v>38</v>
      </c>
      <c r="C1391" s="13">
        <v>3532316</v>
      </c>
      <c r="D1391" t="s">
        <v>472</v>
      </c>
      <c r="E1391" s="13">
        <v>24</v>
      </c>
      <c r="F1391" s="10" t="s">
        <v>13</v>
      </c>
      <c r="I1391" s="26"/>
      <c r="J1391" s="138">
        <v>570.01</v>
      </c>
      <c r="K1391" s="138">
        <v>578.14773000000002</v>
      </c>
      <c r="L1391" s="138">
        <v>561.87226999999996</v>
      </c>
      <c r="M1391" s="27"/>
      <c r="N1391" s="83">
        <v>570.01</v>
      </c>
      <c r="P1391" t="str">
        <f>VLOOKUP(B1391,PTN!A:B,2,FALSE)</f>
        <v>UNIVERSITAS SEBELAS MARET</v>
      </c>
      <c r="Q1391" t="str">
        <f t="shared" si="21"/>
        <v>UNIVERSITAS SEBELAS MARETPENDIDIKAN BAHASA JAWA</v>
      </c>
    </row>
    <row r="1392" spans="1:17" ht="15.75" thickBot="1" x14ac:dyDescent="0.3">
      <c r="A1392" s="7">
        <v>1391</v>
      </c>
      <c r="B1392" s="6">
        <v>38</v>
      </c>
      <c r="C1392" s="12">
        <v>3532363</v>
      </c>
      <c r="D1392" t="s">
        <v>100</v>
      </c>
      <c r="E1392" s="12">
        <v>24</v>
      </c>
      <c r="F1392" s="10" t="s">
        <v>13</v>
      </c>
      <c r="I1392" s="87"/>
      <c r="J1392" s="138">
        <v>602.36</v>
      </c>
      <c r="K1392" s="138">
        <v>610.49773000000005</v>
      </c>
      <c r="L1392" s="138">
        <v>594.22226999999998</v>
      </c>
      <c r="M1392" s="28"/>
      <c r="N1392" s="83">
        <v>602.36</v>
      </c>
      <c r="P1392" t="str">
        <f>VLOOKUP(B1392,PTN!A:B,2,FALSE)</f>
        <v>UNIVERSITAS SEBELAS MARET</v>
      </c>
      <c r="Q1392" t="str">
        <f t="shared" si="21"/>
        <v>UNIVERSITAS SEBELAS MARETPENDIDIKAN EKONOMI</v>
      </c>
    </row>
    <row r="1393" spans="1:17" ht="15.75" thickBot="1" x14ac:dyDescent="0.3">
      <c r="A1393" s="7">
        <v>1392</v>
      </c>
      <c r="B1393" s="6">
        <v>38</v>
      </c>
      <c r="C1393" s="13">
        <v>3532177</v>
      </c>
      <c r="D1393" t="s">
        <v>72</v>
      </c>
      <c r="E1393" s="13">
        <v>24</v>
      </c>
      <c r="F1393" s="10" t="s">
        <v>13</v>
      </c>
      <c r="I1393" s="26"/>
      <c r="J1393" s="138">
        <v>589.29</v>
      </c>
      <c r="K1393" s="138">
        <v>597.42773</v>
      </c>
      <c r="L1393" s="138">
        <v>581.15226999999993</v>
      </c>
      <c r="M1393" s="27"/>
      <c r="N1393" s="83">
        <v>589.29</v>
      </c>
      <c r="P1393" t="str">
        <f>VLOOKUP(B1393,PTN!A:B,2,FALSE)</f>
        <v>UNIVERSITAS SEBELAS MARET</v>
      </c>
      <c r="Q1393" t="str">
        <f t="shared" si="21"/>
        <v>UNIVERSITAS SEBELAS MARETPENDIDIKAN GEOGRAFI</v>
      </c>
    </row>
    <row r="1394" spans="1:17" ht="15.75" thickBot="1" x14ac:dyDescent="0.3">
      <c r="A1394" s="7">
        <v>1393</v>
      </c>
      <c r="B1394" s="6">
        <v>38</v>
      </c>
      <c r="C1394" s="12">
        <v>3532204</v>
      </c>
      <c r="D1394" t="s">
        <v>452</v>
      </c>
      <c r="E1394" s="12">
        <v>36</v>
      </c>
      <c r="F1394" s="10" t="s">
        <v>13</v>
      </c>
      <c r="I1394" s="87"/>
      <c r="J1394" s="138" t="s">
        <v>1292</v>
      </c>
      <c r="K1394" s="138" t="s">
        <v>1292</v>
      </c>
      <c r="L1394" s="138" t="s">
        <v>1292</v>
      </c>
      <c r="M1394" s="28"/>
      <c r="N1394" s="83" t="s">
        <v>1292</v>
      </c>
      <c r="P1394" t="str">
        <f>VLOOKUP(B1394,PTN!A:B,2,FALSE)</f>
        <v>UNIVERSITAS SEBELAS MARET</v>
      </c>
      <c r="Q1394" t="str">
        <f t="shared" si="21"/>
        <v>UNIVERSITAS SEBELAS MARETPENDIDIKAN JASMANI, KESEHATAN &amp; REKREASI</v>
      </c>
    </row>
    <row r="1395" spans="1:17" ht="15.75" thickBot="1" x14ac:dyDescent="0.3">
      <c r="A1395" s="7">
        <v>1394</v>
      </c>
      <c r="B1395" s="6">
        <v>38</v>
      </c>
      <c r="C1395" s="13">
        <v>3532212</v>
      </c>
      <c r="D1395" t="s">
        <v>330</v>
      </c>
      <c r="E1395" s="13">
        <v>36</v>
      </c>
      <c r="F1395" s="10" t="s">
        <v>13</v>
      </c>
      <c r="I1395" s="26"/>
      <c r="J1395" s="138" t="s">
        <v>1292</v>
      </c>
      <c r="K1395" s="138" t="s">
        <v>1292</v>
      </c>
      <c r="L1395" s="138" t="s">
        <v>1292</v>
      </c>
      <c r="M1395" s="27"/>
      <c r="N1395" s="83" t="s">
        <v>1292</v>
      </c>
      <c r="P1395" t="str">
        <f>VLOOKUP(B1395,PTN!A:B,2,FALSE)</f>
        <v>UNIVERSITAS SEBELAS MARET</v>
      </c>
      <c r="Q1395" t="str">
        <f t="shared" si="21"/>
        <v>UNIVERSITAS SEBELAS MARETPENDIDIKAN KEPELATIHAN OLAHRAGA</v>
      </c>
    </row>
    <row r="1396" spans="1:17" ht="15.75" thickBot="1" x14ac:dyDescent="0.3">
      <c r="A1396" s="7">
        <v>1395</v>
      </c>
      <c r="B1396" s="6">
        <v>38</v>
      </c>
      <c r="C1396" s="12">
        <v>3532193</v>
      </c>
      <c r="D1396" t="s">
        <v>473</v>
      </c>
      <c r="E1396" s="12">
        <v>24</v>
      </c>
      <c r="F1396" s="10" t="s">
        <v>13</v>
      </c>
      <c r="I1396" s="87"/>
      <c r="J1396" s="138">
        <v>578.80999999999995</v>
      </c>
      <c r="K1396" s="138">
        <v>586.94772999999998</v>
      </c>
      <c r="L1396" s="138">
        <v>570.67226999999991</v>
      </c>
      <c r="M1396" s="28"/>
      <c r="N1396" s="83">
        <v>578.80999999999995</v>
      </c>
      <c r="P1396" t="str">
        <f>VLOOKUP(B1396,PTN!A:B,2,FALSE)</f>
        <v>UNIVERSITAS SEBELAS MARET</v>
      </c>
      <c r="Q1396" t="str">
        <f t="shared" si="21"/>
        <v>UNIVERSITAS SEBELAS MARETPENDIDIKAN LUAR BIASA (PENDIDIKAN KHUSUS)</v>
      </c>
    </row>
    <row r="1397" spans="1:17" ht="15.75" thickBot="1" x14ac:dyDescent="0.3">
      <c r="A1397" s="7">
        <v>1396</v>
      </c>
      <c r="B1397" s="6">
        <v>38</v>
      </c>
      <c r="C1397" s="13">
        <v>3532162</v>
      </c>
      <c r="D1397" t="s">
        <v>75</v>
      </c>
      <c r="E1397" s="13">
        <v>24</v>
      </c>
      <c r="F1397" s="10" t="s">
        <v>13</v>
      </c>
      <c r="I1397" s="26"/>
      <c r="J1397" s="138">
        <v>592.85</v>
      </c>
      <c r="K1397" s="138">
        <v>600.98773000000006</v>
      </c>
      <c r="L1397" s="138">
        <v>584.71226999999999</v>
      </c>
      <c r="M1397" s="27"/>
      <c r="N1397" s="83">
        <v>592.85</v>
      </c>
      <c r="P1397" t="str">
        <f>VLOOKUP(B1397,PTN!A:B,2,FALSE)</f>
        <v>UNIVERSITAS SEBELAS MARET</v>
      </c>
      <c r="Q1397" t="str">
        <f t="shared" si="21"/>
        <v>UNIVERSITAS SEBELAS MARETPENDIDIKAN SEJARAH</v>
      </c>
    </row>
    <row r="1398" spans="1:17" ht="15.75" thickBot="1" x14ac:dyDescent="0.3">
      <c r="A1398" s="7">
        <v>1397</v>
      </c>
      <c r="B1398" s="6">
        <v>38</v>
      </c>
      <c r="C1398" s="12">
        <v>3532251</v>
      </c>
      <c r="D1398" t="s">
        <v>131</v>
      </c>
      <c r="E1398" s="12">
        <v>24</v>
      </c>
      <c r="F1398" s="10" t="s">
        <v>13</v>
      </c>
      <c r="I1398" s="87"/>
      <c r="J1398" s="138" t="s">
        <v>1292</v>
      </c>
      <c r="K1398" s="138" t="s">
        <v>1292</v>
      </c>
      <c r="L1398" s="138" t="s">
        <v>1292</v>
      </c>
      <c r="M1398" s="28"/>
      <c r="N1398" s="83" t="s">
        <v>1292</v>
      </c>
      <c r="P1398" t="str">
        <f>VLOOKUP(B1398,PTN!A:B,2,FALSE)</f>
        <v>UNIVERSITAS SEBELAS MARET</v>
      </c>
      <c r="Q1398" t="str">
        <f t="shared" si="21"/>
        <v>UNIVERSITAS SEBELAS MARETPENDIDIKAN SENI RUPA</v>
      </c>
    </row>
    <row r="1399" spans="1:17" ht="15.75" thickBot="1" x14ac:dyDescent="0.3">
      <c r="A1399" s="7">
        <v>1398</v>
      </c>
      <c r="B1399" s="6">
        <v>38</v>
      </c>
      <c r="C1399" s="13">
        <v>3532266</v>
      </c>
      <c r="D1399" t="s">
        <v>204</v>
      </c>
      <c r="E1399" s="13">
        <v>24</v>
      </c>
      <c r="F1399" s="10" t="s">
        <v>13</v>
      </c>
      <c r="I1399" s="26"/>
      <c r="J1399" s="138">
        <v>602.29999999999995</v>
      </c>
      <c r="K1399" s="138">
        <v>610.43772999999999</v>
      </c>
      <c r="L1399" s="138">
        <v>594.16226999999992</v>
      </c>
      <c r="M1399" s="27"/>
      <c r="N1399" s="83">
        <v>602.29999999999995</v>
      </c>
      <c r="P1399" t="str">
        <f>VLOOKUP(B1399,PTN!A:B,2,FALSE)</f>
        <v>UNIVERSITAS SEBELAS MARET</v>
      </c>
      <c r="Q1399" t="str">
        <f t="shared" si="21"/>
        <v>UNIVERSITAS SEBELAS MARETPENDIDIKAN SOSIOLOGI ANTROPOLOGI</v>
      </c>
    </row>
    <row r="1400" spans="1:17" ht="15.75" thickBot="1" x14ac:dyDescent="0.3">
      <c r="A1400" s="7">
        <v>1399</v>
      </c>
      <c r="B1400" s="6">
        <v>38</v>
      </c>
      <c r="C1400" s="12">
        <v>3532185</v>
      </c>
      <c r="D1400" t="s">
        <v>138</v>
      </c>
      <c r="E1400" s="12">
        <v>24</v>
      </c>
      <c r="F1400" s="10" t="s">
        <v>13</v>
      </c>
      <c r="I1400" s="87"/>
      <c r="J1400" s="138">
        <v>589.33000000000004</v>
      </c>
      <c r="K1400" s="138">
        <v>597.46773000000007</v>
      </c>
      <c r="L1400" s="138">
        <v>581.19227000000001</v>
      </c>
      <c r="M1400" s="28"/>
      <c r="N1400" s="83">
        <v>589.33000000000004</v>
      </c>
      <c r="P1400" t="str">
        <f>VLOOKUP(B1400,PTN!A:B,2,FALSE)</f>
        <v>UNIVERSITAS SEBELAS MARET</v>
      </c>
      <c r="Q1400" t="str">
        <f t="shared" si="21"/>
        <v>UNIVERSITAS SEBELAS MARETPEND. PANCASILA &amp; KEWARGANEGARAAN (PPKN)</v>
      </c>
    </row>
    <row r="1401" spans="1:17" ht="15.75" thickBot="1" x14ac:dyDescent="0.3">
      <c r="A1401" s="7">
        <v>1400</v>
      </c>
      <c r="B1401" s="6">
        <v>38</v>
      </c>
      <c r="C1401" s="13">
        <v>3532301</v>
      </c>
      <c r="D1401" t="s">
        <v>149</v>
      </c>
      <c r="E1401" s="13">
        <v>17</v>
      </c>
      <c r="F1401" s="10" t="s">
        <v>13</v>
      </c>
      <c r="I1401" s="26"/>
      <c r="J1401" s="138">
        <v>581.99</v>
      </c>
      <c r="K1401" s="138">
        <v>590.12773000000004</v>
      </c>
      <c r="L1401" s="138">
        <v>573.85226999999998</v>
      </c>
      <c r="M1401" s="27"/>
      <c r="N1401" s="83">
        <v>581.99</v>
      </c>
      <c r="P1401" t="str">
        <f>VLOOKUP(B1401,PTN!A:B,2,FALSE)</f>
        <v>UNIVERSITAS SEBELAS MARET</v>
      </c>
      <c r="Q1401" t="str">
        <f t="shared" si="21"/>
        <v>UNIVERSITAS SEBELAS MARETSASTRA ARAB</v>
      </c>
    </row>
    <row r="1402" spans="1:17" ht="15.75" thickBot="1" x14ac:dyDescent="0.3">
      <c r="A1402" s="7">
        <v>1401</v>
      </c>
      <c r="B1402" s="6">
        <v>38</v>
      </c>
      <c r="C1402" s="12">
        <v>3532115</v>
      </c>
      <c r="D1402" t="s">
        <v>306</v>
      </c>
      <c r="E1402" s="12">
        <v>20</v>
      </c>
      <c r="F1402" s="10" t="s">
        <v>13</v>
      </c>
      <c r="I1402" s="87"/>
      <c r="J1402" s="138">
        <v>573.48</v>
      </c>
      <c r="K1402" s="138">
        <v>581.61773000000005</v>
      </c>
      <c r="L1402" s="138">
        <v>565.34226999999998</v>
      </c>
      <c r="M1402" s="28"/>
      <c r="N1402" s="83">
        <v>573.48</v>
      </c>
      <c r="P1402" t="str">
        <f>VLOOKUP(B1402,PTN!A:B,2,FALSE)</f>
        <v>UNIVERSITAS SEBELAS MARET</v>
      </c>
      <c r="Q1402" t="str">
        <f t="shared" si="21"/>
        <v>UNIVERSITAS SEBELAS MARETSASTRA DAERAH UNTUK SASTRA JAWA</v>
      </c>
    </row>
    <row r="1403" spans="1:17" ht="15.75" thickBot="1" x14ac:dyDescent="0.3">
      <c r="A1403" s="7">
        <v>1402</v>
      </c>
      <c r="B1403" s="6">
        <v>38</v>
      </c>
      <c r="C1403" s="13">
        <v>3532096</v>
      </c>
      <c r="D1403" t="s">
        <v>62</v>
      </c>
      <c r="E1403" s="13">
        <v>21</v>
      </c>
      <c r="F1403" s="10" t="s">
        <v>13</v>
      </c>
      <c r="I1403" s="26"/>
      <c r="J1403" s="138">
        <v>595.64</v>
      </c>
      <c r="K1403" s="138">
        <v>603.77773000000002</v>
      </c>
      <c r="L1403" s="138">
        <v>587.50226999999995</v>
      </c>
      <c r="M1403" s="27"/>
      <c r="N1403" s="83">
        <v>595.64</v>
      </c>
      <c r="P1403" t="str">
        <f>VLOOKUP(B1403,PTN!A:B,2,FALSE)</f>
        <v>UNIVERSITAS SEBELAS MARET</v>
      </c>
      <c r="Q1403" t="str">
        <f t="shared" si="21"/>
        <v>UNIVERSITAS SEBELAS MARETSASTRA INDONESIA</v>
      </c>
    </row>
    <row r="1404" spans="1:17" ht="15.75" thickBot="1" x14ac:dyDescent="0.3">
      <c r="A1404" s="7">
        <v>1403</v>
      </c>
      <c r="B1404" s="6">
        <v>38</v>
      </c>
      <c r="C1404" s="12">
        <v>3532107</v>
      </c>
      <c r="D1404" t="s">
        <v>139</v>
      </c>
      <c r="E1404" s="12">
        <v>17</v>
      </c>
      <c r="F1404" s="10" t="s">
        <v>13</v>
      </c>
      <c r="I1404" s="87"/>
      <c r="J1404" s="138">
        <v>623.39</v>
      </c>
      <c r="K1404" s="138">
        <v>631.52773000000002</v>
      </c>
      <c r="L1404" s="138">
        <v>615.25226999999995</v>
      </c>
      <c r="M1404" s="28"/>
      <c r="N1404" s="83">
        <v>623.39</v>
      </c>
      <c r="P1404" t="str">
        <f>VLOOKUP(B1404,PTN!A:B,2,FALSE)</f>
        <v>UNIVERSITAS SEBELAS MARET</v>
      </c>
      <c r="Q1404" t="str">
        <f t="shared" si="21"/>
        <v>UNIVERSITAS SEBELAS MARETSASTRA INGGRIS</v>
      </c>
    </row>
    <row r="1405" spans="1:17" ht="15.75" thickBot="1" x14ac:dyDescent="0.3">
      <c r="A1405" s="7">
        <v>1404</v>
      </c>
      <c r="B1405" s="6">
        <v>38</v>
      </c>
      <c r="C1405" s="13">
        <v>3532131</v>
      </c>
      <c r="D1405" t="s">
        <v>474</v>
      </c>
      <c r="E1405" s="13">
        <v>15</v>
      </c>
      <c r="F1405" s="10" t="s">
        <v>13</v>
      </c>
      <c r="I1405" s="26"/>
      <c r="J1405" s="138" t="s">
        <v>1292</v>
      </c>
      <c r="K1405" s="138" t="s">
        <v>1292</v>
      </c>
      <c r="L1405" s="138" t="s">
        <v>1292</v>
      </c>
      <c r="M1405" s="27"/>
      <c r="N1405" s="83" t="s">
        <v>1292</v>
      </c>
      <c r="P1405" t="str">
        <f>VLOOKUP(B1405,PTN!A:B,2,FALSE)</f>
        <v>UNIVERSITAS SEBELAS MARET</v>
      </c>
      <c r="Q1405" t="str">
        <f t="shared" si="21"/>
        <v>UNIVERSITAS SEBELAS MARETSENI RUPA MURNI (LUKIS, GRFS, PTNG, KRMIK)</v>
      </c>
    </row>
    <row r="1406" spans="1:17" ht="15.75" thickBot="1" x14ac:dyDescent="0.3">
      <c r="A1406" s="7">
        <v>1405</v>
      </c>
      <c r="B1406" s="6">
        <v>38</v>
      </c>
      <c r="C1406" s="14">
        <v>3532034</v>
      </c>
      <c r="D1406" t="s">
        <v>63</v>
      </c>
      <c r="E1406" s="14">
        <v>27</v>
      </c>
      <c r="F1406" s="10" t="s">
        <v>13</v>
      </c>
      <c r="I1406" s="87"/>
      <c r="J1406" s="138">
        <v>607.9</v>
      </c>
      <c r="K1406" s="138">
        <v>616.03773000000001</v>
      </c>
      <c r="L1406" s="138">
        <v>599.76226999999994</v>
      </c>
      <c r="M1406" s="28"/>
      <c r="N1406" s="83">
        <v>607.9</v>
      </c>
      <c r="P1406" t="str">
        <f>VLOOKUP(B1406,PTN!A:B,2,FALSE)</f>
        <v>UNIVERSITAS SEBELAS MARET</v>
      </c>
      <c r="Q1406" t="str">
        <f t="shared" si="21"/>
        <v>UNIVERSITAS SEBELAS MARETSOSIOLOGI</v>
      </c>
    </row>
    <row r="1407" spans="1:17" ht="16.5" thickTop="1" thickBot="1" x14ac:dyDescent="0.3">
      <c r="A1407" s="7">
        <v>1406</v>
      </c>
      <c r="B1407" s="6">
        <v>37</v>
      </c>
      <c r="C1407" s="12">
        <v>3521013</v>
      </c>
      <c r="D1407" t="s">
        <v>64</v>
      </c>
      <c r="E1407" s="12">
        <v>36</v>
      </c>
      <c r="F1407" s="10" t="s">
        <v>20</v>
      </c>
      <c r="I1407" s="20"/>
      <c r="J1407" s="138" t="s">
        <v>1292</v>
      </c>
      <c r="K1407" s="138" t="s">
        <v>1292</v>
      </c>
      <c r="L1407" s="138" t="s">
        <v>1292</v>
      </c>
      <c r="M1407" s="21"/>
      <c r="N1407" s="83" t="s">
        <v>1292</v>
      </c>
      <c r="P1407" t="str">
        <f>VLOOKUP(B1407,PTN!A:B,2,FALSE)</f>
        <v>UNIVERSITAS TIDAR</v>
      </c>
      <c r="Q1407" t="str">
        <f t="shared" si="21"/>
        <v>UNIVERSITAS TIDARAGROTEKNOLOGI</v>
      </c>
    </row>
    <row r="1408" spans="1:17" ht="15.75" thickBot="1" x14ac:dyDescent="0.3">
      <c r="A1408" s="7">
        <v>1407</v>
      </c>
      <c r="B1408" s="6">
        <v>37</v>
      </c>
      <c r="C1408" s="13">
        <v>3521091</v>
      </c>
      <c r="D1408" t="s">
        <v>106</v>
      </c>
      <c r="E1408" s="13">
        <v>36</v>
      </c>
      <c r="F1408" s="10" t="s">
        <v>20</v>
      </c>
      <c r="I1408" s="22"/>
      <c r="J1408" s="138" t="s">
        <v>1292</v>
      </c>
      <c r="K1408" s="138" t="s">
        <v>1292</v>
      </c>
      <c r="L1408" s="138" t="s">
        <v>1292</v>
      </c>
      <c r="M1408" s="21"/>
      <c r="N1408" s="83" t="s">
        <v>1292</v>
      </c>
      <c r="P1408" t="str">
        <f>VLOOKUP(B1408,PTN!A:B,2,FALSE)</f>
        <v>UNIVERSITAS TIDAR</v>
      </c>
      <c r="Q1408" t="str">
        <f t="shared" si="21"/>
        <v>UNIVERSITAS TIDARAKUAKULTUR</v>
      </c>
    </row>
    <row r="1409" spans="1:17" ht="16.5" thickTop="1" thickBot="1" x14ac:dyDescent="0.3">
      <c r="A1409" s="7">
        <v>1408</v>
      </c>
      <c r="B1409" s="6">
        <v>37</v>
      </c>
      <c r="C1409" s="12">
        <v>3521075</v>
      </c>
      <c r="D1409" t="s">
        <v>67</v>
      </c>
      <c r="E1409" s="12">
        <v>36</v>
      </c>
      <c r="F1409" s="10" t="s">
        <v>20</v>
      </c>
      <c r="I1409" s="23"/>
      <c r="J1409" s="138" t="s">
        <v>1292</v>
      </c>
      <c r="K1409" s="138" t="s">
        <v>1292</v>
      </c>
      <c r="L1409" s="138" t="s">
        <v>1292</v>
      </c>
      <c r="M1409" s="25"/>
      <c r="N1409" s="83" t="s">
        <v>1292</v>
      </c>
      <c r="P1409" t="str">
        <f>VLOOKUP(B1409,PTN!A:B,2,FALSE)</f>
        <v>UNIVERSITAS TIDAR</v>
      </c>
      <c r="Q1409" t="str">
        <f t="shared" si="21"/>
        <v>UNIVERSITAS TIDARPENDIDIKAN BIOLOGI</v>
      </c>
    </row>
    <row r="1410" spans="1:17" ht="16.5" thickTop="1" thickBot="1" x14ac:dyDescent="0.3">
      <c r="A1410" s="7">
        <v>1409</v>
      </c>
      <c r="B1410" s="6">
        <v>37</v>
      </c>
      <c r="C1410" s="13">
        <v>3521067</v>
      </c>
      <c r="D1410" t="s">
        <v>176</v>
      </c>
      <c r="E1410" s="13">
        <v>36</v>
      </c>
      <c r="F1410" s="10" t="s">
        <v>20</v>
      </c>
      <c r="I1410" s="26"/>
      <c r="J1410" s="138" t="s">
        <v>1292</v>
      </c>
      <c r="K1410" s="138" t="s">
        <v>1292</v>
      </c>
      <c r="L1410" s="138" t="s">
        <v>1292</v>
      </c>
      <c r="M1410" s="27"/>
      <c r="N1410" s="83" t="s">
        <v>1292</v>
      </c>
      <c r="P1410" t="str">
        <f>VLOOKUP(B1410,PTN!A:B,2,FALSE)</f>
        <v>UNIVERSITAS TIDAR</v>
      </c>
      <c r="Q1410" t="str">
        <f t="shared" si="21"/>
        <v>UNIVERSITAS TIDARPENDIDIKAN ILMU PENGETAHUAN ALAM</v>
      </c>
    </row>
    <row r="1411" spans="1:17" ht="15.75" thickBot="1" x14ac:dyDescent="0.3">
      <c r="A1411" s="7">
        <v>1410</v>
      </c>
      <c r="B1411" s="6">
        <v>37</v>
      </c>
      <c r="C1411" s="12">
        <v>3521083</v>
      </c>
      <c r="D1411" t="s">
        <v>44</v>
      </c>
      <c r="E1411" s="12">
        <v>36</v>
      </c>
      <c r="F1411" s="10" t="s">
        <v>20</v>
      </c>
      <c r="I1411" s="87"/>
      <c r="J1411" s="138" t="s">
        <v>1292</v>
      </c>
      <c r="K1411" s="138" t="s">
        <v>1292</v>
      </c>
      <c r="L1411" s="138" t="s">
        <v>1292</v>
      </c>
      <c r="M1411" s="28"/>
      <c r="N1411" s="83" t="s">
        <v>1292</v>
      </c>
      <c r="P1411" t="str">
        <f>VLOOKUP(B1411,PTN!A:B,2,FALSE)</f>
        <v>UNIVERSITAS TIDAR</v>
      </c>
      <c r="Q1411" t="str">
        <f t="shared" ref="Q1411:Q1474" si="22">P1411&amp;D1411</f>
        <v>UNIVERSITAS TIDARPENDIDIKAN MATEMATIKA</v>
      </c>
    </row>
    <row r="1412" spans="1:17" ht="15.75" thickBot="1" x14ac:dyDescent="0.3">
      <c r="A1412" s="7">
        <v>1411</v>
      </c>
      <c r="B1412" s="6">
        <v>37</v>
      </c>
      <c r="C1412" s="13">
        <v>3521052</v>
      </c>
      <c r="D1412" t="s">
        <v>88</v>
      </c>
      <c r="E1412" s="13">
        <v>36</v>
      </c>
      <c r="F1412" s="10" t="s">
        <v>20</v>
      </c>
      <c r="I1412" s="26"/>
      <c r="J1412" s="138" t="s">
        <v>1292</v>
      </c>
      <c r="K1412" s="138" t="s">
        <v>1292</v>
      </c>
      <c r="L1412" s="138" t="s">
        <v>1292</v>
      </c>
      <c r="M1412" s="27"/>
      <c r="N1412" s="83" t="s">
        <v>1292</v>
      </c>
      <c r="P1412" t="str">
        <f>VLOOKUP(B1412,PTN!A:B,2,FALSE)</f>
        <v>UNIVERSITAS TIDAR</v>
      </c>
      <c r="Q1412" t="str">
        <f t="shared" si="22"/>
        <v>UNIVERSITAS TIDARPETERNAKAN</v>
      </c>
    </row>
    <row r="1413" spans="1:17" ht="15.75" thickBot="1" x14ac:dyDescent="0.3">
      <c r="A1413" s="7">
        <v>1412</v>
      </c>
      <c r="B1413" s="6">
        <v>37</v>
      </c>
      <c r="C1413" s="12">
        <v>3521044</v>
      </c>
      <c r="D1413" t="s">
        <v>48</v>
      </c>
      <c r="E1413" s="12">
        <v>36</v>
      </c>
      <c r="F1413" s="10" t="s">
        <v>20</v>
      </c>
      <c r="I1413" s="87"/>
      <c r="J1413" s="138" t="s">
        <v>1292</v>
      </c>
      <c r="K1413" s="138" t="s">
        <v>1292</v>
      </c>
      <c r="L1413" s="138" t="s">
        <v>1292</v>
      </c>
      <c r="M1413" s="28"/>
      <c r="N1413" s="83" t="s">
        <v>1292</v>
      </c>
      <c r="P1413" t="str">
        <f>VLOOKUP(B1413,PTN!A:B,2,FALSE)</f>
        <v>UNIVERSITAS TIDAR</v>
      </c>
      <c r="Q1413" t="str">
        <f t="shared" si="22"/>
        <v>UNIVERSITAS TIDARTEKNIK ELEKTRO</v>
      </c>
    </row>
    <row r="1414" spans="1:17" ht="15.75" thickBot="1" x14ac:dyDescent="0.3">
      <c r="A1414" s="7">
        <v>1413</v>
      </c>
      <c r="B1414" s="6">
        <v>37</v>
      </c>
      <c r="C1414" s="13">
        <v>3521036</v>
      </c>
      <c r="D1414" t="s">
        <v>53</v>
      </c>
      <c r="E1414" s="13">
        <v>36</v>
      </c>
      <c r="F1414" s="10" t="s">
        <v>20</v>
      </c>
      <c r="I1414" s="26"/>
      <c r="J1414" s="138" t="s">
        <v>1292</v>
      </c>
      <c r="K1414" s="138" t="s">
        <v>1292</v>
      </c>
      <c r="L1414" s="138" t="s">
        <v>1292</v>
      </c>
      <c r="M1414" s="27"/>
      <c r="N1414" s="83" t="s">
        <v>1292</v>
      </c>
      <c r="P1414" t="str">
        <f>VLOOKUP(B1414,PTN!A:B,2,FALSE)</f>
        <v>UNIVERSITAS TIDAR</v>
      </c>
      <c r="Q1414" t="str">
        <f t="shared" si="22"/>
        <v>UNIVERSITAS TIDARTEKNIK MESIN</v>
      </c>
    </row>
    <row r="1415" spans="1:17" ht="15.75" thickBot="1" x14ac:dyDescent="0.3">
      <c r="A1415" s="7">
        <v>1414</v>
      </c>
      <c r="B1415" s="6">
        <v>37</v>
      </c>
      <c r="C1415" s="14">
        <v>3521021</v>
      </c>
      <c r="D1415" t="s">
        <v>54</v>
      </c>
      <c r="E1415" s="14">
        <v>36</v>
      </c>
      <c r="F1415" s="10" t="s">
        <v>20</v>
      </c>
      <c r="I1415" s="20"/>
      <c r="J1415" s="138">
        <v>598.97</v>
      </c>
      <c r="K1415" s="138">
        <v>603.14499999999998</v>
      </c>
      <c r="L1415" s="138">
        <v>594.79500000000007</v>
      </c>
      <c r="M1415" s="21"/>
      <c r="N1415" s="83">
        <v>598.97</v>
      </c>
      <c r="P1415" t="str">
        <f>VLOOKUP(B1415,PTN!A:B,2,FALSE)</f>
        <v>UNIVERSITAS TIDAR</v>
      </c>
      <c r="Q1415" t="str">
        <f t="shared" si="22"/>
        <v>UNIVERSITAS TIDARTEKNIK SIPIL</v>
      </c>
    </row>
    <row r="1416" spans="1:17" ht="16.5" thickTop="1" thickBot="1" x14ac:dyDescent="0.3">
      <c r="A1416" s="7">
        <v>1415</v>
      </c>
      <c r="B1416" s="6">
        <v>37</v>
      </c>
      <c r="C1416" s="12">
        <v>3522086</v>
      </c>
      <c r="D1416" t="s">
        <v>55</v>
      </c>
      <c r="E1416" s="12">
        <v>45</v>
      </c>
      <c r="F1416" s="10" t="s">
        <v>13</v>
      </c>
      <c r="I1416" s="22"/>
      <c r="J1416" s="138">
        <v>579.21</v>
      </c>
      <c r="K1416" s="138">
        <v>587.34773000000007</v>
      </c>
      <c r="L1416" s="138">
        <v>571.07227</v>
      </c>
      <c r="M1416" s="21"/>
      <c r="N1416" s="83">
        <v>579.21</v>
      </c>
      <c r="P1416" t="str">
        <f>VLOOKUP(B1416,PTN!A:B,2,FALSE)</f>
        <v>UNIVERSITAS TIDAR</v>
      </c>
      <c r="Q1416" t="str">
        <f t="shared" si="22"/>
        <v>UNIVERSITAS TIDARAKUNTANSI</v>
      </c>
    </row>
    <row r="1417" spans="1:17" ht="16.5" thickTop="1" thickBot="1" x14ac:dyDescent="0.3">
      <c r="A1417" s="7">
        <v>1416</v>
      </c>
      <c r="B1417" s="6">
        <v>37</v>
      </c>
      <c r="C1417" s="13">
        <v>3522016</v>
      </c>
      <c r="D1417" t="s">
        <v>69</v>
      </c>
      <c r="E1417" s="13">
        <v>45</v>
      </c>
      <c r="F1417" s="10" t="s">
        <v>13</v>
      </c>
      <c r="I1417" s="23"/>
      <c r="J1417" s="138">
        <v>588.65</v>
      </c>
      <c r="K1417" s="138">
        <v>596.78773000000001</v>
      </c>
      <c r="L1417" s="138">
        <v>580.51226999999994</v>
      </c>
      <c r="M1417" s="25"/>
      <c r="N1417" s="83">
        <v>588.65</v>
      </c>
      <c r="P1417" t="str">
        <f>VLOOKUP(B1417,PTN!A:B,2,FALSE)</f>
        <v>UNIVERSITAS TIDAR</v>
      </c>
      <c r="Q1417" t="str">
        <f t="shared" si="22"/>
        <v>UNIVERSITAS TIDAREKONOMI PEMBANGUNAN</v>
      </c>
    </row>
    <row r="1418" spans="1:17" ht="16.5" thickTop="1" thickBot="1" x14ac:dyDescent="0.3">
      <c r="A1418" s="7">
        <v>1417</v>
      </c>
      <c r="B1418" s="6">
        <v>37</v>
      </c>
      <c r="C1418" s="12">
        <v>3522055</v>
      </c>
      <c r="D1418" t="s">
        <v>112</v>
      </c>
      <c r="E1418" s="12">
        <v>41</v>
      </c>
      <c r="F1418" s="10" t="s">
        <v>13</v>
      </c>
      <c r="I1418" s="26"/>
      <c r="J1418" s="138">
        <v>571.04</v>
      </c>
      <c r="K1418" s="138">
        <v>579.17773</v>
      </c>
      <c r="L1418" s="138">
        <v>562.90226999999993</v>
      </c>
      <c r="M1418" s="27"/>
      <c r="N1418" s="83">
        <v>571.04</v>
      </c>
      <c r="P1418" t="str">
        <f>VLOOKUP(B1418,PTN!A:B,2,FALSE)</f>
        <v>UNIVERSITAS TIDAR</v>
      </c>
      <c r="Q1418" t="str">
        <f t="shared" si="22"/>
        <v>UNIVERSITAS TIDARHUKUM</v>
      </c>
    </row>
    <row r="1419" spans="1:17" ht="15.75" thickBot="1" x14ac:dyDescent="0.3">
      <c r="A1419" s="7">
        <v>1418</v>
      </c>
      <c r="B1419" s="6">
        <v>37</v>
      </c>
      <c r="C1419" s="13">
        <v>3522024</v>
      </c>
      <c r="D1419" t="s">
        <v>29</v>
      </c>
      <c r="E1419" s="13">
        <v>41</v>
      </c>
      <c r="F1419" s="10" t="s">
        <v>13</v>
      </c>
      <c r="I1419" s="87"/>
      <c r="J1419" s="138">
        <v>582.66999999999996</v>
      </c>
      <c r="K1419" s="138">
        <v>590.80772999999999</v>
      </c>
      <c r="L1419" s="138">
        <v>574.53226999999993</v>
      </c>
      <c r="M1419" s="28"/>
      <c r="N1419" s="83">
        <v>582.66999999999996</v>
      </c>
      <c r="P1419" t="str">
        <f>VLOOKUP(B1419,PTN!A:B,2,FALSE)</f>
        <v>UNIVERSITAS TIDAR</v>
      </c>
      <c r="Q1419" t="str">
        <f t="shared" si="22"/>
        <v>UNIVERSITAS TIDARILMU ADMINISTRASI NEGARA</v>
      </c>
    </row>
    <row r="1420" spans="1:17" ht="15.75" thickBot="1" x14ac:dyDescent="0.3">
      <c r="A1420" s="7">
        <v>1419</v>
      </c>
      <c r="B1420" s="6">
        <v>37</v>
      </c>
      <c r="C1420" s="12">
        <v>3522071</v>
      </c>
      <c r="D1420" t="s">
        <v>60</v>
      </c>
      <c r="E1420" s="12">
        <v>41</v>
      </c>
      <c r="F1420" s="10" t="s">
        <v>13</v>
      </c>
      <c r="I1420" s="26"/>
      <c r="J1420" s="138">
        <v>579.35</v>
      </c>
      <c r="K1420" s="138">
        <v>587.48773000000006</v>
      </c>
      <c r="L1420" s="138">
        <v>571.21226999999999</v>
      </c>
      <c r="M1420" s="27"/>
      <c r="N1420" s="83">
        <v>579.35</v>
      </c>
      <c r="P1420" t="str">
        <f>VLOOKUP(B1420,PTN!A:B,2,FALSE)</f>
        <v>UNIVERSITAS TIDAR</v>
      </c>
      <c r="Q1420" t="str">
        <f t="shared" si="22"/>
        <v>UNIVERSITAS TIDARILMU KOMUNIKASI</v>
      </c>
    </row>
    <row r="1421" spans="1:17" ht="15.75" thickBot="1" x14ac:dyDescent="0.3">
      <c r="A1421" s="7">
        <v>1420</v>
      </c>
      <c r="B1421" s="6">
        <v>37</v>
      </c>
      <c r="C1421" s="13">
        <v>3522063</v>
      </c>
      <c r="D1421" t="s">
        <v>61</v>
      </c>
      <c r="E1421" s="13">
        <v>45</v>
      </c>
      <c r="F1421" s="10" t="s">
        <v>13</v>
      </c>
      <c r="I1421" s="87"/>
      <c r="J1421" s="138">
        <v>574.47</v>
      </c>
      <c r="K1421" s="138">
        <v>582.60773000000006</v>
      </c>
      <c r="L1421" s="138">
        <v>566.33226999999999</v>
      </c>
      <c r="M1421" s="28"/>
      <c r="N1421" s="83">
        <v>574.47</v>
      </c>
      <c r="P1421" t="str">
        <f>VLOOKUP(B1421,PTN!A:B,2,FALSE)</f>
        <v>UNIVERSITAS TIDAR</v>
      </c>
      <c r="Q1421" t="str">
        <f t="shared" si="22"/>
        <v>UNIVERSITAS TIDARMANAJEMEN</v>
      </c>
    </row>
    <row r="1422" spans="1:17" ht="15.75" thickBot="1" x14ac:dyDescent="0.3">
      <c r="A1422" s="7">
        <v>1421</v>
      </c>
      <c r="B1422" s="6">
        <v>37</v>
      </c>
      <c r="C1422" s="12">
        <v>3522047</v>
      </c>
      <c r="D1422" t="s">
        <v>99</v>
      </c>
      <c r="E1422" s="12">
        <v>41</v>
      </c>
      <c r="F1422" s="10" t="s">
        <v>13</v>
      </c>
      <c r="I1422" s="26"/>
      <c r="J1422" s="138">
        <v>565.54</v>
      </c>
      <c r="K1422" s="138">
        <v>573.67773</v>
      </c>
      <c r="L1422" s="138">
        <v>557.40226999999993</v>
      </c>
      <c r="M1422" s="27"/>
      <c r="N1422" s="83">
        <v>565.54</v>
      </c>
      <c r="P1422" t="str">
        <f>VLOOKUP(B1422,PTN!A:B,2,FALSE)</f>
        <v>UNIVERSITAS TIDAR</v>
      </c>
      <c r="Q1422" t="str">
        <f t="shared" si="22"/>
        <v>UNIVERSITAS TIDARPENDIDIKAN BAHASA DAN SASTRA INDONESIA</v>
      </c>
    </row>
    <row r="1423" spans="1:17" ht="15.75" thickBot="1" x14ac:dyDescent="0.3">
      <c r="A1423" s="7">
        <v>1422</v>
      </c>
      <c r="B1423" s="6">
        <v>37</v>
      </c>
      <c r="C1423" s="16">
        <v>3522032</v>
      </c>
      <c r="D1423" t="s">
        <v>71</v>
      </c>
      <c r="E1423" s="16">
        <v>41</v>
      </c>
      <c r="F1423" s="10" t="s">
        <v>13</v>
      </c>
      <c r="I1423" s="87"/>
      <c r="J1423" s="138">
        <v>579.75</v>
      </c>
      <c r="K1423" s="138">
        <v>587.88773000000003</v>
      </c>
      <c r="L1423" s="138">
        <v>571.61226999999997</v>
      </c>
      <c r="M1423" s="28"/>
      <c r="N1423" s="83">
        <v>579.75</v>
      </c>
      <c r="P1423" t="str">
        <f>VLOOKUP(B1423,PTN!A:B,2,FALSE)</f>
        <v>UNIVERSITAS TIDAR</v>
      </c>
      <c r="Q1423" t="str">
        <f t="shared" si="22"/>
        <v>UNIVERSITAS TIDARPENDIDIKAN BAHASA INGGRIS</v>
      </c>
    </row>
    <row r="1424" spans="1:17" ht="16.5" thickTop="1" thickBot="1" x14ac:dyDescent="0.3">
      <c r="A1424" s="7">
        <v>1423</v>
      </c>
      <c r="B1424" s="6">
        <v>46</v>
      </c>
      <c r="C1424" s="12">
        <v>3642092</v>
      </c>
      <c r="D1424" t="s">
        <v>432</v>
      </c>
      <c r="E1424" s="12">
        <v>22</v>
      </c>
      <c r="F1424" s="10" t="s">
        <v>13</v>
      </c>
      <c r="I1424" s="22"/>
      <c r="J1424" s="138">
        <v>602.13</v>
      </c>
      <c r="K1424" s="138">
        <v>610.26773000000003</v>
      </c>
      <c r="L1424" s="138">
        <v>593.99226999999996</v>
      </c>
      <c r="M1424" s="21"/>
      <c r="N1424" s="83">
        <v>602.13</v>
      </c>
      <c r="P1424" t="str">
        <f>VLOOKUP(B1424,PTN!A:B,2,FALSE)</f>
        <v>ISI YOGYAKARTA</v>
      </c>
      <c r="Q1424" t="str">
        <f t="shared" si="22"/>
        <v>ISI YOGYAKARTADESAIN INTERIOR</v>
      </c>
    </row>
    <row r="1425" spans="1:17" ht="16.5" thickTop="1" thickBot="1" x14ac:dyDescent="0.3">
      <c r="A1425" s="7">
        <v>1424</v>
      </c>
      <c r="B1425" s="6">
        <v>46</v>
      </c>
      <c r="C1425" s="13">
        <v>3642103</v>
      </c>
      <c r="D1425" t="s">
        <v>12</v>
      </c>
      <c r="E1425" s="13">
        <v>22</v>
      </c>
      <c r="F1425" s="10" t="s">
        <v>13</v>
      </c>
      <c r="I1425" s="23"/>
      <c r="J1425" s="138">
        <v>628.29</v>
      </c>
      <c r="K1425" s="138">
        <v>636.42773</v>
      </c>
      <c r="L1425" s="138">
        <v>620.15226999999993</v>
      </c>
      <c r="M1425" s="25"/>
      <c r="N1425" s="83">
        <v>628.29</v>
      </c>
      <c r="P1425" t="str">
        <f>VLOOKUP(B1425,PTN!A:B,2,FALSE)</f>
        <v>ISI YOGYAKARTA</v>
      </c>
      <c r="Q1425" t="str">
        <f t="shared" si="22"/>
        <v>ISI YOGYAKARTADESAIN KOMUNIKASI VISUAL</v>
      </c>
    </row>
    <row r="1426" spans="1:17" ht="16.5" thickTop="1" thickBot="1" x14ac:dyDescent="0.3">
      <c r="A1426" s="7">
        <v>1425</v>
      </c>
      <c r="B1426" s="6">
        <v>46</v>
      </c>
      <c r="C1426" s="12">
        <v>3642111</v>
      </c>
      <c r="D1426" t="s">
        <v>475</v>
      </c>
      <c r="E1426" s="12">
        <v>9</v>
      </c>
      <c r="F1426" s="10" t="s">
        <v>13</v>
      </c>
      <c r="I1426" s="26"/>
      <c r="J1426" s="138">
        <v>585.28</v>
      </c>
      <c r="K1426" s="138">
        <v>593.41773000000001</v>
      </c>
      <c r="L1426" s="138">
        <v>577.14226999999994</v>
      </c>
      <c r="M1426" s="27"/>
      <c r="N1426" s="83">
        <v>585.28</v>
      </c>
      <c r="P1426" t="str">
        <f>VLOOKUP(B1426,PTN!A:B,2,FALSE)</f>
        <v>ISI YOGYAKARTA</v>
      </c>
      <c r="Q1426" t="str">
        <f t="shared" si="22"/>
        <v>ISI YOGYAKARTADESAIN PRODUK</v>
      </c>
    </row>
    <row r="1427" spans="1:17" ht="15.75" thickBot="1" x14ac:dyDescent="0.3">
      <c r="A1427" s="7">
        <v>1426</v>
      </c>
      <c r="B1427" s="6">
        <v>46</v>
      </c>
      <c r="C1427" s="13">
        <v>3642157</v>
      </c>
      <c r="D1427" t="s">
        <v>433</v>
      </c>
      <c r="E1427" s="13">
        <v>14</v>
      </c>
      <c r="F1427" s="10" t="s">
        <v>13</v>
      </c>
      <c r="I1427" s="87"/>
      <c r="J1427" s="138" t="s">
        <v>1292</v>
      </c>
      <c r="K1427" s="138" t="s">
        <v>1292</v>
      </c>
      <c r="L1427" s="138" t="s">
        <v>1292</v>
      </c>
      <c r="M1427" s="28"/>
      <c r="N1427" s="83" t="s">
        <v>1292</v>
      </c>
      <c r="P1427" t="str">
        <f>VLOOKUP(B1427,PTN!A:B,2,FALSE)</f>
        <v>ISI YOGYAKARTA</v>
      </c>
      <c r="Q1427" t="str">
        <f t="shared" si="22"/>
        <v>ISI YOGYAKARTAETNOMUSIKOLOGI</v>
      </c>
    </row>
    <row r="1428" spans="1:17" ht="15.75" thickBot="1" x14ac:dyDescent="0.3">
      <c r="A1428" s="7">
        <v>1427</v>
      </c>
      <c r="B1428" s="6">
        <v>46</v>
      </c>
      <c r="C1428" s="12">
        <v>3642134</v>
      </c>
      <c r="D1428" t="s">
        <v>156</v>
      </c>
      <c r="E1428" s="12">
        <v>21</v>
      </c>
      <c r="F1428" s="10" t="s">
        <v>13</v>
      </c>
      <c r="I1428" s="26"/>
      <c r="J1428" s="138">
        <v>602</v>
      </c>
      <c r="K1428" s="138" t="s">
        <v>1292</v>
      </c>
      <c r="L1428" s="138" t="s">
        <v>1292</v>
      </c>
      <c r="M1428" s="27"/>
      <c r="N1428" s="83">
        <v>602</v>
      </c>
      <c r="P1428" t="str">
        <f>VLOOKUP(B1428,PTN!A:B,2,FALSE)</f>
        <v>ISI YOGYAKARTA</v>
      </c>
      <c r="Q1428" t="str">
        <f t="shared" si="22"/>
        <v>ISI YOGYAKARTAFOTOGRAFI</v>
      </c>
    </row>
    <row r="1429" spans="1:17" ht="15.75" thickBot="1" x14ac:dyDescent="0.3">
      <c r="A1429" s="7">
        <v>1428</v>
      </c>
      <c r="B1429" s="6">
        <v>46</v>
      </c>
      <c r="C1429" s="13">
        <v>3642084</v>
      </c>
      <c r="D1429" t="s">
        <v>14</v>
      </c>
      <c r="E1429" s="13">
        <v>19</v>
      </c>
      <c r="F1429" s="10" t="s">
        <v>13</v>
      </c>
      <c r="I1429" s="87"/>
      <c r="J1429" s="138" t="s">
        <v>1292</v>
      </c>
      <c r="K1429" s="138" t="s">
        <v>1292</v>
      </c>
      <c r="L1429" s="138" t="s">
        <v>1292</v>
      </c>
      <c r="M1429" s="28"/>
      <c r="N1429" s="83" t="s">
        <v>1292</v>
      </c>
      <c r="P1429" t="str">
        <f>VLOOKUP(B1429,PTN!A:B,2,FALSE)</f>
        <v>ISI YOGYAKARTA</v>
      </c>
      <c r="Q1429" t="str">
        <f t="shared" si="22"/>
        <v>ISI YOGYAKARTAKRIYA SENI</v>
      </c>
    </row>
    <row r="1430" spans="1:17" ht="15.75" thickBot="1" x14ac:dyDescent="0.3">
      <c r="A1430" s="7">
        <v>1429</v>
      </c>
      <c r="B1430" s="6">
        <v>46</v>
      </c>
      <c r="C1430" s="12">
        <v>3642045</v>
      </c>
      <c r="D1430" t="s">
        <v>476</v>
      </c>
      <c r="E1430" s="12">
        <v>10</v>
      </c>
      <c r="F1430" s="10" t="s">
        <v>13</v>
      </c>
      <c r="I1430" s="26"/>
      <c r="J1430" s="138">
        <v>581.22</v>
      </c>
      <c r="K1430" s="138">
        <v>589.35773000000006</v>
      </c>
      <c r="L1430" s="138">
        <v>573.08226999999999</v>
      </c>
      <c r="M1430" s="27"/>
      <c r="N1430" s="83">
        <v>581.22</v>
      </c>
      <c r="P1430" t="str">
        <f>VLOOKUP(B1430,PTN!A:B,2,FALSE)</f>
        <v>ISI YOGYAKARTA</v>
      </c>
      <c r="Q1430" t="str">
        <f t="shared" si="22"/>
        <v>ISI YOGYAKARTAPENCIPTAAN MUSIK</v>
      </c>
    </row>
    <row r="1431" spans="1:17" ht="15.75" thickBot="1" x14ac:dyDescent="0.3">
      <c r="A1431" s="7">
        <v>1430</v>
      </c>
      <c r="B1431" s="6">
        <v>46</v>
      </c>
      <c r="C1431" s="13">
        <v>3642037</v>
      </c>
      <c r="D1431" t="s">
        <v>202</v>
      </c>
      <c r="E1431" s="13">
        <v>11</v>
      </c>
      <c r="F1431" s="10" t="s">
        <v>13</v>
      </c>
      <c r="I1431" s="87"/>
      <c r="J1431" s="138">
        <v>574.84</v>
      </c>
      <c r="K1431" s="138">
        <v>582.97773000000007</v>
      </c>
      <c r="L1431" s="138">
        <v>566.70227</v>
      </c>
      <c r="M1431" s="28"/>
      <c r="N1431" s="83">
        <v>574.84</v>
      </c>
      <c r="P1431" t="str">
        <f>VLOOKUP(B1431,PTN!A:B,2,FALSE)</f>
        <v>ISI YOGYAKARTA</v>
      </c>
      <c r="Q1431" t="str">
        <f t="shared" si="22"/>
        <v>ISI YOGYAKARTAPENDIDIKAN MUSIK</v>
      </c>
    </row>
    <row r="1432" spans="1:17" ht="15.75" thickBot="1" x14ac:dyDescent="0.3">
      <c r="A1432" s="7">
        <v>1431</v>
      </c>
      <c r="B1432" s="6">
        <v>46</v>
      </c>
      <c r="C1432" s="12">
        <v>3642061</v>
      </c>
      <c r="D1432" t="s">
        <v>477</v>
      </c>
      <c r="E1432" s="12">
        <v>11</v>
      </c>
      <c r="F1432" s="10" t="s">
        <v>13</v>
      </c>
      <c r="I1432" s="26"/>
      <c r="J1432" s="138" t="s">
        <v>1292</v>
      </c>
      <c r="K1432" s="138" t="s">
        <v>1292</v>
      </c>
      <c r="L1432" s="138" t="s">
        <v>1292</v>
      </c>
      <c r="M1432" s="27"/>
      <c r="N1432" s="83" t="s">
        <v>1292</v>
      </c>
      <c r="P1432" t="str">
        <f>VLOOKUP(B1432,PTN!A:B,2,FALSE)</f>
        <v>ISI YOGYAKARTA</v>
      </c>
      <c r="Q1432" t="str">
        <f t="shared" si="22"/>
        <v>ISI YOGYAKARTAPENDIDIKAN SENI DRAMA, TARI, DAN MUSIK</v>
      </c>
    </row>
    <row r="1433" spans="1:17" ht="15.75" thickBot="1" x14ac:dyDescent="0.3">
      <c r="A1433" s="7">
        <v>1432</v>
      </c>
      <c r="B1433" s="6">
        <v>46</v>
      </c>
      <c r="C1433" s="13">
        <v>3642142</v>
      </c>
      <c r="D1433" t="s">
        <v>15</v>
      </c>
      <c r="E1433" s="13">
        <v>15</v>
      </c>
      <c r="F1433" s="10" t="s">
        <v>13</v>
      </c>
      <c r="I1433" s="87"/>
      <c r="J1433" s="138" t="s">
        <v>1292</v>
      </c>
      <c r="K1433" s="138" t="s">
        <v>1292</v>
      </c>
      <c r="L1433" s="138" t="s">
        <v>1292</v>
      </c>
      <c r="M1433" s="28"/>
      <c r="N1433" s="83" t="s">
        <v>1292</v>
      </c>
      <c r="P1433" t="str">
        <f>VLOOKUP(B1433,PTN!A:B,2,FALSE)</f>
        <v>ISI YOGYAKARTA</v>
      </c>
      <c r="Q1433" t="str">
        <f t="shared" si="22"/>
        <v>ISI YOGYAKARTASENI KARAWITAN</v>
      </c>
    </row>
    <row r="1434" spans="1:17" ht="15.75" thickBot="1" x14ac:dyDescent="0.3">
      <c r="A1434" s="7">
        <v>1433</v>
      </c>
      <c r="B1434" s="6">
        <v>46</v>
      </c>
      <c r="C1434" s="12">
        <v>3642022</v>
      </c>
      <c r="D1434" t="s">
        <v>160</v>
      </c>
      <c r="E1434" s="12">
        <v>15</v>
      </c>
      <c r="F1434" s="10" t="s">
        <v>13</v>
      </c>
      <c r="I1434" s="26"/>
      <c r="J1434" s="138" t="s">
        <v>1292</v>
      </c>
      <c r="K1434" s="138" t="s">
        <v>1292</v>
      </c>
      <c r="L1434" s="138" t="s">
        <v>1292</v>
      </c>
      <c r="M1434" s="27"/>
      <c r="N1434" s="83" t="s">
        <v>1292</v>
      </c>
      <c r="P1434" t="str">
        <f>VLOOKUP(B1434,PTN!A:B,2,FALSE)</f>
        <v>ISI YOGYAKARTA</v>
      </c>
      <c r="Q1434" t="str">
        <f t="shared" si="22"/>
        <v>ISI YOGYAKARTASENI MUSIK</v>
      </c>
    </row>
    <row r="1435" spans="1:17" ht="15.75" thickBot="1" x14ac:dyDescent="0.3">
      <c r="A1435" s="7">
        <v>1434</v>
      </c>
      <c r="B1435" s="6">
        <v>46</v>
      </c>
      <c r="C1435" s="13">
        <v>3642165</v>
      </c>
      <c r="D1435" t="s">
        <v>434</v>
      </c>
      <c r="E1435" s="13">
        <v>4</v>
      </c>
      <c r="F1435" s="10" t="s">
        <v>13</v>
      </c>
      <c r="I1435" s="87"/>
      <c r="J1435" s="138" t="s">
        <v>1292</v>
      </c>
      <c r="K1435" s="138" t="s">
        <v>1292</v>
      </c>
      <c r="L1435" s="138" t="s">
        <v>1292</v>
      </c>
      <c r="M1435" s="28"/>
      <c r="N1435" s="83" t="s">
        <v>1292</v>
      </c>
      <c r="P1435" t="str">
        <f>VLOOKUP(B1435,PTN!A:B,2,FALSE)</f>
        <v>ISI YOGYAKARTA</v>
      </c>
      <c r="Q1435" t="str">
        <f t="shared" si="22"/>
        <v>ISI YOGYAKARTASENI PEDALANGAN</v>
      </c>
    </row>
    <row r="1436" spans="1:17" ht="15.75" thickBot="1" x14ac:dyDescent="0.3">
      <c r="A1436" s="7">
        <v>1435</v>
      </c>
      <c r="B1436" s="6">
        <v>46</v>
      </c>
      <c r="C1436" s="12">
        <v>3642076</v>
      </c>
      <c r="D1436" t="s">
        <v>16</v>
      </c>
      <c r="E1436" s="12">
        <v>25</v>
      </c>
      <c r="F1436" s="10" t="s">
        <v>13</v>
      </c>
      <c r="I1436" s="26"/>
      <c r="J1436" s="138">
        <v>591.16</v>
      </c>
      <c r="K1436" s="138">
        <v>599.29773</v>
      </c>
      <c r="L1436" s="138">
        <v>583.02226999999993</v>
      </c>
      <c r="M1436" s="27"/>
      <c r="N1436" s="83">
        <v>591.16</v>
      </c>
      <c r="P1436" t="str">
        <f>VLOOKUP(B1436,PTN!A:B,2,FALSE)</f>
        <v>ISI YOGYAKARTA</v>
      </c>
      <c r="Q1436" t="str">
        <f t="shared" si="22"/>
        <v>ISI YOGYAKARTASENI RUPA MURNI</v>
      </c>
    </row>
    <row r="1437" spans="1:17" ht="15.75" thickBot="1" x14ac:dyDescent="0.3">
      <c r="A1437" s="7">
        <v>1436</v>
      </c>
      <c r="B1437" s="6">
        <v>46</v>
      </c>
      <c r="C1437" s="13">
        <v>3642014</v>
      </c>
      <c r="D1437" t="s">
        <v>17</v>
      </c>
      <c r="E1437" s="13">
        <v>20</v>
      </c>
      <c r="F1437" s="10" t="s">
        <v>13</v>
      </c>
      <c r="I1437" s="87"/>
      <c r="J1437" s="138" t="s">
        <v>1292</v>
      </c>
      <c r="K1437" s="138" t="s">
        <v>1292</v>
      </c>
      <c r="L1437" s="138" t="s">
        <v>1292</v>
      </c>
      <c r="M1437" s="28"/>
      <c r="N1437" s="83" t="s">
        <v>1292</v>
      </c>
      <c r="P1437" t="str">
        <f>VLOOKUP(B1437,PTN!A:B,2,FALSE)</f>
        <v>ISI YOGYAKARTA</v>
      </c>
      <c r="Q1437" t="str">
        <f t="shared" si="22"/>
        <v>ISI YOGYAKARTASENI TARI</v>
      </c>
    </row>
    <row r="1438" spans="1:17" ht="15.75" thickBot="1" x14ac:dyDescent="0.3">
      <c r="A1438" s="7">
        <v>1437</v>
      </c>
      <c r="B1438" s="6">
        <v>46</v>
      </c>
      <c r="C1438" s="12">
        <v>3642053</v>
      </c>
      <c r="D1438" t="s">
        <v>18</v>
      </c>
      <c r="E1438" s="12">
        <v>19</v>
      </c>
      <c r="F1438" s="10" t="s">
        <v>13</v>
      </c>
      <c r="I1438" s="26"/>
      <c r="J1438" s="138">
        <v>580</v>
      </c>
      <c r="K1438" s="138" t="s">
        <v>1292</v>
      </c>
      <c r="L1438" s="138" t="s">
        <v>1292</v>
      </c>
      <c r="M1438" s="27"/>
      <c r="N1438" s="83">
        <v>580</v>
      </c>
      <c r="P1438" t="str">
        <f>VLOOKUP(B1438,PTN!A:B,2,FALSE)</f>
        <v>ISI YOGYAKARTA</v>
      </c>
      <c r="Q1438" t="str">
        <f t="shared" si="22"/>
        <v>ISI YOGYAKARTASENI TEATER</v>
      </c>
    </row>
    <row r="1439" spans="1:17" ht="15.75" thickBot="1" x14ac:dyDescent="0.3">
      <c r="A1439" s="7">
        <v>1438</v>
      </c>
      <c r="B1439" s="6">
        <v>46</v>
      </c>
      <c r="C1439" s="13">
        <v>3642173</v>
      </c>
      <c r="D1439" t="s">
        <v>478</v>
      </c>
      <c r="E1439" s="13">
        <v>9</v>
      </c>
      <c r="F1439" s="10" t="s">
        <v>13</v>
      </c>
      <c r="I1439" s="87"/>
      <c r="J1439" s="138" t="s">
        <v>1292</v>
      </c>
      <c r="K1439" s="138" t="s">
        <v>1292</v>
      </c>
      <c r="L1439" s="138" t="s">
        <v>1292</v>
      </c>
      <c r="M1439" s="28"/>
      <c r="N1439" s="83" t="s">
        <v>1292</v>
      </c>
      <c r="P1439" t="str">
        <f>VLOOKUP(B1439,PTN!A:B,2,FALSE)</f>
        <v>ISI YOGYAKARTA</v>
      </c>
      <c r="Q1439" t="str">
        <f t="shared" si="22"/>
        <v>ISI YOGYAKARTATATA KELOLA SENI</v>
      </c>
    </row>
    <row r="1440" spans="1:17" ht="15.75" thickBot="1" x14ac:dyDescent="0.3">
      <c r="A1440" s="7">
        <v>1439</v>
      </c>
      <c r="B1440" s="6">
        <v>46</v>
      </c>
      <c r="C1440" s="14">
        <v>3642126</v>
      </c>
      <c r="D1440" t="s">
        <v>392</v>
      </c>
      <c r="E1440" s="14">
        <v>22</v>
      </c>
      <c r="F1440" s="10" t="s">
        <v>13</v>
      </c>
      <c r="I1440" s="26"/>
      <c r="J1440" s="138">
        <v>621.24</v>
      </c>
      <c r="K1440" s="138">
        <v>629.37773000000004</v>
      </c>
      <c r="L1440" s="138">
        <v>613.10226999999998</v>
      </c>
      <c r="M1440" s="27"/>
      <c r="N1440" s="83">
        <v>621.24</v>
      </c>
      <c r="P1440" t="str">
        <f>VLOOKUP(B1440,PTN!A:B,2,FALSE)</f>
        <v>ISI YOGYAKARTA</v>
      </c>
      <c r="Q1440" t="str">
        <f t="shared" si="22"/>
        <v>ISI YOGYAKARTATELEVISI DAN FILM</v>
      </c>
    </row>
    <row r="1441" spans="1:17" ht="16.5" thickTop="1" thickBot="1" x14ac:dyDescent="0.3">
      <c r="A1441" s="7">
        <v>1440</v>
      </c>
      <c r="B1441" s="6">
        <v>43</v>
      </c>
      <c r="C1441" s="17">
        <v>3611221</v>
      </c>
      <c r="D1441" t="s">
        <v>250</v>
      </c>
      <c r="E1441" s="17">
        <v>20</v>
      </c>
      <c r="F1441" s="10" t="s">
        <v>20</v>
      </c>
      <c r="I1441" s="20"/>
      <c r="J1441" s="138">
        <v>626.65</v>
      </c>
      <c r="K1441" s="138">
        <v>635.07499999999993</v>
      </c>
      <c r="L1441" s="138">
        <v>618.22500000000002</v>
      </c>
      <c r="M1441" s="21"/>
      <c r="N1441" s="83">
        <v>626.65</v>
      </c>
      <c r="P1441" t="str">
        <f>VLOOKUP(B1441,PTN!A:B,2,FALSE)</f>
        <v>UNIVERSITAS GADJAH MADA</v>
      </c>
      <c r="Q1441" t="str">
        <f t="shared" si="22"/>
        <v>UNIVERSITAS GADJAH MADAAGRONOMI</v>
      </c>
    </row>
    <row r="1442" spans="1:17" ht="15.75" thickBot="1" x14ac:dyDescent="0.3">
      <c r="A1442" s="7">
        <v>1441</v>
      </c>
      <c r="B1442" s="6">
        <v>43</v>
      </c>
      <c r="C1442" s="18">
        <v>3611283</v>
      </c>
      <c r="D1442" t="s">
        <v>479</v>
      </c>
      <c r="E1442" s="18">
        <v>15</v>
      </c>
      <c r="F1442" s="10" t="s">
        <v>20</v>
      </c>
      <c r="I1442" s="22"/>
      <c r="J1442" s="138">
        <v>624.99</v>
      </c>
      <c r="K1442" s="138">
        <v>632.625</v>
      </c>
      <c r="L1442" s="138">
        <v>617.35500000000002</v>
      </c>
      <c r="M1442" s="21"/>
      <c r="N1442" s="83">
        <v>624.99</v>
      </c>
      <c r="P1442" t="str">
        <f>VLOOKUP(B1442,PTN!A:B,2,FALSE)</f>
        <v>UNIVERSITAS GADJAH MADA</v>
      </c>
      <c r="Q1442" t="str">
        <f t="shared" si="22"/>
        <v>UNIVERSITAS GADJAH MADAAKUAKULTUR (BUDIDAYA PERIKANAN)</v>
      </c>
    </row>
    <row r="1443" spans="1:17" ht="16.5" thickTop="1" thickBot="1" x14ac:dyDescent="0.3">
      <c r="A1443" s="7">
        <v>1442</v>
      </c>
      <c r="B1443" s="6">
        <v>43</v>
      </c>
      <c r="C1443" s="17">
        <v>3611333</v>
      </c>
      <c r="D1443" t="s">
        <v>19</v>
      </c>
      <c r="E1443" s="17">
        <v>20</v>
      </c>
      <c r="F1443" s="10" t="s">
        <v>20</v>
      </c>
      <c r="I1443" s="36"/>
      <c r="J1443" s="138">
        <v>678.19</v>
      </c>
      <c r="K1443" s="138">
        <v>687.1</v>
      </c>
      <c r="L1443" s="138">
        <v>669.28000000000009</v>
      </c>
      <c r="M1443" s="31"/>
      <c r="N1443" s="83">
        <v>678.19</v>
      </c>
      <c r="P1443" t="str">
        <f>VLOOKUP(B1443,PTN!A:B,2,FALSE)</f>
        <v>UNIVERSITAS GADJAH MADA</v>
      </c>
      <c r="Q1443" t="str">
        <f t="shared" si="22"/>
        <v>UNIVERSITAS GADJAH MADAARSITEKTUR</v>
      </c>
    </row>
    <row r="1444" spans="1:17" ht="16.5" thickTop="1" thickBot="1" x14ac:dyDescent="0.3">
      <c r="A1444" s="7">
        <v>1443</v>
      </c>
      <c r="B1444" s="6">
        <v>43</v>
      </c>
      <c r="C1444" s="18">
        <v>3611012</v>
      </c>
      <c r="D1444" t="s">
        <v>21</v>
      </c>
      <c r="E1444" s="18">
        <v>56</v>
      </c>
      <c r="F1444" s="10" t="s">
        <v>20</v>
      </c>
      <c r="I1444" s="38"/>
      <c r="J1444" s="138">
        <v>652.04999999999995</v>
      </c>
      <c r="K1444" s="138">
        <v>660.90499999999997</v>
      </c>
      <c r="L1444" s="138">
        <v>643.19499999999994</v>
      </c>
      <c r="M1444" s="32"/>
      <c r="N1444" s="83">
        <v>652.04999999999995</v>
      </c>
      <c r="P1444" t="str">
        <f>VLOOKUP(B1444,PTN!A:B,2,FALSE)</f>
        <v>UNIVERSITAS GADJAH MADA</v>
      </c>
      <c r="Q1444" t="str">
        <f t="shared" si="22"/>
        <v>UNIVERSITAS GADJAH MADABIOLOGI</v>
      </c>
    </row>
    <row r="1445" spans="1:17" ht="15.75" thickBot="1" x14ac:dyDescent="0.3">
      <c r="A1445" s="7">
        <v>1444</v>
      </c>
      <c r="B1445" s="6">
        <v>43</v>
      </c>
      <c r="C1445" s="17">
        <v>3611252</v>
      </c>
      <c r="D1445" t="s">
        <v>480</v>
      </c>
      <c r="E1445" s="17">
        <v>20</v>
      </c>
      <c r="F1445" s="10" t="s">
        <v>20</v>
      </c>
      <c r="I1445" s="39"/>
      <c r="J1445" s="138">
        <v>646.61</v>
      </c>
      <c r="K1445" s="138">
        <v>654.83500000000004</v>
      </c>
      <c r="L1445" s="138">
        <v>638.38499999999999</v>
      </c>
      <c r="M1445" s="33"/>
      <c r="N1445" s="83">
        <v>646.61</v>
      </c>
      <c r="P1445" t="str">
        <f>VLOOKUP(B1445,PTN!A:B,2,FALSE)</f>
        <v>UNIVERSITAS GADJAH MADA</v>
      </c>
      <c r="Q1445" t="str">
        <f t="shared" si="22"/>
        <v>UNIVERSITAS GADJAH MADAEKONOMI PERTANIAN DAN AGRIBISNIS</v>
      </c>
    </row>
    <row r="1446" spans="1:17" ht="15.75" thickBot="1" x14ac:dyDescent="0.3">
      <c r="A1446" s="7">
        <v>1445</v>
      </c>
      <c r="B1446" s="6">
        <v>43</v>
      </c>
      <c r="C1446" s="18">
        <v>3611213</v>
      </c>
      <c r="D1446" t="s">
        <v>481</v>
      </c>
      <c r="E1446" s="18">
        <v>18</v>
      </c>
      <c r="F1446" s="10" t="s">
        <v>20</v>
      </c>
      <c r="I1446" s="38"/>
      <c r="J1446" s="138">
        <v>665.27</v>
      </c>
      <c r="K1446" s="138">
        <v>674.85</v>
      </c>
      <c r="L1446" s="138">
        <v>655.68999999999994</v>
      </c>
      <c r="M1446" s="32"/>
      <c r="N1446" s="83">
        <v>665.27</v>
      </c>
      <c r="P1446" t="str">
        <f>VLOOKUP(B1446,PTN!A:B,2,FALSE)</f>
        <v>UNIVERSITAS GADJAH MADA</v>
      </c>
      <c r="Q1446" t="str">
        <f t="shared" si="22"/>
        <v>UNIVERSITAS GADJAH MADAELEKTRONIKA DAN INSTRUMENTASI</v>
      </c>
    </row>
    <row r="1447" spans="1:17" ht="15.75" thickBot="1" x14ac:dyDescent="0.3">
      <c r="A1447" s="7">
        <v>1446</v>
      </c>
      <c r="B1447" s="6">
        <v>43</v>
      </c>
      <c r="C1447" s="17">
        <v>3611027</v>
      </c>
      <c r="D1447" t="s">
        <v>77</v>
      </c>
      <c r="E1447" s="17">
        <v>60</v>
      </c>
      <c r="F1447" s="10" t="s">
        <v>20</v>
      </c>
      <c r="I1447" s="39"/>
      <c r="J1447" s="138">
        <v>679.18</v>
      </c>
      <c r="K1447" s="138">
        <v>688.08999999999992</v>
      </c>
      <c r="L1447" s="138">
        <v>670.27</v>
      </c>
      <c r="M1447" s="33"/>
      <c r="N1447" s="83">
        <v>679.18</v>
      </c>
      <c r="P1447" t="str">
        <f>VLOOKUP(B1447,PTN!A:B,2,FALSE)</f>
        <v>UNIVERSITAS GADJAH MADA</v>
      </c>
      <c r="Q1447" t="str">
        <f t="shared" si="22"/>
        <v>UNIVERSITAS GADJAH MADAFARMASI</v>
      </c>
    </row>
    <row r="1448" spans="1:17" ht="15.75" thickBot="1" x14ac:dyDescent="0.3">
      <c r="A1448" s="7">
        <v>1447</v>
      </c>
      <c r="B1448" s="6">
        <v>43</v>
      </c>
      <c r="C1448" s="18">
        <v>3611155</v>
      </c>
      <c r="D1448" t="s">
        <v>65</v>
      </c>
      <c r="E1448" s="18">
        <v>18</v>
      </c>
      <c r="F1448" s="10" t="s">
        <v>20</v>
      </c>
      <c r="I1448" s="38"/>
      <c r="J1448" s="138">
        <v>652.38</v>
      </c>
      <c r="K1448" s="138">
        <v>666.16</v>
      </c>
      <c r="L1448" s="138">
        <v>638.6</v>
      </c>
      <c r="M1448" s="32"/>
      <c r="N1448" s="83">
        <v>652.38</v>
      </c>
      <c r="P1448" t="str">
        <f>VLOOKUP(B1448,PTN!A:B,2,FALSE)</f>
        <v>UNIVERSITAS GADJAH MADA</v>
      </c>
      <c r="Q1448" t="str">
        <f t="shared" si="22"/>
        <v>UNIVERSITAS GADJAH MADAFISIKA</v>
      </c>
    </row>
    <row r="1449" spans="1:17" ht="15.75" thickBot="1" x14ac:dyDescent="0.3">
      <c r="A1449" s="7">
        <v>1448</v>
      </c>
      <c r="B1449" s="6">
        <v>43</v>
      </c>
      <c r="C1449" s="17">
        <v>3611205</v>
      </c>
      <c r="D1449" t="s">
        <v>246</v>
      </c>
      <c r="E1449" s="17">
        <v>15</v>
      </c>
      <c r="F1449" s="10" t="s">
        <v>20</v>
      </c>
      <c r="I1449" s="39"/>
      <c r="J1449" s="138">
        <v>657.52</v>
      </c>
      <c r="K1449" s="138">
        <v>666.18499999999995</v>
      </c>
      <c r="L1449" s="138">
        <v>648.85500000000002</v>
      </c>
      <c r="M1449" s="33"/>
      <c r="N1449" s="83">
        <v>657.52</v>
      </c>
      <c r="P1449" t="str">
        <f>VLOOKUP(B1449,PTN!A:B,2,FALSE)</f>
        <v>UNIVERSITAS GADJAH MADA</v>
      </c>
      <c r="Q1449" t="str">
        <f t="shared" si="22"/>
        <v>UNIVERSITAS GADJAH MADAGEOFISIKA</v>
      </c>
    </row>
    <row r="1450" spans="1:17" ht="15.75" thickBot="1" x14ac:dyDescent="0.3">
      <c r="A1450" s="7">
        <v>1449</v>
      </c>
      <c r="B1450" s="6">
        <v>43</v>
      </c>
      <c r="C1450" s="18">
        <v>3611035</v>
      </c>
      <c r="D1450" t="s">
        <v>482</v>
      </c>
      <c r="E1450" s="18">
        <v>25</v>
      </c>
      <c r="F1450" s="10" t="s">
        <v>20</v>
      </c>
      <c r="I1450" s="38"/>
      <c r="J1450" s="138">
        <v>641.35</v>
      </c>
      <c r="K1450" s="138">
        <v>649.63</v>
      </c>
      <c r="L1450" s="138">
        <v>633.07000000000005</v>
      </c>
      <c r="M1450" s="32"/>
      <c r="N1450" s="83">
        <v>641.35</v>
      </c>
      <c r="P1450" t="str">
        <f>VLOOKUP(B1450,PTN!A:B,2,FALSE)</f>
        <v>UNIVERSITAS GADJAH MADA</v>
      </c>
      <c r="Q1450" t="str">
        <f t="shared" si="22"/>
        <v>UNIVERSITAS GADJAH MADAGEOGRAFI LINGKUNGAN</v>
      </c>
    </row>
    <row r="1451" spans="1:17" ht="15.75" thickBot="1" x14ac:dyDescent="0.3">
      <c r="A1451" s="7">
        <v>1450</v>
      </c>
      <c r="B1451" s="6">
        <v>43</v>
      </c>
      <c r="C1451" s="17">
        <v>3611082</v>
      </c>
      <c r="D1451" t="s">
        <v>483</v>
      </c>
      <c r="E1451" s="17">
        <v>25</v>
      </c>
      <c r="F1451" s="10" t="s">
        <v>20</v>
      </c>
      <c r="I1451" s="39"/>
      <c r="J1451" s="138">
        <v>668.69</v>
      </c>
      <c r="K1451" s="138">
        <v>678.15000000000009</v>
      </c>
      <c r="L1451" s="138">
        <v>659.23</v>
      </c>
      <c r="M1451" s="33"/>
      <c r="N1451" s="83">
        <v>668.69</v>
      </c>
      <c r="P1451" t="str">
        <f>VLOOKUP(B1451,PTN!A:B,2,FALSE)</f>
        <v>UNIVERSITAS GADJAH MADA</v>
      </c>
      <c r="Q1451" t="str">
        <f t="shared" si="22"/>
        <v>UNIVERSITAS GADJAH MADAGIZI KESEHATAN</v>
      </c>
    </row>
    <row r="1452" spans="1:17" ht="15.75" thickBot="1" x14ac:dyDescent="0.3">
      <c r="A1452" s="7">
        <v>1451</v>
      </c>
      <c r="B1452" s="6">
        <v>43</v>
      </c>
      <c r="C1452" s="18">
        <v>3611476</v>
      </c>
      <c r="D1452" t="s">
        <v>484</v>
      </c>
      <c r="E1452" s="18">
        <v>13</v>
      </c>
      <c r="F1452" s="10" t="s">
        <v>20</v>
      </c>
      <c r="I1452" s="38"/>
      <c r="J1452" s="138">
        <v>623.33000000000004</v>
      </c>
      <c r="K1452" s="138">
        <v>631.33500000000004</v>
      </c>
      <c r="L1452" s="138">
        <v>615.32500000000005</v>
      </c>
      <c r="M1452" s="32"/>
      <c r="N1452" s="83">
        <v>623.33000000000004</v>
      </c>
      <c r="P1452" t="str">
        <f>VLOOKUP(B1452,PTN!A:B,2,FALSE)</f>
        <v>UNIVERSITAS GADJAH MADA</v>
      </c>
      <c r="Q1452" t="str">
        <f t="shared" si="22"/>
        <v>UNIVERSITAS GADJAH MADAHIGIENE GIGI</v>
      </c>
    </row>
    <row r="1453" spans="1:17" ht="15.75" thickBot="1" x14ac:dyDescent="0.3">
      <c r="A1453" s="7">
        <v>1452</v>
      </c>
      <c r="B1453" s="6">
        <v>43</v>
      </c>
      <c r="C1453" s="17">
        <v>3611503</v>
      </c>
      <c r="D1453" t="s">
        <v>485</v>
      </c>
      <c r="E1453" s="17">
        <v>10</v>
      </c>
      <c r="F1453" s="10" t="s">
        <v>20</v>
      </c>
      <c r="I1453" s="39"/>
      <c r="J1453" s="138">
        <v>685.55</v>
      </c>
      <c r="K1453" s="138">
        <v>694.66</v>
      </c>
      <c r="L1453" s="138">
        <v>676.43999999999994</v>
      </c>
      <c r="M1453" s="33"/>
      <c r="N1453" s="83">
        <v>685.55</v>
      </c>
      <c r="P1453" t="str">
        <f>VLOOKUP(B1453,PTN!A:B,2,FALSE)</f>
        <v>UNIVERSITAS GADJAH MADA</v>
      </c>
      <c r="Q1453" t="str">
        <f t="shared" si="22"/>
        <v>UNIVERSITAS GADJAH MADAILMU AKTUARIA</v>
      </c>
    </row>
    <row r="1454" spans="1:17" ht="15.75" thickBot="1" x14ac:dyDescent="0.3">
      <c r="A1454" s="7">
        <v>1453</v>
      </c>
      <c r="B1454" s="6">
        <v>43</v>
      </c>
      <c r="C1454" s="18">
        <v>3611325</v>
      </c>
      <c r="D1454" t="s">
        <v>486</v>
      </c>
      <c r="E1454" s="18">
        <v>75</v>
      </c>
      <c r="F1454" s="10" t="s">
        <v>20</v>
      </c>
      <c r="I1454" s="38"/>
      <c r="J1454" s="138">
        <v>618.92999999999995</v>
      </c>
      <c r="K1454" s="138">
        <v>626.3599999999999</v>
      </c>
      <c r="L1454" s="138">
        <v>611.5</v>
      </c>
      <c r="M1454" s="32"/>
      <c r="N1454" s="83">
        <v>618.92999999999995</v>
      </c>
      <c r="P1454" t="str">
        <f>VLOOKUP(B1454,PTN!A:B,2,FALSE)</f>
        <v>UNIVERSITAS GADJAH MADA</v>
      </c>
      <c r="Q1454" t="str">
        <f t="shared" si="22"/>
        <v>UNIVERSITAS GADJAH MADAILMU DAN INDUSTRI PETERNAKAN</v>
      </c>
    </row>
    <row r="1455" spans="1:17" ht="15.75" thickBot="1" x14ac:dyDescent="0.3">
      <c r="A1455" s="7">
        <v>1454</v>
      </c>
      <c r="B1455" s="6">
        <v>43</v>
      </c>
      <c r="C1455" s="17">
        <v>3611074</v>
      </c>
      <c r="D1455" t="s">
        <v>78</v>
      </c>
      <c r="E1455" s="17">
        <v>25</v>
      </c>
      <c r="F1455" s="10" t="s">
        <v>20</v>
      </c>
      <c r="I1455" s="39"/>
      <c r="J1455" s="138">
        <v>639.24</v>
      </c>
      <c r="K1455" s="138">
        <v>645.09</v>
      </c>
      <c r="L1455" s="138">
        <v>633.39</v>
      </c>
      <c r="M1455" s="33"/>
      <c r="N1455" s="83">
        <v>639.24</v>
      </c>
      <c r="P1455" t="str">
        <f>VLOOKUP(B1455,PTN!A:B,2,FALSE)</f>
        <v>UNIVERSITAS GADJAH MADA</v>
      </c>
      <c r="Q1455" t="str">
        <f t="shared" si="22"/>
        <v>UNIVERSITAS GADJAH MADAILMU KEPERAWATAN</v>
      </c>
    </row>
    <row r="1456" spans="1:17" ht="15.75" thickBot="1" x14ac:dyDescent="0.3">
      <c r="A1456" s="7">
        <v>1455</v>
      </c>
      <c r="B1456" s="6">
        <v>43</v>
      </c>
      <c r="C1456" s="18">
        <v>3611186</v>
      </c>
      <c r="D1456" t="s">
        <v>111</v>
      </c>
      <c r="E1456" s="18">
        <v>18</v>
      </c>
      <c r="F1456" s="10" t="s">
        <v>20</v>
      </c>
      <c r="I1456" s="38"/>
      <c r="J1456" s="138">
        <v>678.96</v>
      </c>
      <c r="K1456" s="138">
        <v>685.30500000000006</v>
      </c>
      <c r="L1456" s="138">
        <v>672.61500000000001</v>
      </c>
      <c r="M1456" s="32"/>
      <c r="N1456" s="83">
        <v>678.96</v>
      </c>
      <c r="P1456" t="str">
        <f>VLOOKUP(B1456,PTN!A:B,2,FALSE)</f>
        <v>UNIVERSITAS GADJAH MADA</v>
      </c>
      <c r="Q1456" t="str">
        <f t="shared" si="22"/>
        <v>UNIVERSITAS GADJAH MADAILMU KOMPUTER</v>
      </c>
    </row>
    <row r="1457" spans="1:17" ht="15.75" thickBot="1" x14ac:dyDescent="0.3">
      <c r="A1457" s="7">
        <v>1456</v>
      </c>
      <c r="B1457" s="6">
        <v>43</v>
      </c>
      <c r="C1457" s="17">
        <v>3611244</v>
      </c>
      <c r="D1457" t="s">
        <v>79</v>
      </c>
      <c r="E1457" s="17">
        <v>15</v>
      </c>
      <c r="F1457" s="10" t="s">
        <v>20</v>
      </c>
      <c r="I1457" s="39"/>
      <c r="J1457" s="138">
        <v>634.33000000000004</v>
      </c>
      <c r="K1457" s="138">
        <v>644.21</v>
      </c>
      <c r="L1457" s="138">
        <v>624.45000000000005</v>
      </c>
      <c r="M1457" s="33"/>
      <c r="N1457" s="83">
        <v>634.33000000000004</v>
      </c>
      <c r="P1457" t="str">
        <f>VLOOKUP(B1457,PTN!A:B,2,FALSE)</f>
        <v>UNIVERSITAS GADJAH MADA</v>
      </c>
      <c r="Q1457" t="str">
        <f t="shared" si="22"/>
        <v>UNIVERSITAS GADJAH MADAILMU TANAH</v>
      </c>
    </row>
    <row r="1458" spans="1:17" ht="15.75" thickBot="1" x14ac:dyDescent="0.3">
      <c r="A1458" s="7">
        <v>1457</v>
      </c>
      <c r="B1458" s="6">
        <v>43</v>
      </c>
      <c r="C1458" s="18">
        <v>3611043</v>
      </c>
      <c r="D1458" t="s">
        <v>487</v>
      </c>
      <c r="E1458" s="18">
        <v>19</v>
      </c>
      <c r="F1458" s="10" t="s">
        <v>20</v>
      </c>
      <c r="I1458" s="38"/>
      <c r="J1458" s="138">
        <v>653.27</v>
      </c>
      <c r="K1458" s="138">
        <v>665.755</v>
      </c>
      <c r="L1458" s="138">
        <v>640.78499999999997</v>
      </c>
      <c r="M1458" s="32"/>
      <c r="N1458" s="83">
        <v>653.27</v>
      </c>
      <c r="P1458" t="str">
        <f>VLOOKUP(B1458,PTN!A:B,2,FALSE)</f>
        <v>UNIVERSITAS GADJAH MADA</v>
      </c>
      <c r="Q1458" t="str">
        <f t="shared" si="22"/>
        <v>UNIVERSITAS GADJAH MADAKARTOGRAFI DAN PENGINDERAAN JAUH</v>
      </c>
    </row>
    <row r="1459" spans="1:17" ht="15.75" thickBot="1" x14ac:dyDescent="0.3">
      <c r="A1459" s="7">
        <v>1458</v>
      </c>
      <c r="B1459" s="6">
        <v>43</v>
      </c>
      <c r="C1459" s="17">
        <v>3611066</v>
      </c>
      <c r="D1459" t="s">
        <v>236</v>
      </c>
      <c r="E1459" s="17">
        <v>44</v>
      </c>
      <c r="F1459" s="10" t="s">
        <v>20</v>
      </c>
      <c r="I1459" s="39"/>
      <c r="J1459" s="138">
        <v>725.21</v>
      </c>
      <c r="K1459" s="138">
        <v>738.75</v>
      </c>
      <c r="L1459" s="138">
        <v>711.67000000000007</v>
      </c>
      <c r="M1459" s="33"/>
      <c r="N1459" s="83">
        <v>725.21</v>
      </c>
      <c r="P1459" t="str">
        <f>VLOOKUP(B1459,PTN!A:B,2,FALSE)</f>
        <v>UNIVERSITAS GADJAH MADA</v>
      </c>
      <c r="Q1459" t="str">
        <f t="shared" si="22"/>
        <v>UNIVERSITAS GADJAH MADAKEDOKTERAN</v>
      </c>
    </row>
    <row r="1460" spans="1:17" ht="15.75" thickBot="1" x14ac:dyDescent="0.3">
      <c r="A1460" s="7">
        <v>1459</v>
      </c>
      <c r="B1460" s="6">
        <v>43</v>
      </c>
      <c r="C1460" s="18">
        <v>3611097</v>
      </c>
      <c r="D1460" t="s">
        <v>436</v>
      </c>
      <c r="E1460" s="18">
        <v>38</v>
      </c>
      <c r="F1460" s="10" t="s">
        <v>20</v>
      </c>
      <c r="I1460" s="38"/>
      <c r="J1460" s="138">
        <v>684.03</v>
      </c>
      <c r="K1460" s="138">
        <v>693.72500000000002</v>
      </c>
      <c r="L1460" s="138">
        <v>674.33499999999992</v>
      </c>
      <c r="M1460" s="32"/>
      <c r="N1460" s="83">
        <v>684.03</v>
      </c>
      <c r="P1460" t="str">
        <f>VLOOKUP(B1460,PTN!A:B,2,FALSE)</f>
        <v>UNIVERSITAS GADJAH MADA</v>
      </c>
      <c r="Q1460" t="str">
        <f t="shared" si="22"/>
        <v>UNIVERSITAS GADJAH MADAKEDOKTERAN GIGI</v>
      </c>
    </row>
    <row r="1461" spans="1:17" ht="15.75" thickBot="1" x14ac:dyDescent="0.3">
      <c r="A1461" s="7">
        <v>1460</v>
      </c>
      <c r="B1461" s="6">
        <v>43</v>
      </c>
      <c r="C1461" s="17">
        <v>3611101</v>
      </c>
      <c r="D1461" t="s">
        <v>348</v>
      </c>
      <c r="E1461" s="17">
        <v>50</v>
      </c>
      <c r="F1461" s="10" t="s">
        <v>20</v>
      </c>
      <c r="I1461" s="39"/>
      <c r="J1461" s="138">
        <v>648.05999999999995</v>
      </c>
      <c r="K1461" s="138">
        <v>657.28499999999997</v>
      </c>
      <c r="L1461" s="138">
        <v>638.83499999999992</v>
      </c>
      <c r="M1461" s="33"/>
      <c r="N1461" s="83">
        <v>648.05999999999995</v>
      </c>
      <c r="P1461" t="str">
        <f>VLOOKUP(B1461,PTN!A:B,2,FALSE)</f>
        <v>UNIVERSITAS GADJAH MADA</v>
      </c>
      <c r="Q1461" t="str">
        <f t="shared" si="22"/>
        <v>UNIVERSITAS GADJAH MADAKEDOKTERAN HEWAN</v>
      </c>
    </row>
    <row r="1462" spans="1:17" ht="15.75" thickBot="1" x14ac:dyDescent="0.3">
      <c r="A1462" s="7">
        <v>1461</v>
      </c>
      <c r="B1462" s="6">
        <v>43</v>
      </c>
      <c r="C1462" s="18">
        <v>3611484</v>
      </c>
      <c r="D1462" t="s">
        <v>81</v>
      </c>
      <c r="E1462" s="18">
        <v>69</v>
      </c>
      <c r="F1462" s="10" t="s">
        <v>20</v>
      </c>
      <c r="I1462" s="38"/>
      <c r="J1462" s="138">
        <v>628.54999999999995</v>
      </c>
      <c r="K1462" s="138">
        <v>636.54499999999996</v>
      </c>
      <c r="L1462" s="138">
        <v>620.55499999999995</v>
      </c>
      <c r="M1462" s="32"/>
      <c r="N1462" s="83">
        <v>628.54999999999995</v>
      </c>
      <c r="P1462" t="str">
        <f>VLOOKUP(B1462,PTN!A:B,2,FALSE)</f>
        <v>UNIVERSITAS GADJAH MADA</v>
      </c>
      <c r="Q1462" t="str">
        <f t="shared" si="22"/>
        <v>UNIVERSITAS GADJAH MADAKEHUTANAN</v>
      </c>
    </row>
    <row r="1463" spans="1:17" ht="15.75" thickBot="1" x14ac:dyDescent="0.3">
      <c r="A1463" s="7">
        <v>1462</v>
      </c>
      <c r="B1463" s="6">
        <v>43</v>
      </c>
      <c r="C1463" s="17">
        <v>3611163</v>
      </c>
      <c r="D1463" t="s">
        <v>22</v>
      </c>
      <c r="E1463" s="17">
        <v>35</v>
      </c>
      <c r="F1463" s="10" t="s">
        <v>20</v>
      </c>
      <c r="I1463" s="39"/>
      <c r="J1463" s="138">
        <v>660.98</v>
      </c>
      <c r="K1463" s="138">
        <v>671.33500000000004</v>
      </c>
      <c r="L1463" s="138">
        <v>650.625</v>
      </c>
      <c r="M1463" s="33"/>
      <c r="N1463" s="83">
        <v>660.98</v>
      </c>
      <c r="P1463" t="str">
        <f>VLOOKUP(B1463,PTN!A:B,2,FALSE)</f>
        <v>UNIVERSITAS GADJAH MADA</v>
      </c>
      <c r="Q1463" t="str">
        <f t="shared" si="22"/>
        <v>UNIVERSITAS GADJAH MADAKIMIA</v>
      </c>
    </row>
    <row r="1464" spans="1:17" ht="15.75" thickBot="1" x14ac:dyDescent="0.3">
      <c r="A1464" s="7">
        <v>1463</v>
      </c>
      <c r="B1464" s="6">
        <v>43</v>
      </c>
      <c r="C1464" s="18">
        <v>3611302</v>
      </c>
      <c r="D1464" t="s">
        <v>488</v>
      </c>
      <c r="E1464" s="18">
        <v>15</v>
      </c>
      <c r="F1464" s="10" t="s">
        <v>20</v>
      </c>
      <c r="I1464" s="38"/>
      <c r="J1464" s="138">
        <v>624.61</v>
      </c>
      <c r="K1464" s="138">
        <v>631.66499999999996</v>
      </c>
      <c r="L1464" s="138">
        <v>617.55500000000006</v>
      </c>
      <c r="M1464" s="32"/>
      <c r="N1464" s="83">
        <v>624.61</v>
      </c>
      <c r="P1464" t="str">
        <f>VLOOKUP(B1464,PTN!A:B,2,FALSE)</f>
        <v>UNIVERSITAS GADJAH MADA</v>
      </c>
      <c r="Q1464" t="str">
        <f t="shared" si="22"/>
        <v>UNIVERSITAS GADJAH MADAMANAJEMEN SUMBERDAYA AKUATIK (MANAJEMEN SUMBER DAYA PERIKANAN)</v>
      </c>
    </row>
    <row r="1465" spans="1:17" ht="15.75" thickBot="1" x14ac:dyDescent="0.3">
      <c r="A1465" s="7">
        <v>1464</v>
      </c>
      <c r="B1465" s="6">
        <v>43</v>
      </c>
      <c r="C1465" s="17">
        <v>3611171</v>
      </c>
      <c r="D1465" t="s">
        <v>66</v>
      </c>
      <c r="E1465" s="17">
        <v>18</v>
      </c>
      <c r="F1465" s="10" t="s">
        <v>20</v>
      </c>
      <c r="I1465" s="39"/>
      <c r="J1465" s="138">
        <v>670.97</v>
      </c>
      <c r="K1465" s="138">
        <v>679.01</v>
      </c>
      <c r="L1465" s="138">
        <v>662.93000000000006</v>
      </c>
      <c r="M1465" s="33"/>
      <c r="N1465" s="83">
        <v>670.97</v>
      </c>
      <c r="P1465" t="str">
        <f>VLOOKUP(B1465,PTN!A:B,2,FALSE)</f>
        <v>UNIVERSITAS GADJAH MADA</v>
      </c>
      <c r="Q1465" t="str">
        <f t="shared" si="22"/>
        <v>UNIVERSITAS GADJAH MADAMATEMATIKA</v>
      </c>
    </row>
    <row r="1466" spans="1:17" ht="15.75" thickBot="1" x14ac:dyDescent="0.3">
      <c r="A1466" s="7">
        <v>1465</v>
      </c>
      <c r="B1466" s="6">
        <v>43</v>
      </c>
      <c r="C1466" s="18">
        <v>3611317</v>
      </c>
      <c r="D1466" t="s">
        <v>489</v>
      </c>
      <c r="E1466" s="18">
        <v>8</v>
      </c>
      <c r="F1466" s="10" t="s">
        <v>20</v>
      </c>
      <c r="I1466" s="38"/>
      <c r="J1466" s="138">
        <v>632.33000000000004</v>
      </c>
      <c r="K1466" s="138">
        <v>637.83000000000004</v>
      </c>
      <c r="L1466" s="138">
        <v>626.83000000000004</v>
      </c>
      <c r="M1466" s="32"/>
      <c r="N1466" s="83">
        <v>632.33000000000004</v>
      </c>
      <c r="P1466" t="str">
        <f>VLOOKUP(B1466,PTN!A:B,2,FALSE)</f>
        <v>UNIVERSITAS GADJAH MADA</v>
      </c>
      <c r="Q1466" t="str">
        <f t="shared" si="22"/>
        <v>UNIVERSITAS GADJAH MADAMIKROBIOLOGI PERTANIAN</v>
      </c>
    </row>
    <row r="1467" spans="1:17" ht="15.75" thickBot="1" x14ac:dyDescent="0.3">
      <c r="A1467" s="7">
        <v>1466</v>
      </c>
      <c r="B1467" s="6">
        <v>43</v>
      </c>
      <c r="C1467" s="17">
        <v>3611051</v>
      </c>
      <c r="D1467" t="s">
        <v>490</v>
      </c>
      <c r="E1467" s="17">
        <v>16</v>
      </c>
      <c r="F1467" s="10" t="s">
        <v>20</v>
      </c>
      <c r="I1467" s="39"/>
      <c r="J1467" s="138">
        <v>654.73</v>
      </c>
      <c r="K1467" s="138">
        <v>663.47500000000002</v>
      </c>
      <c r="L1467" s="138">
        <v>645.98500000000001</v>
      </c>
      <c r="M1467" s="33"/>
      <c r="N1467" s="83">
        <v>654.73</v>
      </c>
      <c r="P1467" t="str">
        <f>VLOOKUP(B1467,PTN!A:B,2,FALSE)</f>
        <v>UNIVERSITAS GADJAH MADA</v>
      </c>
      <c r="Q1467" t="str">
        <f t="shared" si="22"/>
        <v>UNIVERSITAS GADJAH MADAPEMBANGUNAN WILAYAH</v>
      </c>
    </row>
    <row r="1468" spans="1:17" ht="15.75" thickBot="1" x14ac:dyDescent="0.3">
      <c r="A1468" s="7">
        <v>1467</v>
      </c>
      <c r="B1468" s="6">
        <v>43</v>
      </c>
      <c r="C1468" s="18">
        <v>3611275</v>
      </c>
      <c r="D1468" t="s">
        <v>466</v>
      </c>
      <c r="E1468" s="18">
        <v>10</v>
      </c>
      <c r="F1468" s="10" t="s">
        <v>20</v>
      </c>
      <c r="I1468" s="38"/>
      <c r="J1468" s="138">
        <v>619.57000000000005</v>
      </c>
      <c r="K1468" s="138">
        <v>626.61</v>
      </c>
      <c r="L1468" s="138">
        <v>612.53000000000009</v>
      </c>
      <c r="M1468" s="32"/>
      <c r="N1468" s="83">
        <v>619.57000000000005</v>
      </c>
      <c r="P1468" t="str">
        <f>VLOOKUP(B1468,PTN!A:B,2,FALSE)</f>
        <v>UNIVERSITAS GADJAH MADA</v>
      </c>
      <c r="Q1468" t="str">
        <f t="shared" si="22"/>
        <v>UNIVERSITAS GADJAH MADAPENYULUHAN DAN KOMUNIKASI PERTANIAN</v>
      </c>
    </row>
    <row r="1469" spans="1:17" ht="15.75" thickBot="1" x14ac:dyDescent="0.3">
      <c r="A1469" s="7">
        <v>1468</v>
      </c>
      <c r="B1469" s="6">
        <v>43</v>
      </c>
      <c r="C1469" s="17">
        <v>3611341</v>
      </c>
      <c r="D1469" t="s">
        <v>87</v>
      </c>
      <c r="E1469" s="17">
        <v>20</v>
      </c>
      <c r="F1469" s="10" t="s">
        <v>20</v>
      </c>
      <c r="I1469" s="39"/>
      <c r="J1469" s="138">
        <v>665.49</v>
      </c>
      <c r="K1469" s="138">
        <v>674.21</v>
      </c>
      <c r="L1469" s="138">
        <v>656.77</v>
      </c>
      <c r="M1469" s="33"/>
      <c r="N1469" s="83">
        <v>665.49</v>
      </c>
      <c r="P1469" t="str">
        <f>VLOOKUP(B1469,PTN!A:B,2,FALSE)</f>
        <v>UNIVERSITAS GADJAH MADA</v>
      </c>
      <c r="Q1469" t="str">
        <f t="shared" si="22"/>
        <v>UNIVERSITAS GADJAH MADAPERENCANAAN WILAYAH DAN KOTA</v>
      </c>
    </row>
    <row r="1470" spans="1:17" ht="15.75" thickBot="1" x14ac:dyDescent="0.3">
      <c r="A1470" s="7">
        <v>1469</v>
      </c>
      <c r="B1470" s="6">
        <v>43</v>
      </c>
      <c r="C1470" s="18">
        <v>3611267</v>
      </c>
      <c r="D1470" t="s">
        <v>491</v>
      </c>
      <c r="E1470" s="18">
        <v>16</v>
      </c>
      <c r="F1470" s="10" t="s">
        <v>20</v>
      </c>
      <c r="I1470" s="38"/>
      <c r="J1470" s="138">
        <v>622.36</v>
      </c>
      <c r="K1470" s="138">
        <v>629.95000000000005</v>
      </c>
      <c r="L1470" s="138">
        <v>614.77</v>
      </c>
      <c r="M1470" s="32"/>
      <c r="N1470" s="83">
        <v>622.36</v>
      </c>
      <c r="P1470" t="str">
        <f>VLOOKUP(B1470,PTN!A:B,2,FALSE)</f>
        <v>UNIVERSITAS GADJAH MADA</v>
      </c>
      <c r="Q1470" t="str">
        <f t="shared" si="22"/>
        <v>UNIVERSITAS GADJAH MADAPROTEKSI TANAMAN (ILMU HAMA DAN PENYAKIT TUMBUHAN)</v>
      </c>
    </row>
    <row r="1471" spans="1:17" ht="15.75" thickBot="1" x14ac:dyDescent="0.3">
      <c r="A1471" s="7">
        <v>1470</v>
      </c>
      <c r="B1471" s="6">
        <v>43</v>
      </c>
      <c r="C1471" s="17">
        <v>3611194</v>
      </c>
      <c r="D1471" t="s">
        <v>90</v>
      </c>
      <c r="E1471" s="17">
        <v>15</v>
      </c>
      <c r="F1471" s="10" t="s">
        <v>20</v>
      </c>
      <c r="I1471" s="39"/>
      <c r="J1471" s="138">
        <v>688.41</v>
      </c>
      <c r="K1471" s="138">
        <v>696.78</v>
      </c>
      <c r="L1471" s="138">
        <v>680.04</v>
      </c>
      <c r="M1471" s="33"/>
      <c r="N1471" s="83">
        <v>688.41</v>
      </c>
      <c r="P1471" t="str">
        <f>VLOOKUP(B1471,PTN!A:B,2,FALSE)</f>
        <v>UNIVERSITAS GADJAH MADA</v>
      </c>
      <c r="Q1471" t="str">
        <f t="shared" si="22"/>
        <v>UNIVERSITAS GADJAH MADASTATISTIKA</v>
      </c>
    </row>
    <row r="1472" spans="1:17" ht="15.75" thickBot="1" x14ac:dyDescent="0.3">
      <c r="A1472" s="7">
        <v>1471</v>
      </c>
      <c r="B1472" s="6">
        <v>43</v>
      </c>
      <c r="C1472" s="18">
        <v>3611387</v>
      </c>
      <c r="D1472" t="s">
        <v>48</v>
      </c>
      <c r="E1472" s="18">
        <v>25</v>
      </c>
      <c r="F1472" s="10" t="s">
        <v>20</v>
      </c>
      <c r="I1472" s="38"/>
      <c r="J1472" s="138">
        <v>673.98</v>
      </c>
      <c r="K1472" s="138">
        <v>685.20500000000004</v>
      </c>
      <c r="L1472" s="138">
        <v>662.755</v>
      </c>
      <c r="M1472" s="32"/>
      <c r="N1472" s="83">
        <v>673.98</v>
      </c>
      <c r="P1472" t="str">
        <f>VLOOKUP(B1472,PTN!A:B,2,FALSE)</f>
        <v>UNIVERSITAS GADJAH MADA</v>
      </c>
      <c r="Q1472" t="str">
        <f t="shared" si="22"/>
        <v>UNIVERSITAS GADJAH MADATEKNIK ELEKTRO</v>
      </c>
    </row>
    <row r="1473" spans="1:17" ht="15.75" thickBot="1" x14ac:dyDescent="0.3">
      <c r="A1473" s="7">
        <v>1472</v>
      </c>
      <c r="B1473" s="6">
        <v>43</v>
      </c>
      <c r="C1473" s="17">
        <v>3611422</v>
      </c>
      <c r="D1473" t="s">
        <v>267</v>
      </c>
      <c r="E1473" s="17">
        <v>30</v>
      </c>
      <c r="F1473" s="10" t="s">
        <v>20</v>
      </c>
      <c r="I1473" s="39"/>
      <c r="J1473" s="138">
        <v>667.32</v>
      </c>
      <c r="K1473" s="138">
        <v>676.46</v>
      </c>
      <c r="L1473" s="138">
        <v>658.18000000000006</v>
      </c>
      <c r="M1473" s="33"/>
      <c r="N1473" s="83">
        <v>667.32</v>
      </c>
      <c r="P1473" t="str">
        <f>VLOOKUP(B1473,PTN!A:B,2,FALSE)</f>
        <v>UNIVERSITAS GADJAH MADA</v>
      </c>
      <c r="Q1473" t="str">
        <f t="shared" si="22"/>
        <v>UNIVERSITAS GADJAH MADATEKNIK FISIKA</v>
      </c>
    </row>
    <row r="1474" spans="1:17" ht="15.75" thickBot="1" x14ac:dyDescent="0.3">
      <c r="A1474" s="7">
        <v>1473</v>
      </c>
      <c r="B1474" s="6">
        <v>43</v>
      </c>
      <c r="C1474" s="18">
        <v>3611356</v>
      </c>
      <c r="D1474" t="s">
        <v>277</v>
      </c>
      <c r="E1474" s="18">
        <v>34</v>
      </c>
      <c r="F1474" s="10" t="s">
        <v>20</v>
      </c>
      <c r="I1474" s="38"/>
      <c r="J1474" s="138">
        <v>663.06</v>
      </c>
      <c r="K1474" s="138">
        <v>673.36999999999989</v>
      </c>
      <c r="L1474" s="138">
        <v>652.75</v>
      </c>
      <c r="M1474" s="32"/>
      <c r="N1474" s="83">
        <v>663.06</v>
      </c>
      <c r="P1474" t="str">
        <f>VLOOKUP(B1474,PTN!A:B,2,FALSE)</f>
        <v>UNIVERSITAS GADJAH MADA</v>
      </c>
      <c r="Q1474" t="str">
        <f t="shared" si="22"/>
        <v>UNIVERSITAS GADJAH MADATEKNIK GEODESI</v>
      </c>
    </row>
    <row r="1475" spans="1:17" ht="15.75" thickBot="1" x14ac:dyDescent="0.3">
      <c r="A1475" s="7">
        <v>1474</v>
      </c>
      <c r="B1475" s="6">
        <v>43</v>
      </c>
      <c r="C1475" s="17">
        <v>3611364</v>
      </c>
      <c r="D1475" t="s">
        <v>92</v>
      </c>
      <c r="E1475" s="17">
        <v>30</v>
      </c>
      <c r="F1475" s="10" t="s">
        <v>20</v>
      </c>
      <c r="I1475" s="39"/>
      <c r="J1475" s="138">
        <v>657.45</v>
      </c>
      <c r="K1475" s="138">
        <v>667.745</v>
      </c>
      <c r="L1475" s="138">
        <v>647.15500000000009</v>
      </c>
      <c r="M1475" s="33"/>
      <c r="N1475" s="83">
        <v>657.45</v>
      </c>
      <c r="P1475" t="str">
        <f>VLOOKUP(B1475,PTN!A:B,2,FALSE)</f>
        <v>UNIVERSITAS GADJAH MADA</v>
      </c>
      <c r="Q1475" t="str">
        <f t="shared" ref="Q1475:Q1538" si="23">P1475&amp;D1475</f>
        <v>UNIVERSITAS GADJAH MADATEKNIK GEOLOGI</v>
      </c>
    </row>
    <row r="1476" spans="1:17" ht="15.75" thickBot="1" x14ac:dyDescent="0.3">
      <c r="A1476" s="7">
        <v>1475</v>
      </c>
      <c r="B1476" s="6">
        <v>43</v>
      </c>
      <c r="C1476" s="18">
        <v>3611437</v>
      </c>
      <c r="D1476" t="s">
        <v>49</v>
      </c>
      <c r="E1476" s="18">
        <v>28</v>
      </c>
      <c r="F1476" s="10" t="s">
        <v>20</v>
      </c>
      <c r="I1476" s="38"/>
      <c r="J1476" s="138">
        <v>683.99</v>
      </c>
      <c r="K1476" s="138">
        <v>696.03499999999997</v>
      </c>
      <c r="L1476" s="138">
        <v>671.94500000000005</v>
      </c>
      <c r="M1476" s="32"/>
      <c r="N1476" s="83">
        <v>683.99</v>
      </c>
      <c r="P1476" t="str">
        <f>VLOOKUP(B1476,PTN!A:B,2,FALSE)</f>
        <v>UNIVERSITAS GADJAH MADA</v>
      </c>
      <c r="Q1476" t="str">
        <f t="shared" si="23"/>
        <v>UNIVERSITAS GADJAH MADATEKNIK INDUSTRI</v>
      </c>
    </row>
    <row r="1477" spans="1:17" ht="15.75" thickBot="1" x14ac:dyDescent="0.3">
      <c r="A1477" s="7">
        <v>1476</v>
      </c>
      <c r="B1477" s="6">
        <v>43</v>
      </c>
      <c r="C1477" s="17">
        <v>3611372</v>
      </c>
      <c r="D1477" t="s">
        <v>51</v>
      </c>
      <c r="E1477" s="17">
        <v>38</v>
      </c>
      <c r="F1477" s="10" t="s">
        <v>20</v>
      </c>
      <c r="I1477" s="39"/>
      <c r="J1477" s="138">
        <v>690.04</v>
      </c>
      <c r="K1477" s="138">
        <v>701.31499999999994</v>
      </c>
      <c r="L1477" s="138">
        <v>678.76499999999999</v>
      </c>
      <c r="M1477" s="33"/>
      <c r="N1477" s="83">
        <v>690.04</v>
      </c>
      <c r="P1477" t="str">
        <f>VLOOKUP(B1477,PTN!A:B,2,FALSE)</f>
        <v>UNIVERSITAS GADJAH MADA</v>
      </c>
      <c r="Q1477" t="str">
        <f t="shared" si="23"/>
        <v>UNIVERSITAS GADJAH MADATEKNIK KIMIA</v>
      </c>
    </row>
    <row r="1478" spans="1:17" ht="15.75" thickBot="1" x14ac:dyDescent="0.3">
      <c r="A1478" s="7">
        <v>1477</v>
      </c>
      <c r="B1478" s="6">
        <v>43</v>
      </c>
      <c r="C1478" s="18">
        <v>3611395</v>
      </c>
      <c r="D1478" t="s">
        <v>53</v>
      </c>
      <c r="E1478" s="18">
        <v>35</v>
      </c>
      <c r="F1478" s="10" t="s">
        <v>20</v>
      </c>
      <c r="I1478" s="38"/>
      <c r="J1478" s="138">
        <v>681.71</v>
      </c>
      <c r="K1478" s="138">
        <v>691.625</v>
      </c>
      <c r="L1478" s="138">
        <v>671.79500000000007</v>
      </c>
      <c r="M1478" s="32"/>
      <c r="N1478" s="83">
        <v>681.71</v>
      </c>
      <c r="P1478" t="str">
        <f>VLOOKUP(B1478,PTN!A:B,2,FALSE)</f>
        <v>UNIVERSITAS GADJAH MADA</v>
      </c>
      <c r="Q1478" t="str">
        <f t="shared" si="23"/>
        <v>UNIVERSITAS GADJAH MADATEKNIK MESIN</v>
      </c>
    </row>
    <row r="1479" spans="1:17" ht="15.75" thickBot="1" x14ac:dyDescent="0.3">
      <c r="A1479" s="7">
        <v>1478</v>
      </c>
      <c r="B1479" s="6">
        <v>43</v>
      </c>
      <c r="C1479" s="17">
        <v>3611414</v>
      </c>
      <c r="D1479" t="s">
        <v>492</v>
      </c>
      <c r="E1479" s="17">
        <v>16</v>
      </c>
      <c r="F1479" s="10" t="s">
        <v>20</v>
      </c>
      <c r="I1479" s="39"/>
      <c r="J1479" s="138">
        <v>661.84</v>
      </c>
      <c r="K1479" s="138">
        <v>673.60500000000002</v>
      </c>
      <c r="L1479" s="138">
        <v>650.07500000000005</v>
      </c>
      <c r="M1479" s="33"/>
      <c r="N1479" s="83">
        <v>661.84</v>
      </c>
      <c r="P1479" t="str">
        <f>VLOOKUP(B1479,PTN!A:B,2,FALSE)</f>
        <v>UNIVERSITAS GADJAH MADA</v>
      </c>
      <c r="Q1479" t="str">
        <f t="shared" si="23"/>
        <v>UNIVERSITAS GADJAH MADATEKNIK NUKLIR</v>
      </c>
    </row>
    <row r="1480" spans="1:17" ht="15.75" thickBot="1" x14ac:dyDescent="0.3">
      <c r="A1480" s="7">
        <v>1479</v>
      </c>
      <c r="B1480" s="6">
        <v>43</v>
      </c>
      <c r="C1480" s="18">
        <v>3611445</v>
      </c>
      <c r="D1480" t="s">
        <v>95</v>
      </c>
      <c r="E1480" s="18">
        <v>25</v>
      </c>
      <c r="F1480" s="10" t="s">
        <v>20</v>
      </c>
      <c r="I1480" s="38"/>
      <c r="J1480" s="138">
        <v>638.95000000000005</v>
      </c>
      <c r="K1480" s="138">
        <v>646.27500000000009</v>
      </c>
      <c r="L1480" s="138">
        <v>631.625</v>
      </c>
      <c r="M1480" s="32"/>
      <c r="N1480" s="83">
        <v>638.95000000000005</v>
      </c>
      <c r="P1480" t="str">
        <f>VLOOKUP(B1480,PTN!A:B,2,FALSE)</f>
        <v>UNIVERSITAS GADJAH MADA</v>
      </c>
      <c r="Q1480" t="str">
        <f t="shared" si="23"/>
        <v>UNIVERSITAS GADJAH MADATEKNIK PERTANIAN</v>
      </c>
    </row>
    <row r="1481" spans="1:17" ht="15.75" thickBot="1" x14ac:dyDescent="0.3">
      <c r="A1481" s="7">
        <v>1480</v>
      </c>
      <c r="B1481" s="6">
        <v>43</v>
      </c>
      <c r="C1481" s="17">
        <v>3611406</v>
      </c>
      <c r="D1481" t="s">
        <v>54</v>
      </c>
      <c r="E1481" s="17">
        <v>38</v>
      </c>
      <c r="F1481" s="10" t="s">
        <v>20</v>
      </c>
      <c r="I1481" s="39"/>
      <c r="J1481" s="138">
        <v>682.64</v>
      </c>
      <c r="K1481" s="138">
        <v>693.73</v>
      </c>
      <c r="L1481" s="138">
        <v>671.55</v>
      </c>
      <c r="M1481" s="33"/>
      <c r="N1481" s="83">
        <v>682.64</v>
      </c>
      <c r="P1481" t="str">
        <f>VLOOKUP(B1481,PTN!A:B,2,FALSE)</f>
        <v>UNIVERSITAS GADJAH MADA</v>
      </c>
      <c r="Q1481" t="str">
        <f t="shared" si="23"/>
        <v>UNIVERSITAS GADJAH MADATEKNIK SIPIL</v>
      </c>
    </row>
    <row r="1482" spans="1:17" ht="15.75" thickBot="1" x14ac:dyDescent="0.3">
      <c r="A1482" s="7">
        <v>1481</v>
      </c>
      <c r="B1482" s="6">
        <v>43</v>
      </c>
      <c r="C1482" s="18">
        <v>3611291</v>
      </c>
      <c r="D1482" t="s">
        <v>222</v>
      </c>
      <c r="E1482" s="18">
        <v>15</v>
      </c>
      <c r="F1482" s="10" t="s">
        <v>20</v>
      </c>
      <c r="I1482" s="38"/>
      <c r="J1482" s="138">
        <v>623.49</v>
      </c>
      <c r="K1482" s="138">
        <v>631.59</v>
      </c>
      <c r="L1482" s="138">
        <v>615.39</v>
      </c>
      <c r="M1482" s="32"/>
      <c r="N1482" s="83">
        <v>623.49</v>
      </c>
      <c r="P1482" t="str">
        <f>VLOOKUP(B1482,PTN!A:B,2,FALSE)</f>
        <v>UNIVERSITAS GADJAH MADA</v>
      </c>
      <c r="Q1482" t="str">
        <f t="shared" si="23"/>
        <v>UNIVERSITAS GADJAH MADATEKNOLOGI HASIL PERIKANAN</v>
      </c>
    </row>
    <row r="1483" spans="1:17" ht="15.75" thickBot="1" x14ac:dyDescent="0.3">
      <c r="A1483" s="7">
        <v>1482</v>
      </c>
      <c r="B1483" s="6">
        <v>43</v>
      </c>
      <c r="C1483" s="17">
        <v>3611461</v>
      </c>
      <c r="D1483" t="s">
        <v>166</v>
      </c>
      <c r="E1483" s="17">
        <v>28</v>
      </c>
      <c r="F1483" s="10" t="s">
        <v>20</v>
      </c>
      <c r="I1483" s="39"/>
      <c r="J1483" s="138">
        <v>653.79999999999995</v>
      </c>
      <c r="K1483" s="138">
        <v>663.27</v>
      </c>
      <c r="L1483" s="138">
        <v>644.32999999999993</v>
      </c>
      <c r="M1483" s="33"/>
      <c r="N1483" s="83">
        <v>653.79999999999995</v>
      </c>
      <c r="P1483" t="str">
        <f>VLOOKUP(B1483,PTN!A:B,2,FALSE)</f>
        <v>UNIVERSITAS GADJAH MADA</v>
      </c>
      <c r="Q1483" t="str">
        <f t="shared" si="23"/>
        <v>UNIVERSITAS GADJAH MADATEKNOLOGI INDUSTRI PERTANIAN</v>
      </c>
    </row>
    <row r="1484" spans="1:17" ht="15.75" thickBot="1" x14ac:dyDescent="0.3">
      <c r="A1484" s="7">
        <v>1483</v>
      </c>
      <c r="B1484" s="6">
        <v>43</v>
      </c>
      <c r="C1484" s="18">
        <v>3611492</v>
      </c>
      <c r="D1484" t="s">
        <v>26</v>
      </c>
      <c r="E1484" s="18">
        <v>25</v>
      </c>
      <c r="F1484" s="10" t="s">
        <v>20</v>
      </c>
      <c r="I1484" s="38"/>
      <c r="J1484" s="138">
        <v>685.93</v>
      </c>
      <c r="K1484" s="138">
        <v>695.43999999999994</v>
      </c>
      <c r="L1484" s="138">
        <v>676.42</v>
      </c>
      <c r="M1484" s="32"/>
      <c r="N1484" s="83">
        <v>685.93</v>
      </c>
      <c r="P1484" t="str">
        <f>VLOOKUP(B1484,PTN!A:B,2,FALSE)</f>
        <v>UNIVERSITAS GADJAH MADA</v>
      </c>
      <c r="Q1484" t="str">
        <f t="shared" si="23"/>
        <v>UNIVERSITAS GADJAH MADATEKNOLOGI INFORMASI</v>
      </c>
    </row>
    <row r="1485" spans="1:17" ht="15.75" thickBot="1" x14ac:dyDescent="0.3">
      <c r="A1485" s="7">
        <v>1484</v>
      </c>
      <c r="B1485" s="6">
        <v>43</v>
      </c>
      <c r="C1485" s="19">
        <v>3611453</v>
      </c>
      <c r="D1485" t="s">
        <v>493</v>
      </c>
      <c r="E1485" s="19">
        <v>28</v>
      </c>
      <c r="F1485" s="10" t="s">
        <v>20</v>
      </c>
      <c r="I1485" s="39"/>
      <c r="J1485" s="138">
        <v>671.93</v>
      </c>
      <c r="K1485" s="138">
        <v>681.38</v>
      </c>
      <c r="L1485" s="138">
        <v>662.4799999999999</v>
      </c>
      <c r="M1485" s="33"/>
      <c r="N1485" s="83">
        <v>671.93</v>
      </c>
      <c r="P1485" t="str">
        <f>VLOOKUP(B1485,PTN!A:B,2,FALSE)</f>
        <v>UNIVERSITAS GADJAH MADA</v>
      </c>
      <c r="Q1485" t="str">
        <f t="shared" si="23"/>
        <v>UNIVERSITAS GADJAH MADATEKNOLOGI PANGAN DAN HASIL PERTANIAN</v>
      </c>
    </row>
    <row r="1486" spans="1:17" ht="16.5" thickTop="1" thickBot="1" x14ac:dyDescent="0.3">
      <c r="A1486" s="7">
        <v>1485</v>
      </c>
      <c r="B1486" s="6">
        <v>43</v>
      </c>
      <c r="C1486" s="12">
        <v>3612031</v>
      </c>
      <c r="D1486" t="s">
        <v>55</v>
      </c>
      <c r="E1486" s="12">
        <v>38</v>
      </c>
      <c r="F1486" s="10" t="s">
        <v>13</v>
      </c>
      <c r="I1486" s="20"/>
      <c r="J1486" s="138">
        <v>682.87</v>
      </c>
      <c r="K1486" s="138">
        <v>691.00773000000004</v>
      </c>
      <c r="L1486" s="138">
        <v>674.73226999999997</v>
      </c>
      <c r="M1486" s="21"/>
      <c r="N1486" s="83">
        <v>682.87</v>
      </c>
      <c r="P1486" t="str">
        <f>VLOOKUP(B1486,PTN!A:B,2,FALSE)</f>
        <v>UNIVERSITAS GADJAH MADA</v>
      </c>
      <c r="Q1486" t="str">
        <f t="shared" si="23"/>
        <v>UNIVERSITAS GADJAH MADAAKUNTANSI</v>
      </c>
    </row>
    <row r="1487" spans="1:17" ht="15.75" thickBot="1" x14ac:dyDescent="0.3">
      <c r="A1487" s="7">
        <v>1486</v>
      </c>
      <c r="B1487" s="6">
        <v>43</v>
      </c>
      <c r="C1487" s="13">
        <v>3612062</v>
      </c>
      <c r="D1487" t="s">
        <v>154</v>
      </c>
      <c r="E1487" s="13">
        <v>16</v>
      </c>
      <c r="F1487" s="10" t="s">
        <v>13</v>
      </c>
      <c r="I1487" s="22"/>
      <c r="J1487" s="138">
        <v>646.28</v>
      </c>
      <c r="K1487" s="138">
        <v>654.41773000000001</v>
      </c>
      <c r="L1487" s="138">
        <v>638.14226999999994</v>
      </c>
      <c r="M1487" s="21"/>
      <c r="N1487" s="83">
        <v>646.28</v>
      </c>
      <c r="P1487" t="str">
        <f>VLOOKUP(B1487,PTN!A:B,2,FALSE)</f>
        <v>UNIVERSITAS GADJAH MADA</v>
      </c>
      <c r="Q1487" t="str">
        <f t="shared" si="23"/>
        <v>UNIVERSITAS GADJAH MADAANTROPOLOGI BUDAYA</v>
      </c>
    </row>
    <row r="1488" spans="1:17" ht="16.5" thickTop="1" thickBot="1" x14ac:dyDescent="0.3">
      <c r="A1488" s="7">
        <v>1487</v>
      </c>
      <c r="B1488" s="6">
        <v>43</v>
      </c>
      <c r="C1488" s="12">
        <v>3612077</v>
      </c>
      <c r="D1488" t="s">
        <v>240</v>
      </c>
      <c r="E1488" s="12">
        <v>11</v>
      </c>
      <c r="F1488" s="10" t="s">
        <v>13</v>
      </c>
      <c r="I1488" s="23"/>
      <c r="J1488" s="138">
        <v>632.64</v>
      </c>
      <c r="K1488" s="138">
        <v>640.77773000000002</v>
      </c>
      <c r="L1488" s="138">
        <v>624.50226999999995</v>
      </c>
      <c r="M1488" s="25"/>
      <c r="N1488" s="83">
        <v>632.64</v>
      </c>
      <c r="P1488" t="str">
        <f>VLOOKUP(B1488,PTN!A:B,2,FALSE)</f>
        <v>UNIVERSITAS GADJAH MADA</v>
      </c>
      <c r="Q1488" t="str">
        <f t="shared" si="23"/>
        <v>UNIVERSITAS GADJAH MADAARKEOLOGI</v>
      </c>
    </row>
    <row r="1489" spans="1:17" ht="16.5" thickTop="1" thickBot="1" x14ac:dyDescent="0.3">
      <c r="A1489" s="7">
        <v>1488</v>
      </c>
      <c r="B1489" s="6">
        <v>43</v>
      </c>
      <c r="C1489" s="13">
        <v>3612151</v>
      </c>
      <c r="D1489" t="s">
        <v>298</v>
      </c>
      <c r="E1489" s="13">
        <v>11</v>
      </c>
      <c r="F1489" s="10" t="s">
        <v>13</v>
      </c>
      <c r="I1489" s="26"/>
      <c r="J1489" s="138">
        <v>651.66999999999996</v>
      </c>
      <c r="K1489" s="138">
        <v>659.80772999999999</v>
      </c>
      <c r="L1489" s="138">
        <v>643.53226999999993</v>
      </c>
      <c r="M1489" s="27"/>
      <c r="N1489" s="83">
        <v>651.66999999999996</v>
      </c>
      <c r="P1489" t="str">
        <f>VLOOKUP(B1489,PTN!A:B,2,FALSE)</f>
        <v>UNIVERSITAS GADJAH MADA</v>
      </c>
      <c r="Q1489" t="str">
        <f t="shared" si="23"/>
        <v>UNIVERSITAS GADJAH MADABAHASA DAN KEBUDAYAAN KOREA</v>
      </c>
    </row>
    <row r="1490" spans="1:17" ht="15.75" thickBot="1" x14ac:dyDescent="0.3">
      <c r="A1490" s="7">
        <v>1489</v>
      </c>
      <c r="B1490" s="6">
        <v>43</v>
      </c>
      <c r="C1490" s="12">
        <v>3612104</v>
      </c>
      <c r="D1490" t="s">
        <v>399</v>
      </c>
      <c r="E1490" s="12">
        <v>13</v>
      </c>
      <c r="F1490" s="10" t="s">
        <v>13</v>
      </c>
      <c r="I1490" s="87"/>
      <c r="J1490" s="138">
        <v>637.25</v>
      </c>
      <c r="K1490" s="138">
        <v>645.38773000000003</v>
      </c>
      <c r="L1490" s="138">
        <v>629.11226999999997</v>
      </c>
      <c r="M1490" s="28"/>
      <c r="N1490" s="83">
        <v>637.25</v>
      </c>
      <c r="P1490" t="str">
        <f>VLOOKUP(B1490,PTN!A:B,2,FALSE)</f>
        <v>UNIVERSITAS GADJAH MADA</v>
      </c>
      <c r="Q1490" t="str">
        <f t="shared" si="23"/>
        <v>UNIVERSITAS GADJAH MADABAHASA DAN SASTRA INDONESIA</v>
      </c>
    </row>
    <row r="1491" spans="1:17" ht="15.75" thickBot="1" x14ac:dyDescent="0.3">
      <c r="A1491" s="7">
        <v>1490</v>
      </c>
      <c r="B1491" s="6">
        <v>43</v>
      </c>
      <c r="C1491" s="13">
        <v>3612046</v>
      </c>
      <c r="D1491" t="s">
        <v>494</v>
      </c>
      <c r="E1491" s="13">
        <v>38</v>
      </c>
      <c r="F1491" s="10" t="s">
        <v>13</v>
      </c>
      <c r="I1491" s="26"/>
      <c r="J1491" s="138">
        <v>626.41999999999996</v>
      </c>
      <c r="K1491" s="138">
        <v>634.55772999999999</v>
      </c>
      <c r="L1491" s="138">
        <v>618.28226999999993</v>
      </c>
      <c r="M1491" s="27"/>
      <c r="N1491" s="83">
        <v>626.41999999999996</v>
      </c>
      <c r="P1491" t="str">
        <f>VLOOKUP(B1491,PTN!A:B,2,FALSE)</f>
        <v>UNIVERSITAS GADJAH MADA</v>
      </c>
      <c r="Q1491" t="str">
        <f t="shared" si="23"/>
        <v>UNIVERSITAS GADJAH MADAFILSAFAT</v>
      </c>
    </row>
    <row r="1492" spans="1:17" ht="15.75" thickBot="1" x14ac:dyDescent="0.3">
      <c r="A1492" s="7">
        <v>1491</v>
      </c>
      <c r="B1492" s="6">
        <v>43</v>
      </c>
      <c r="C1492" s="12">
        <v>3612054</v>
      </c>
      <c r="D1492" t="s">
        <v>112</v>
      </c>
      <c r="E1492" s="12">
        <v>83</v>
      </c>
      <c r="F1492" s="10" t="s">
        <v>13</v>
      </c>
      <c r="I1492" s="87"/>
      <c r="J1492" s="138">
        <v>662.82</v>
      </c>
      <c r="K1492" s="138">
        <v>670.95773000000008</v>
      </c>
      <c r="L1492" s="138">
        <v>654.68227000000002</v>
      </c>
      <c r="M1492" s="28"/>
      <c r="N1492" s="83">
        <v>662.82</v>
      </c>
      <c r="P1492" t="str">
        <f>VLOOKUP(B1492,PTN!A:B,2,FALSE)</f>
        <v>UNIVERSITAS GADJAH MADA</v>
      </c>
      <c r="Q1492" t="str">
        <f t="shared" si="23"/>
        <v>UNIVERSITAS GADJAH MADAHUKUM</v>
      </c>
    </row>
    <row r="1493" spans="1:17" ht="15.75" thickBot="1" x14ac:dyDescent="0.3">
      <c r="A1493" s="7">
        <v>1492</v>
      </c>
      <c r="B1493" s="6">
        <v>43</v>
      </c>
      <c r="C1493" s="13">
        <v>3612015</v>
      </c>
      <c r="D1493" t="s">
        <v>30</v>
      </c>
      <c r="E1493" s="13">
        <v>23</v>
      </c>
      <c r="F1493" s="10" t="s">
        <v>13</v>
      </c>
      <c r="I1493" s="26"/>
      <c r="J1493" s="138">
        <v>685.43</v>
      </c>
      <c r="K1493" s="138">
        <v>693.56772999999998</v>
      </c>
      <c r="L1493" s="138">
        <v>677.29226999999992</v>
      </c>
      <c r="M1493" s="27"/>
      <c r="N1493" s="83">
        <v>685.43</v>
      </c>
      <c r="P1493" t="str">
        <f>VLOOKUP(B1493,PTN!A:B,2,FALSE)</f>
        <v>UNIVERSITAS GADJAH MADA</v>
      </c>
      <c r="Q1493" t="str">
        <f t="shared" si="23"/>
        <v>UNIVERSITAS GADJAH MADAILMU EKONOMI</v>
      </c>
    </row>
    <row r="1494" spans="1:17" ht="15.75" thickBot="1" x14ac:dyDescent="0.3">
      <c r="A1494" s="7">
        <v>1493</v>
      </c>
      <c r="B1494" s="6">
        <v>43</v>
      </c>
      <c r="C1494" s="12">
        <v>3612174</v>
      </c>
      <c r="D1494" t="s">
        <v>168</v>
      </c>
      <c r="E1494" s="12">
        <v>20</v>
      </c>
      <c r="F1494" s="10" t="s">
        <v>13</v>
      </c>
      <c r="I1494" s="87"/>
      <c r="J1494" s="138">
        <v>693.93</v>
      </c>
      <c r="K1494" s="138">
        <v>702.06772999999998</v>
      </c>
      <c r="L1494" s="138">
        <v>685.79226999999992</v>
      </c>
      <c r="M1494" s="28"/>
      <c r="N1494" s="83">
        <v>693.93</v>
      </c>
      <c r="P1494" t="str">
        <f>VLOOKUP(B1494,PTN!A:B,2,FALSE)</f>
        <v>UNIVERSITAS GADJAH MADA</v>
      </c>
      <c r="Q1494" t="str">
        <f t="shared" si="23"/>
        <v>UNIVERSITAS GADJAH MADAILMU HUBUNGAN INTERNASIONAL</v>
      </c>
    </row>
    <row r="1495" spans="1:17" ht="15.75" thickBot="1" x14ac:dyDescent="0.3">
      <c r="A1495" s="7">
        <v>1494</v>
      </c>
      <c r="B1495" s="6">
        <v>43</v>
      </c>
      <c r="C1495" s="13">
        <v>3612201</v>
      </c>
      <c r="D1495" t="s">
        <v>60</v>
      </c>
      <c r="E1495" s="13">
        <v>19</v>
      </c>
      <c r="F1495" s="10" t="s">
        <v>13</v>
      </c>
      <c r="I1495" s="26"/>
      <c r="J1495" s="138">
        <v>677.68</v>
      </c>
      <c r="K1495" s="138">
        <v>685.81772999999998</v>
      </c>
      <c r="L1495" s="138">
        <v>669.54226999999992</v>
      </c>
      <c r="M1495" s="27"/>
      <c r="N1495" s="83">
        <v>677.68</v>
      </c>
      <c r="P1495" t="str">
        <f>VLOOKUP(B1495,PTN!A:B,2,FALSE)</f>
        <v>UNIVERSITAS GADJAH MADA</v>
      </c>
      <c r="Q1495" t="str">
        <f t="shared" si="23"/>
        <v>UNIVERSITAS GADJAH MADAILMU KOMUNIKASI</v>
      </c>
    </row>
    <row r="1496" spans="1:17" ht="15.75" thickBot="1" x14ac:dyDescent="0.3">
      <c r="A1496" s="7">
        <v>1495</v>
      </c>
      <c r="B1496" s="6">
        <v>43</v>
      </c>
      <c r="C1496" s="12">
        <v>3612023</v>
      </c>
      <c r="D1496" t="s">
        <v>61</v>
      </c>
      <c r="E1496" s="12">
        <v>33</v>
      </c>
      <c r="F1496" s="10" t="s">
        <v>13</v>
      </c>
      <c r="I1496" s="87"/>
      <c r="J1496" s="138">
        <v>673.06</v>
      </c>
      <c r="K1496" s="138">
        <v>681.19772999999998</v>
      </c>
      <c r="L1496" s="138">
        <v>664.92226999999991</v>
      </c>
      <c r="M1496" s="28"/>
      <c r="N1496" s="83">
        <v>673.06</v>
      </c>
      <c r="P1496" t="str">
        <f>VLOOKUP(B1496,PTN!A:B,2,FALSE)</f>
        <v>UNIVERSITAS GADJAH MADA</v>
      </c>
      <c r="Q1496" t="str">
        <f t="shared" si="23"/>
        <v>UNIVERSITAS GADJAH MADAMANAJEMEN</v>
      </c>
    </row>
    <row r="1497" spans="1:17" ht="15.75" thickBot="1" x14ac:dyDescent="0.3">
      <c r="A1497" s="7">
        <v>1496</v>
      </c>
      <c r="B1497" s="6">
        <v>43</v>
      </c>
      <c r="C1497" s="13">
        <v>3612166</v>
      </c>
      <c r="D1497" t="s">
        <v>495</v>
      </c>
      <c r="E1497" s="13">
        <v>19</v>
      </c>
      <c r="F1497" s="10" t="s">
        <v>13</v>
      </c>
      <c r="I1497" s="26"/>
      <c r="J1497" s="138">
        <v>668.41</v>
      </c>
      <c r="K1497" s="138">
        <v>676.54773</v>
      </c>
      <c r="L1497" s="138">
        <v>660.27226999999993</v>
      </c>
      <c r="M1497" s="27"/>
      <c r="N1497" s="83">
        <v>668.41</v>
      </c>
      <c r="P1497" t="str">
        <f>VLOOKUP(B1497,PTN!A:B,2,FALSE)</f>
        <v>UNIVERSITAS GADJAH MADA</v>
      </c>
      <c r="Q1497" t="str">
        <f t="shared" si="23"/>
        <v>UNIVERSITAS GADJAH MADAMANAJEMEN DAN KEBIJAKAN PUBLIK</v>
      </c>
    </row>
    <row r="1498" spans="1:17" ht="15.75" thickBot="1" x14ac:dyDescent="0.3">
      <c r="A1498" s="7">
        <v>1497</v>
      </c>
      <c r="B1498" s="6">
        <v>43</v>
      </c>
      <c r="C1498" s="12">
        <v>3612232</v>
      </c>
      <c r="D1498" t="s">
        <v>224</v>
      </c>
      <c r="E1498" s="12">
        <v>13</v>
      </c>
      <c r="F1498" s="10" t="s">
        <v>13</v>
      </c>
      <c r="I1498" s="87"/>
      <c r="J1498" s="138">
        <v>649.30999999999995</v>
      </c>
      <c r="K1498" s="138">
        <v>657.44772999999998</v>
      </c>
      <c r="L1498" s="138">
        <v>641.17226999999991</v>
      </c>
      <c r="M1498" s="28"/>
      <c r="N1498" s="83">
        <v>649.30999999999995</v>
      </c>
      <c r="P1498" t="str">
        <f>VLOOKUP(B1498,PTN!A:B,2,FALSE)</f>
        <v>UNIVERSITAS GADJAH MADA</v>
      </c>
      <c r="Q1498" t="str">
        <f t="shared" si="23"/>
        <v>UNIVERSITAS GADJAH MADAPARIWISATA</v>
      </c>
    </row>
    <row r="1499" spans="1:17" ht="15.75" thickBot="1" x14ac:dyDescent="0.3">
      <c r="A1499" s="7">
        <v>1498</v>
      </c>
      <c r="B1499" s="6">
        <v>43</v>
      </c>
      <c r="C1499" s="13">
        <v>3612197</v>
      </c>
      <c r="D1499" t="s">
        <v>496</v>
      </c>
      <c r="E1499" s="13">
        <v>19</v>
      </c>
      <c r="F1499" s="10" t="s">
        <v>13</v>
      </c>
      <c r="I1499" s="26"/>
      <c r="J1499" s="138">
        <v>653.11</v>
      </c>
      <c r="K1499" s="138">
        <v>661.24773000000005</v>
      </c>
      <c r="L1499" s="138">
        <v>644.97226999999998</v>
      </c>
      <c r="M1499" s="27"/>
      <c r="N1499" s="83">
        <v>653.11</v>
      </c>
      <c r="P1499" t="str">
        <f>VLOOKUP(B1499,PTN!A:B,2,FALSE)</f>
        <v>UNIVERSITAS GADJAH MADA</v>
      </c>
      <c r="Q1499" t="str">
        <f t="shared" si="23"/>
        <v>UNIVERSITAS GADJAH MADAPEMBANGUNAN SOSIAL DAN KESEJAHTERAAN</v>
      </c>
    </row>
    <row r="1500" spans="1:17" ht="15.75" thickBot="1" x14ac:dyDescent="0.3">
      <c r="A1500" s="7">
        <v>1499</v>
      </c>
      <c r="B1500" s="6">
        <v>43</v>
      </c>
      <c r="C1500" s="12">
        <v>3612182</v>
      </c>
      <c r="D1500" t="s">
        <v>497</v>
      </c>
      <c r="E1500" s="12">
        <v>19</v>
      </c>
      <c r="F1500" s="10" t="s">
        <v>13</v>
      </c>
      <c r="I1500" s="87"/>
      <c r="J1500" s="138">
        <v>655.51</v>
      </c>
      <c r="K1500" s="138">
        <v>663.64773000000002</v>
      </c>
      <c r="L1500" s="138">
        <v>647.37226999999996</v>
      </c>
      <c r="M1500" s="28"/>
      <c r="N1500" s="83">
        <v>655.51</v>
      </c>
      <c r="P1500" t="str">
        <f>VLOOKUP(B1500,PTN!A:B,2,FALSE)</f>
        <v>UNIVERSITAS GADJAH MADA</v>
      </c>
      <c r="Q1500" t="str">
        <f t="shared" si="23"/>
        <v>UNIVERSITAS GADJAH MADAPOLITIK DAN PEMERINTAHAN</v>
      </c>
    </row>
    <row r="1501" spans="1:17" ht="15.75" thickBot="1" x14ac:dyDescent="0.3">
      <c r="A1501" s="7">
        <v>1500</v>
      </c>
      <c r="B1501" s="6">
        <v>43</v>
      </c>
      <c r="C1501" s="13">
        <v>3612224</v>
      </c>
      <c r="D1501" t="s">
        <v>36</v>
      </c>
      <c r="E1501" s="13">
        <v>56</v>
      </c>
      <c r="F1501" s="10" t="s">
        <v>13</v>
      </c>
      <c r="I1501" s="26"/>
      <c r="J1501" s="138">
        <v>673.45</v>
      </c>
      <c r="K1501" s="138">
        <v>681.58773000000008</v>
      </c>
      <c r="L1501" s="138">
        <v>665.31227000000001</v>
      </c>
      <c r="M1501" s="27"/>
      <c r="N1501" s="83">
        <v>673.45</v>
      </c>
      <c r="P1501" t="str">
        <f>VLOOKUP(B1501,PTN!A:B,2,FALSE)</f>
        <v>UNIVERSITAS GADJAH MADA</v>
      </c>
      <c r="Q1501" t="str">
        <f t="shared" si="23"/>
        <v>UNIVERSITAS GADJAH MADAPSIKOLOGI</v>
      </c>
    </row>
    <row r="1502" spans="1:17" ht="15.75" thickBot="1" x14ac:dyDescent="0.3">
      <c r="A1502" s="7">
        <v>1501</v>
      </c>
      <c r="B1502" s="6">
        <v>43</v>
      </c>
      <c r="C1502" s="12">
        <v>3612093</v>
      </c>
      <c r="D1502" t="s">
        <v>149</v>
      </c>
      <c r="E1502" s="12">
        <v>14</v>
      </c>
      <c r="F1502" s="10" t="s">
        <v>13</v>
      </c>
      <c r="I1502" s="87"/>
      <c r="J1502" s="138">
        <v>626.86</v>
      </c>
      <c r="K1502" s="138">
        <v>634.99773000000005</v>
      </c>
      <c r="L1502" s="138">
        <v>618.72226999999998</v>
      </c>
      <c r="M1502" s="28"/>
      <c r="N1502" s="83">
        <v>626.86</v>
      </c>
      <c r="P1502" t="str">
        <f>VLOOKUP(B1502,PTN!A:B,2,FALSE)</f>
        <v>UNIVERSITAS GADJAH MADA</v>
      </c>
      <c r="Q1502" t="str">
        <f t="shared" si="23"/>
        <v>UNIVERSITAS GADJAH MADASASTRA ARAB</v>
      </c>
    </row>
    <row r="1503" spans="1:17" ht="15.75" thickBot="1" x14ac:dyDescent="0.3">
      <c r="A1503" s="7">
        <v>1502</v>
      </c>
      <c r="B1503" s="6">
        <v>43</v>
      </c>
      <c r="C1503" s="13">
        <v>3612112</v>
      </c>
      <c r="D1503" t="s">
        <v>139</v>
      </c>
      <c r="E1503" s="13">
        <v>14</v>
      </c>
      <c r="F1503" s="10" t="s">
        <v>13</v>
      </c>
      <c r="I1503" s="26"/>
      <c r="J1503" s="138">
        <v>656.71</v>
      </c>
      <c r="K1503" s="138">
        <v>664.84773000000007</v>
      </c>
      <c r="L1503" s="138">
        <v>648.57227</v>
      </c>
      <c r="M1503" s="27"/>
      <c r="N1503" s="83">
        <v>656.71</v>
      </c>
      <c r="P1503" t="str">
        <f>VLOOKUP(B1503,PTN!A:B,2,FALSE)</f>
        <v>UNIVERSITAS GADJAH MADA</v>
      </c>
      <c r="Q1503" t="str">
        <f t="shared" si="23"/>
        <v>UNIVERSITAS GADJAH MADASASTRA INGGRIS</v>
      </c>
    </row>
    <row r="1504" spans="1:17" ht="15.75" thickBot="1" x14ac:dyDescent="0.3">
      <c r="A1504" s="7">
        <v>1503</v>
      </c>
      <c r="B1504" s="6">
        <v>43</v>
      </c>
      <c r="C1504" s="12">
        <v>3612127</v>
      </c>
      <c r="D1504" t="s">
        <v>460</v>
      </c>
      <c r="E1504" s="12">
        <v>8</v>
      </c>
      <c r="F1504" s="10" t="s">
        <v>13</v>
      </c>
      <c r="I1504" s="87"/>
      <c r="J1504" s="138">
        <v>605.5</v>
      </c>
      <c r="K1504" s="138">
        <v>613.63773000000003</v>
      </c>
      <c r="L1504" s="138">
        <v>597.36226999999997</v>
      </c>
      <c r="M1504" s="28"/>
      <c r="N1504" s="83">
        <v>605.5</v>
      </c>
      <c r="P1504" t="str">
        <f>VLOOKUP(B1504,PTN!A:B,2,FALSE)</f>
        <v>UNIVERSITAS GADJAH MADA</v>
      </c>
      <c r="Q1504" t="str">
        <f t="shared" si="23"/>
        <v>UNIVERSITAS GADJAH MADASASTRA JAWA</v>
      </c>
    </row>
    <row r="1505" spans="1:17" ht="15.75" thickBot="1" x14ac:dyDescent="0.3">
      <c r="A1505" s="7">
        <v>1504</v>
      </c>
      <c r="B1505" s="6">
        <v>43</v>
      </c>
      <c r="C1505" s="13">
        <v>3612143</v>
      </c>
      <c r="D1505" t="s">
        <v>153</v>
      </c>
      <c r="E1505" s="13">
        <v>8</v>
      </c>
      <c r="F1505" s="10" t="s">
        <v>13</v>
      </c>
      <c r="I1505" s="26"/>
      <c r="J1505" s="138">
        <v>670.4</v>
      </c>
      <c r="K1505" s="138">
        <v>678.53773000000001</v>
      </c>
      <c r="L1505" s="138">
        <v>662.26226999999994</v>
      </c>
      <c r="M1505" s="27"/>
      <c r="N1505" s="83">
        <v>670.4</v>
      </c>
      <c r="P1505" t="str">
        <f>VLOOKUP(B1505,PTN!A:B,2,FALSE)</f>
        <v>UNIVERSITAS GADJAH MADA</v>
      </c>
      <c r="Q1505" t="str">
        <f t="shared" si="23"/>
        <v>UNIVERSITAS GADJAH MADASASTRA JEPANG</v>
      </c>
    </row>
    <row r="1506" spans="1:17" ht="15.75" thickBot="1" x14ac:dyDescent="0.3">
      <c r="A1506" s="7">
        <v>1505</v>
      </c>
      <c r="B1506" s="6">
        <v>43</v>
      </c>
      <c r="C1506" s="12">
        <v>3612135</v>
      </c>
      <c r="D1506" t="s">
        <v>461</v>
      </c>
      <c r="E1506" s="12">
        <v>8</v>
      </c>
      <c r="F1506" s="10" t="s">
        <v>13</v>
      </c>
      <c r="I1506" s="87"/>
      <c r="J1506" s="138">
        <v>633.37</v>
      </c>
      <c r="K1506" s="138">
        <v>641.50773000000004</v>
      </c>
      <c r="L1506" s="138">
        <v>625.23226999999997</v>
      </c>
      <c r="M1506" s="28"/>
      <c r="N1506" s="83">
        <v>633.37</v>
      </c>
      <c r="P1506" t="str">
        <f>VLOOKUP(B1506,PTN!A:B,2,FALSE)</f>
        <v>UNIVERSITAS GADJAH MADA</v>
      </c>
      <c r="Q1506" t="str">
        <f t="shared" si="23"/>
        <v>UNIVERSITAS GADJAH MADASASTRA PRANCIS</v>
      </c>
    </row>
    <row r="1507" spans="1:17" ht="15.75" thickBot="1" x14ac:dyDescent="0.3">
      <c r="A1507" s="7">
        <v>1506</v>
      </c>
      <c r="B1507" s="6">
        <v>43</v>
      </c>
      <c r="C1507" s="13">
        <v>3612085</v>
      </c>
      <c r="D1507" t="s">
        <v>441</v>
      </c>
      <c r="E1507" s="13">
        <v>10</v>
      </c>
      <c r="F1507" s="10" t="s">
        <v>13</v>
      </c>
      <c r="I1507" s="26"/>
      <c r="J1507" s="138">
        <v>656.51</v>
      </c>
      <c r="K1507" s="138">
        <v>664.64773000000002</v>
      </c>
      <c r="L1507" s="138">
        <v>648.37226999999996</v>
      </c>
      <c r="M1507" s="27"/>
      <c r="N1507" s="83">
        <v>656.51</v>
      </c>
      <c r="P1507" t="str">
        <f>VLOOKUP(B1507,PTN!A:B,2,FALSE)</f>
        <v>UNIVERSITAS GADJAH MADA</v>
      </c>
      <c r="Q1507" t="str">
        <f t="shared" si="23"/>
        <v>UNIVERSITAS GADJAH MADASEJARAH</v>
      </c>
    </row>
    <row r="1508" spans="1:17" ht="15.75" thickBot="1" x14ac:dyDescent="0.3">
      <c r="A1508" s="7">
        <v>1507</v>
      </c>
      <c r="B1508" s="6">
        <v>43</v>
      </c>
      <c r="C1508" s="14">
        <v>3612216</v>
      </c>
      <c r="D1508" t="s">
        <v>63</v>
      </c>
      <c r="E1508" s="14">
        <v>19</v>
      </c>
      <c r="F1508" s="10" t="s">
        <v>13</v>
      </c>
      <c r="I1508" s="87"/>
      <c r="J1508" s="138">
        <v>645.25</v>
      </c>
      <c r="K1508" s="138">
        <v>653.38773000000003</v>
      </c>
      <c r="L1508" s="138">
        <v>637.11226999999997</v>
      </c>
      <c r="M1508" s="28"/>
      <c r="N1508" s="83">
        <v>645.25</v>
      </c>
      <c r="P1508" t="str">
        <f>VLOOKUP(B1508,PTN!A:B,2,FALSE)</f>
        <v>UNIVERSITAS GADJAH MADA</v>
      </c>
      <c r="Q1508" t="str">
        <f t="shared" si="23"/>
        <v>UNIVERSITAS GADJAH MADASOSIOLOGI</v>
      </c>
    </row>
    <row r="1509" spans="1:17" ht="16.5" thickTop="1" thickBot="1" x14ac:dyDescent="0.3">
      <c r="A1509" s="7">
        <v>1508</v>
      </c>
      <c r="B1509" s="6">
        <v>47</v>
      </c>
      <c r="C1509" s="12">
        <v>3651044</v>
      </c>
      <c r="D1509" t="s">
        <v>21</v>
      </c>
      <c r="E1509" s="12">
        <v>12</v>
      </c>
      <c r="F1509" s="10" t="s">
        <v>20</v>
      </c>
      <c r="I1509" s="20"/>
      <c r="J1509" s="138" t="s">
        <v>1292</v>
      </c>
      <c r="K1509" s="138" t="s">
        <v>1292</v>
      </c>
      <c r="L1509" s="138" t="s">
        <v>1292</v>
      </c>
      <c r="M1509" s="21"/>
      <c r="N1509" s="83" t="s">
        <v>1292</v>
      </c>
      <c r="P1509" t="str">
        <f>VLOOKUP(B1509,PTN!A:B,2,FALSE)</f>
        <v>UIN SUNAN KALIJAGA YOGYAKARTA</v>
      </c>
      <c r="Q1509" t="str">
        <f t="shared" si="23"/>
        <v>UIN SUNAN KALIJAGA YOGYAKARTABIOLOGI</v>
      </c>
    </row>
    <row r="1510" spans="1:17" ht="15.75" thickBot="1" x14ac:dyDescent="0.3">
      <c r="A1510" s="7">
        <v>1509</v>
      </c>
      <c r="B1510" s="6">
        <v>47</v>
      </c>
      <c r="C1510" s="13">
        <v>3651021</v>
      </c>
      <c r="D1510" t="s">
        <v>65</v>
      </c>
      <c r="E1510" s="13">
        <v>12</v>
      </c>
      <c r="F1510" s="10" t="s">
        <v>20</v>
      </c>
      <c r="J1510" s="138" t="s">
        <v>1292</v>
      </c>
      <c r="K1510" s="138" t="s">
        <v>1292</v>
      </c>
      <c r="L1510" s="138" t="s">
        <v>1292</v>
      </c>
      <c r="M1510" s="21"/>
      <c r="N1510" s="83" t="s">
        <v>1292</v>
      </c>
      <c r="P1510" t="str">
        <f>VLOOKUP(B1510,PTN!A:B,2,FALSE)</f>
        <v>UIN SUNAN KALIJAGA YOGYAKARTA</v>
      </c>
      <c r="Q1510" t="str">
        <f t="shared" si="23"/>
        <v>UIN SUNAN KALIJAGA YOGYAKARTAFISIKA</v>
      </c>
    </row>
    <row r="1511" spans="1:17" ht="16.5" thickTop="1" thickBot="1" x14ac:dyDescent="0.3">
      <c r="A1511" s="7">
        <v>1510</v>
      </c>
      <c r="B1511" s="6">
        <v>47</v>
      </c>
      <c r="C1511" s="12">
        <v>3651036</v>
      </c>
      <c r="D1511" t="s">
        <v>22</v>
      </c>
      <c r="E1511" s="12">
        <v>12</v>
      </c>
      <c r="F1511" s="10" t="s">
        <v>20</v>
      </c>
      <c r="I1511" s="23"/>
      <c r="J1511" s="138">
        <v>599.65</v>
      </c>
      <c r="K1511" s="138">
        <v>605.57999999999993</v>
      </c>
      <c r="L1511" s="138">
        <v>593.72</v>
      </c>
      <c r="M1511" s="25"/>
      <c r="N1511" s="83">
        <v>599.65</v>
      </c>
      <c r="P1511" t="str">
        <f>VLOOKUP(B1511,PTN!A:B,2,FALSE)</f>
        <v>UIN SUNAN KALIJAGA YOGYAKARTA</v>
      </c>
      <c r="Q1511" t="str">
        <f t="shared" si="23"/>
        <v>UIN SUNAN KALIJAGA YOGYAKARTAKIMIA</v>
      </c>
    </row>
    <row r="1512" spans="1:17" ht="16.5" thickTop="1" thickBot="1" x14ac:dyDescent="0.3">
      <c r="A1512" s="7">
        <v>1511</v>
      </c>
      <c r="B1512" s="6">
        <v>47</v>
      </c>
      <c r="C1512" s="13">
        <v>3651013</v>
      </c>
      <c r="D1512" t="s">
        <v>66</v>
      </c>
      <c r="E1512" s="13">
        <v>12</v>
      </c>
      <c r="F1512" s="10" t="s">
        <v>20</v>
      </c>
      <c r="I1512" s="26"/>
      <c r="J1512" s="138">
        <v>604.46</v>
      </c>
      <c r="K1512" s="138">
        <v>612.57500000000005</v>
      </c>
      <c r="L1512" s="138">
        <v>596.34500000000003</v>
      </c>
      <c r="M1512" s="27"/>
      <c r="N1512" s="83">
        <v>604.46</v>
      </c>
      <c r="P1512" t="str">
        <f>VLOOKUP(B1512,PTN!A:B,2,FALSE)</f>
        <v>UIN SUNAN KALIJAGA YOGYAKARTA</v>
      </c>
      <c r="Q1512" t="str">
        <f t="shared" si="23"/>
        <v>UIN SUNAN KALIJAGA YOGYAKARTAMATEMATIKA</v>
      </c>
    </row>
    <row r="1513" spans="1:17" ht="15.75" thickBot="1" x14ac:dyDescent="0.3">
      <c r="A1513" s="7">
        <v>1512</v>
      </c>
      <c r="B1513" s="6">
        <v>47</v>
      </c>
      <c r="C1513" s="12">
        <v>3651102</v>
      </c>
      <c r="D1513" t="s">
        <v>67</v>
      </c>
      <c r="E1513" s="12">
        <v>12</v>
      </c>
      <c r="F1513" s="10" t="s">
        <v>20</v>
      </c>
      <c r="I1513" s="87"/>
      <c r="J1513" s="138">
        <v>450</v>
      </c>
      <c r="K1513" s="138" t="s">
        <v>1292</v>
      </c>
      <c r="L1513" s="138" t="s">
        <v>1292</v>
      </c>
      <c r="M1513" s="28"/>
      <c r="N1513" s="83">
        <v>450</v>
      </c>
      <c r="P1513" t="str">
        <f>VLOOKUP(B1513,PTN!A:B,2,FALSE)</f>
        <v>UIN SUNAN KALIJAGA YOGYAKARTA</v>
      </c>
      <c r="Q1513" t="str">
        <f t="shared" si="23"/>
        <v>UIN SUNAN KALIJAGA YOGYAKARTAPENDIDIKAN BIOLOGI</v>
      </c>
    </row>
    <row r="1514" spans="1:17" ht="15.75" thickBot="1" x14ac:dyDescent="0.3">
      <c r="A1514" s="7">
        <v>1513</v>
      </c>
      <c r="B1514" s="6">
        <v>47</v>
      </c>
      <c r="C1514" s="13">
        <v>3651083</v>
      </c>
      <c r="D1514" t="s">
        <v>42</v>
      </c>
      <c r="E1514" s="13">
        <v>12</v>
      </c>
      <c r="F1514" s="10" t="s">
        <v>20</v>
      </c>
      <c r="I1514" s="26"/>
      <c r="J1514" s="138" t="s">
        <v>1292</v>
      </c>
      <c r="K1514" s="138" t="s">
        <v>1292</v>
      </c>
      <c r="L1514" s="138" t="s">
        <v>1292</v>
      </c>
      <c r="M1514" s="27"/>
      <c r="N1514" s="83" t="s">
        <v>1292</v>
      </c>
      <c r="P1514" t="str">
        <f>VLOOKUP(B1514,PTN!A:B,2,FALSE)</f>
        <v>UIN SUNAN KALIJAGA YOGYAKARTA</v>
      </c>
      <c r="Q1514" t="str">
        <f t="shared" si="23"/>
        <v>UIN SUNAN KALIJAGA YOGYAKARTAPENDIDIKAN FISIKA</v>
      </c>
    </row>
    <row r="1515" spans="1:17" ht="15.75" thickBot="1" x14ac:dyDescent="0.3">
      <c r="A1515" s="7">
        <v>1514</v>
      </c>
      <c r="B1515" s="6">
        <v>47</v>
      </c>
      <c r="C1515" s="12">
        <v>3651091</v>
      </c>
      <c r="D1515" t="s">
        <v>43</v>
      </c>
      <c r="E1515" s="12">
        <v>12</v>
      </c>
      <c r="F1515" s="10" t="s">
        <v>20</v>
      </c>
      <c r="I1515" s="87"/>
      <c r="J1515" s="138">
        <v>450</v>
      </c>
      <c r="K1515" s="138" t="s">
        <v>1292</v>
      </c>
      <c r="L1515" s="138" t="s">
        <v>1292</v>
      </c>
      <c r="M1515" s="28"/>
      <c r="N1515" s="83">
        <v>450</v>
      </c>
      <c r="P1515" t="str">
        <f>VLOOKUP(B1515,PTN!A:B,2,FALSE)</f>
        <v>UIN SUNAN KALIJAGA YOGYAKARTA</v>
      </c>
      <c r="Q1515" t="str">
        <f t="shared" si="23"/>
        <v>UIN SUNAN KALIJAGA YOGYAKARTAPENDIDIKAN KIMIA</v>
      </c>
    </row>
    <row r="1516" spans="1:17" ht="15.75" thickBot="1" x14ac:dyDescent="0.3">
      <c r="A1516" s="7">
        <v>1515</v>
      </c>
      <c r="B1516" s="6">
        <v>47</v>
      </c>
      <c r="C1516" s="13">
        <v>3651075</v>
      </c>
      <c r="D1516" t="s">
        <v>44</v>
      </c>
      <c r="E1516" s="13">
        <v>12</v>
      </c>
      <c r="F1516" s="10" t="s">
        <v>20</v>
      </c>
      <c r="I1516" s="26"/>
      <c r="J1516" s="138" t="s">
        <v>1292</v>
      </c>
      <c r="K1516" s="138" t="s">
        <v>1292</v>
      </c>
      <c r="L1516" s="138" t="s">
        <v>1292</v>
      </c>
      <c r="M1516" s="27"/>
      <c r="N1516" s="83" t="s">
        <v>1292</v>
      </c>
      <c r="P1516" t="str">
        <f>VLOOKUP(B1516,PTN!A:B,2,FALSE)</f>
        <v>UIN SUNAN KALIJAGA YOGYAKARTA</v>
      </c>
      <c r="Q1516" t="str">
        <f t="shared" si="23"/>
        <v>UIN SUNAN KALIJAGA YOGYAKARTAPENDIDIKAN MATEMATIKA</v>
      </c>
    </row>
    <row r="1517" spans="1:17" ht="15.75" thickBot="1" x14ac:dyDescent="0.3">
      <c r="A1517" s="7">
        <v>1516</v>
      </c>
      <c r="B1517" s="6">
        <v>47</v>
      </c>
      <c r="C1517" s="12">
        <v>3651067</v>
      </c>
      <c r="D1517" t="s">
        <v>49</v>
      </c>
      <c r="E1517" s="12">
        <v>12</v>
      </c>
      <c r="F1517" s="10" t="s">
        <v>20</v>
      </c>
      <c r="I1517" s="87"/>
      <c r="J1517" s="138">
        <v>610.70000000000005</v>
      </c>
      <c r="K1517" s="138">
        <v>618.59</v>
      </c>
      <c r="L1517" s="138">
        <v>602.81000000000006</v>
      </c>
      <c r="M1517" s="28"/>
      <c r="N1517" s="83">
        <v>610.70000000000005</v>
      </c>
      <c r="P1517" t="str">
        <f>VLOOKUP(B1517,PTN!A:B,2,FALSE)</f>
        <v>UIN SUNAN KALIJAGA YOGYAKARTA</v>
      </c>
      <c r="Q1517" t="str">
        <f t="shared" si="23"/>
        <v>UIN SUNAN KALIJAGA YOGYAKARTATEKNIK INDUSTRI</v>
      </c>
    </row>
    <row r="1518" spans="1:17" ht="15.75" thickBot="1" x14ac:dyDescent="0.3">
      <c r="A1518" s="7">
        <v>1517</v>
      </c>
      <c r="B1518" s="6">
        <v>47</v>
      </c>
      <c r="C1518" s="16">
        <v>3651052</v>
      </c>
      <c r="D1518" t="s">
        <v>50</v>
      </c>
      <c r="E1518" s="16">
        <v>12</v>
      </c>
      <c r="F1518" s="10" t="s">
        <v>20</v>
      </c>
      <c r="I1518" s="26"/>
      <c r="J1518" s="138">
        <v>628.57000000000005</v>
      </c>
      <c r="K1518" s="138">
        <v>637.125</v>
      </c>
      <c r="L1518" s="138">
        <v>620.0150000000001</v>
      </c>
      <c r="M1518" s="27"/>
      <c r="N1518" s="83">
        <v>628.57000000000005</v>
      </c>
      <c r="P1518" t="str">
        <f>VLOOKUP(B1518,PTN!A:B,2,FALSE)</f>
        <v>UIN SUNAN KALIJAGA YOGYAKARTA</v>
      </c>
      <c r="Q1518" t="str">
        <f t="shared" si="23"/>
        <v>UIN SUNAN KALIJAGA YOGYAKARTATEKNIK INFORMATIKA</v>
      </c>
    </row>
    <row r="1519" spans="1:17" ht="16.5" thickTop="1" thickBot="1" x14ac:dyDescent="0.3">
      <c r="A1519" s="7">
        <v>1518</v>
      </c>
      <c r="B1519" s="6">
        <v>47</v>
      </c>
      <c r="C1519" s="12">
        <v>3652272</v>
      </c>
      <c r="D1519" t="s">
        <v>498</v>
      </c>
      <c r="E1519" s="12">
        <v>28</v>
      </c>
      <c r="F1519" s="10" t="s">
        <v>13</v>
      </c>
      <c r="I1519" s="20"/>
      <c r="J1519" s="138">
        <v>588.16999999999996</v>
      </c>
      <c r="K1519" s="138">
        <v>596.30772999999999</v>
      </c>
      <c r="L1519" s="138">
        <v>580.03226999999993</v>
      </c>
      <c r="M1519" s="21"/>
      <c r="N1519" s="83">
        <v>588.16999999999996</v>
      </c>
      <c r="P1519" t="str">
        <f>VLOOKUP(B1519,PTN!A:B,2,FALSE)</f>
        <v>UIN SUNAN KALIJAGA YOGYAKARTA</v>
      </c>
      <c r="Q1519" t="str">
        <f t="shared" si="23"/>
        <v>UIN SUNAN KALIJAGA YOGYAKARTAILMU HUKUM (IH)</v>
      </c>
    </row>
    <row r="1520" spans="1:17" ht="15.75" thickBot="1" x14ac:dyDescent="0.3">
      <c r="A1520" s="7">
        <v>1519</v>
      </c>
      <c r="B1520" s="6">
        <v>47</v>
      </c>
      <c r="C1520" s="13">
        <v>3652287</v>
      </c>
      <c r="D1520" t="s">
        <v>499</v>
      </c>
      <c r="E1520" s="13">
        <v>16</v>
      </c>
      <c r="F1520" s="10" t="s">
        <v>13</v>
      </c>
      <c r="I1520" s="22"/>
      <c r="J1520" s="138">
        <v>584.12</v>
      </c>
      <c r="K1520" s="138">
        <v>592.25773000000004</v>
      </c>
      <c r="L1520" s="138">
        <v>575.98226999999997</v>
      </c>
      <c r="M1520" s="21"/>
      <c r="N1520" s="83">
        <v>584.12</v>
      </c>
      <c r="P1520" t="str">
        <f>VLOOKUP(B1520,PTN!A:B,2,FALSE)</f>
        <v>UIN SUNAN KALIJAGA YOGYAKARTA</v>
      </c>
      <c r="Q1520" t="str">
        <f t="shared" si="23"/>
        <v>UIN SUNAN KALIJAGA YOGYAKARTAILMU KESEJAHTERAAN SOSIAL (IKS)</v>
      </c>
    </row>
    <row r="1521" spans="1:17" ht="16.5" thickTop="1" thickBot="1" x14ac:dyDescent="0.3">
      <c r="A1521" s="7">
        <v>1520</v>
      </c>
      <c r="B1521" s="6">
        <v>47</v>
      </c>
      <c r="C1521" s="12">
        <v>3652225</v>
      </c>
      <c r="D1521" t="s">
        <v>60</v>
      </c>
      <c r="E1521" s="12">
        <v>24</v>
      </c>
      <c r="F1521" s="10" t="s">
        <v>13</v>
      </c>
      <c r="I1521" s="23"/>
      <c r="J1521" s="138">
        <v>593.54</v>
      </c>
      <c r="K1521" s="138">
        <v>601.67773</v>
      </c>
      <c r="L1521" s="138">
        <v>585.40226999999993</v>
      </c>
      <c r="M1521" s="25"/>
      <c r="N1521" s="83">
        <v>593.54</v>
      </c>
      <c r="P1521" t="str">
        <f>VLOOKUP(B1521,PTN!A:B,2,FALSE)</f>
        <v>UIN SUNAN KALIJAGA YOGYAKARTA</v>
      </c>
      <c r="Q1521" t="str">
        <f t="shared" si="23"/>
        <v>UIN SUNAN KALIJAGA YOGYAKARTAILMU KOMUNIKASI</v>
      </c>
    </row>
    <row r="1522" spans="1:17" ht="16.5" thickTop="1" thickBot="1" x14ac:dyDescent="0.3">
      <c r="A1522" s="7">
        <v>1521</v>
      </c>
      <c r="B1522" s="6">
        <v>47</v>
      </c>
      <c r="C1522" s="13">
        <v>3652032</v>
      </c>
      <c r="D1522" t="s">
        <v>500</v>
      </c>
      <c r="E1522" s="13">
        <v>24</v>
      </c>
      <c r="F1522" s="10" t="s">
        <v>13</v>
      </c>
      <c r="I1522" s="26"/>
      <c r="J1522" s="138">
        <v>573.54999999999995</v>
      </c>
      <c r="K1522" s="138">
        <v>581.68772999999999</v>
      </c>
      <c r="L1522" s="138">
        <v>565.41226999999992</v>
      </c>
      <c r="M1522" s="27"/>
      <c r="N1522" s="83">
        <v>573.54999999999995</v>
      </c>
      <c r="P1522" t="str">
        <f>VLOOKUP(B1522,PTN!A:B,2,FALSE)</f>
        <v>UIN SUNAN KALIJAGA YOGYAKARTA</v>
      </c>
      <c r="Q1522" t="str">
        <f t="shared" si="23"/>
        <v>UIN SUNAN KALIJAGA YOGYAKARTAILMU PERPUSTAKAAN (IP)</v>
      </c>
    </row>
    <row r="1523" spans="1:17" ht="15.75" thickBot="1" x14ac:dyDescent="0.3">
      <c r="A1523" s="7">
        <v>1522</v>
      </c>
      <c r="B1523" s="6">
        <v>47</v>
      </c>
      <c r="C1523" s="12">
        <v>3652202</v>
      </c>
      <c r="D1523" t="s">
        <v>36</v>
      </c>
      <c r="E1523" s="12">
        <v>24</v>
      </c>
      <c r="F1523" s="10" t="s">
        <v>13</v>
      </c>
      <c r="I1523" s="87"/>
      <c r="J1523" s="138">
        <v>594.12</v>
      </c>
      <c r="K1523" s="138">
        <v>602.25773000000004</v>
      </c>
      <c r="L1523" s="138">
        <v>585.98226999999997</v>
      </c>
      <c r="M1523" s="28"/>
      <c r="N1523" s="83">
        <v>594.12</v>
      </c>
      <c r="P1523" t="str">
        <f>VLOOKUP(B1523,PTN!A:B,2,FALSE)</f>
        <v>UIN SUNAN KALIJAGA YOGYAKARTA</v>
      </c>
      <c r="Q1523" t="str">
        <f t="shared" si="23"/>
        <v>UIN SUNAN KALIJAGA YOGYAKARTAPSIKOLOGI</v>
      </c>
    </row>
    <row r="1524" spans="1:17" ht="15.75" thickBot="1" x14ac:dyDescent="0.3">
      <c r="A1524" s="7">
        <v>1523</v>
      </c>
      <c r="B1524" s="6">
        <v>47</v>
      </c>
      <c r="C1524" s="13">
        <v>3652241</v>
      </c>
      <c r="D1524" t="s">
        <v>501</v>
      </c>
      <c r="E1524" s="13">
        <v>16</v>
      </c>
      <c r="F1524" s="10" t="s">
        <v>13</v>
      </c>
      <c r="I1524" s="26"/>
      <c r="J1524" s="138">
        <v>577.07000000000005</v>
      </c>
      <c r="K1524" s="138">
        <v>585.20773000000008</v>
      </c>
      <c r="L1524" s="138">
        <v>568.93227000000002</v>
      </c>
      <c r="M1524" s="27"/>
      <c r="N1524" s="83">
        <v>577.07000000000005</v>
      </c>
      <c r="P1524" t="str">
        <f>VLOOKUP(B1524,PTN!A:B,2,FALSE)</f>
        <v>UIN SUNAN KALIJAGA YOGYAKARTA</v>
      </c>
      <c r="Q1524" t="str">
        <f t="shared" si="23"/>
        <v>UIN SUNAN KALIJAGA YOGYAKARTASASTRA INGGRIS (SI)</v>
      </c>
    </row>
    <row r="1525" spans="1:17" ht="15.75" thickBot="1" x14ac:dyDescent="0.3">
      <c r="A1525" s="7">
        <v>1524</v>
      </c>
      <c r="B1525" s="6">
        <v>47</v>
      </c>
      <c r="C1525" s="14">
        <v>3652217</v>
      </c>
      <c r="D1525" t="s">
        <v>63</v>
      </c>
      <c r="E1525" s="14">
        <v>16</v>
      </c>
      <c r="F1525" s="10" t="s">
        <v>13</v>
      </c>
      <c r="I1525" s="87"/>
      <c r="J1525" s="138">
        <v>576.71</v>
      </c>
      <c r="K1525" s="138">
        <v>584.84773000000007</v>
      </c>
      <c r="L1525" s="138">
        <v>568.57227</v>
      </c>
      <c r="M1525" s="28"/>
      <c r="N1525" s="83">
        <v>576.71</v>
      </c>
      <c r="P1525" t="str">
        <f>VLOOKUP(B1525,PTN!A:B,2,FALSE)</f>
        <v>UIN SUNAN KALIJAGA YOGYAKARTA</v>
      </c>
      <c r="Q1525" t="str">
        <f t="shared" si="23"/>
        <v>UIN SUNAN KALIJAGA YOGYAKARTASOSIOLOGI</v>
      </c>
    </row>
    <row r="1526" spans="1:17" ht="16.5" thickTop="1" thickBot="1" x14ac:dyDescent="0.3">
      <c r="A1526" s="7">
        <v>1525</v>
      </c>
      <c r="B1526" s="6">
        <v>44</v>
      </c>
      <c r="C1526" s="12">
        <v>3621134</v>
      </c>
      <c r="D1526" t="s">
        <v>21</v>
      </c>
      <c r="E1526" s="12">
        <v>24</v>
      </c>
      <c r="F1526" s="10" t="s">
        <v>20</v>
      </c>
      <c r="I1526" s="20"/>
      <c r="J1526" s="138">
        <v>617.04999999999995</v>
      </c>
      <c r="K1526" s="138">
        <v>621.89</v>
      </c>
      <c r="L1526" s="138">
        <v>612.20999999999992</v>
      </c>
      <c r="M1526" s="21"/>
      <c r="N1526" s="83">
        <v>617.04999999999995</v>
      </c>
      <c r="P1526" t="str">
        <f>VLOOKUP(B1526,PTN!A:B,2,FALSE)</f>
        <v>UNIVERSITAS NEGERI YOGYAKARTA</v>
      </c>
      <c r="Q1526" t="str">
        <f t="shared" si="23"/>
        <v>UNIVERSITAS NEGERI YOGYAKARTABIOLOGI</v>
      </c>
    </row>
    <row r="1527" spans="1:17" ht="15.75" thickBot="1" x14ac:dyDescent="0.3">
      <c r="A1527" s="7">
        <v>1526</v>
      </c>
      <c r="B1527" s="6">
        <v>44</v>
      </c>
      <c r="C1527" s="13">
        <v>3621111</v>
      </c>
      <c r="D1527" t="s">
        <v>65</v>
      </c>
      <c r="E1527" s="13">
        <v>24</v>
      </c>
      <c r="F1527" s="10" t="s">
        <v>20</v>
      </c>
      <c r="I1527" s="22"/>
      <c r="J1527" s="138">
        <v>612.89</v>
      </c>
      <c r="K1527" s="138">
        <v>621.36</v>
      </c>
      <c r="L1527" s="138">
        <v>604.41999999999996</v>
      </c>
      <c r="M1527" s="21"/>
      <c r="N1527" s="83">
        <v>612.89</v>
      </c>
      <c r="P1527" t="str">
        <f>VLOOKUP(B1527,PTN!A:B,2,FALSE)</f>
        <v>UNIVERSITAS NEGERI YOGYAKARTA</v>
      </c>
      <c r="Q1527" t="str">
        <f t="shared" si="23"/>
        <v>UNIVERSITAS NEGERI YOGYAKARTAFISIKA</v>
      </c>
    </row>
    <row r="1528" spans="1:17" ht="16.5" thickTop="1" thickBot="1" x14ac:dyDescent="0.3">
      <c r="A1528" s="7">
        <v>1527</v>
      </c>
      <c r="B1528" s="6">
        <v>44</v>
      </c>
      <c r="C1528" s="12">
        <v>3621173</v>
      </c>
      <c r="D1528" t="s">
        <v>114</v>
      </c>
      <c r="E1528" s="12">
        <v>12</v>
      </c>
      <c r="F1528" s="10" t="s">
        <v>20</v>
      </c>
      <c r="I1528" s="23"/>
      <c r="J1528" s="138">
        <v>580</v>
      </c>
      <c r="K1528" s="138" t="s">
        <v>1292</v>
      </c>
      <c r="L1528" s="138" t="s">
        <v>1292</v>
      </c>
      <c r="M1528" s="25"/>
      <c r="N1528" s="83">
        <v>580</v>
      </c>
      <c r="P1528" t="str">
        <f>VLOOKUP(B1528,PTN!A:B,2,FALSE)</f>
        <v>UNIVERSITAS NEGERI YOGYAKARTA</v>
      </c>
      <c r="Q1528" t="str">
        <f t="shared" si="23"/>
        <v>UNIVERSITAS NEGERI YOGYAKARTAILMU KEOLAHRAGAAN</v>
      </c>
    </row>
    <row r="1529" spans="1:17" ht="16.5" thickTop="1" thickBot="1" x14ac:dyDescent="0.3">
      <c r="A1529" s="7">
        <v>1528</v>
      </c>
      <c r="B1529" s="6">
        <v>44</v>
      </c>
      <c r="C1529" s="13">
        <v>3621126</v>
      </c>
      <c r="D1529" t="s">
        <v>22</v>
      </c>
      <c r="E1529" s="13">
        <v>24</v>
      </c>
      <c r="F1529" s="10" t="s">
        <v>20</v>
      </c>
      <c r="I1529" s="26"/>
      <c r="J1529" s="138">
        <v>628.55999999999995</v>
      </c>
      <c r="K1529" s="138">
        <v>634.19999999999993</v>
      </c>
      <c r="L1529" s="138">
        <v>622.91999999999996</v>
      </c>
      <c r="M1529" s="27"/>
      <c r="N1529" s="83">
        <v>628.55999999999995</v>
      </c>
      <c r="P1529" t="str">
        <f>VLOOKUP(B1529,PTN!A:B,2,FALSE)</f>
        <v>UNIVERSITAS NEGERI YOGYAKARTA</v>
      </c>
      <c r="Q1529" t="str">
        <f t="shared" si="23"/>
        <v>UNIVERSITAS NEGERI YOGYAKARTAKIMIA</v>
      </c>
    </row>
    <row r="1530" spans="1:17" ht="15.75" thickBot="1" x14ac:dyDescent="0.3">
      <c r="A1530" s="7">
        <v>1529</v>
      </c>
      <c r="B1530" s="6">
        <v>44</v>
      </c>
      <c r="C1530" s="12">
        <v>3621103</v>
      </c>
      <c r="D1530" t="s">
        <v>66</v>
      </c>
      <c r="E1530" s="12">
        <v>24</v>
      </c>
      <c r="F1530" s="10" t="s">
        <v>20</v>
      </c>
      <c r="I1530" s="87"/>
      <c r="J1530" s="138">
        <v>639.05999999999995</v>
      </c>
      <c r="K1530" s="138">
        <v>646.76</v>
      </c>
      <c r="L1530" s="138">
        <v>631.3599999999999</v>
      </c>
      <c r="M1530" s="28"/>
      <c r="N1530" s="83">
        <v>639.05999999999995</v>
      </c>
      <c r="P1530" t="str">
        <f>VLOOKUP(B1530,PTN!A:B,2,FALSE)</f>
        <v>UNIVERSITAS NEGERI YOGYAKARTA</v>
      </c>
      <c r="Q1530" t="str">
        <f t="shared" si="23"/>
        <v>UNIVERSITAS NEGERI YOGYAKARTAMATEMATIKA</v>
      </c>
    </row>
    <row r="1531" spans="1:17" ht="15.75" thickBot="1" x14ac:dyDescent="0.3">
      <c r="A1531" s="7">
        <v>1530</v>
      </c>
      <c r="B1531" s="6">
        <v>44</v>
      </c>
      <c r="C1531" s="13">
        <v>3621045</v>
      </c>
      <c r="D1531" t="s">
        <v>67</v>
      </c>
      <c r="E1531" s="13">
        <v>24</v>
      </c>
      <c r="F1531" s="10" t="s">
        <v>20</v>
      </c>
      <c r="I1531" s="26"/>
      <c r="J1531" s="138">
        <v>623.34</v>
      </c>
      <c r="K1531" s="138">
        <v>634.25</v>
      </c>
      <c r="L1531" s="138">
        <v>612.43000000000006</v>
      </c>
      <c r="M1531" s="27"/>
      <c r="N1531" s="83">
        <v>623.34</v>
      </c>
      <c r="P1531" t="str">
        <f>VLOOKUP(B1531,PTN!A:B,2,FALSE)</f>
        <v>UNIVERSITAS NEGERI YOGYAKARTA</v>
      </c>
      <c r="Q1531" t="str">
        <f t="shared" si="23"/>
        <v>UNIVERSITAS NEGERI YOGYAKARTAPENDIDIKAN BIOLOGI</v>
      </c>
    </row>
    <row r="1532" spans="1:17" ht="15.75" thickBot="1" x14ac:dyDescent="0.3">
      <c r="A1532" s="7">
        <v>1531</v>
      </c>
      <c r="B1532" s="6">
        <v>44</v>
      </c>
      <c r="C1532" s="12">
        <v>3621022</v>
      </c>
      <c r="D1532" t="s">
        <v>42</v>
      </c>
      <c r="E1532" s="12">
        <v>24</v>
      </c>
      <c r="F1532" s="10" t="s">
        <v>20</v>
      </c>
      <c r="I1532" s="87"/>
      <c r="J1532" s="138">
        <v>625.08000000000004</v>
      </c>
      <c r="K1532" s="138">
        <v>634.70500000000004</v>
      </c>
      <c r="L1532" s="138">
        <v>615.45500000000004</v>
      </c>
      <c r="M1532" s="28"/>
      <c r="N1532" s="83">
        <v>625.08000000000004</v>
      </c>
      <c r="P1532" t="str">
        <f>VLOOKUP(B1532,PTN!A:B,2,FALSE)</f>
        <v>UNIVERSITAS NEGERI YOGYAKARTA</v>
      </c>
      <c r="Q1532" t="str">
        <f t="shared" si="23"/>
        <v>UNIVERSITAS NEGERI YOGYAKARTAPENDIDIKAN FISIKA</v>
      </c>
    </row>
    <row r="1533" spans="1:17" ht="15.75" thickBot="1" x14ac:dyDescent="0.3">
      <c r="A1533" s="7">
        <v>1532</v>
      </c>
      <c r="B1533" s="6">
        <v>44</v>
      </c>
      <c r="C1533" s="13">
        <v>3621165</v>
      </c>
      <c r="D1533" t="s">
        <v>115</v>
      </c>
      <c r="E1533" s="13">
        <v>24</v>
      </c>
      <c r="F1533" s="10" t="s">
        <v>20</v>
      </c>
      <c r="I1533" s="26"/>
      <c r="J1533" s="138">
        <v>608.98</v>
      </c>
      <c r="K1533" s="138">
        <v>615.48500000000001</v>
      </c>
      <c r="L1533" s="138">
        <v>602.47500000000002</v>
      </c>
      <c r="M1533" s="27"/>
      <c r="N1533" s="83">
        <v>608.98</v>
      </c>
      <c r="P1533" t="str">
        <f>VLOOKUP(B1533,PTN!A:B,2,FALSE)</f>
        <v>UNIVERSITAS NEGERI YOGYAKARTA</v>
      </c>
      <c r="Q1533" t="str">
        <f t="shared" si="23"/>
        <v>UNIVERSITAS NEGERI YOGYAKARTAPENDIDIKAN IPA</v>
      </c>
    </row>
    <row r="1534" spans="1:17" ht="15.75" thickBot="1" x14ac:dyDescent="0.3">
      <c r="A1534" s="7">
        <v>1533</v>
      </c>
      <c r="B1534" s="6">
        <v>44</v>
      </c>
      <c r="C1534" s="12">
        <v>3621401</v>
      </c>
      <c r="D1534" t="s">
        <v>442</v>
      </c>
      <c r="E1534" s="12">
        <v>60</v>
      </c>
      <c r="F1534" s="10" t="s">
        <v>20</v>
      </c>
      <c r="I1534" s="87"/>
      <c r="J1534" s="138" t="s">
        <v>1292</v>
      </c>
      <c r="K1534" s="138" t="s">
        <v>1292</v>
      </c>
      <c r="L1534" s="138" t="s">
        <v>1292</v>
      </c>
      <c r="M1534" s="28"/>
      <c r="N1534" s="83" t="s">
        <v>1292</v>
      </c>
      <c r="P1534" t="str">
        <f>VLOOKUP(B1534,PTN!A:B,2,FALSE)</f>
        <v>UNIVERSITAS NEGERI YOGYAKARTA</v>
      </c>
      <c r="Q1534" t="str">
        <f t="shared" si="23"/>
        <v>UNIVERSITAS NEGERI YOGYAKARTAPENDIDIKAN JASMANI KESEHATAN DAN REKREASI</v>
      </c>
    </row>
    <row r="1535" spans="1:17" ht="15.75" thickBot="1" x14ac:dyDescent="0.3">
      <c r="A1535" s="7">
        <v>1534</v>
      </c>
      <c r="B1535" s="6">
        <v>44</v>
      </c>
      <c r="C1535" s="13">
        <v>3621416</v>
      </c>
      <c r="D1535" t="s">
        <v>330</v>
      </c>
      <c r="E1535" s="13">
        <v>36</v>
      </c>
      <c r="F1535" s="10" t="s">
        <v>20</v>
      </c>
      <c r="I1535" s="26"/>
      <c r="J1535" s="138" t="s">
        <v>1292</v>
      </c>
      <c r="K1535" s="138" t="s">
        <v>1292</v>
      </c>
      <c r="L1535" s="138" t="s">
        <v>1292</v>
      </c>
      <c r="M1535" s="27"/>
      <c r="N1535" s="83" t="s">
        <v>1292</v>
      </c>
      <c r="P1535" t="str">
        <f>VLOOKUP(B1535,PTN!A:B,2,FALSE)</f>
        <v>UNIVERSITAS NEGERI YOGYAKARTA</v>
      </c>
      <c r="Q1535" t="str">
        <f t="shared" si="23"/>
        <v>UNIVERSITAS NEGERI YOGYAKARTAPENDIDIKAN KEPELATIHAN OLAHRAGA</v>
      </c>
    </row>
    <row r="1536" spans="1:17" ht="15.75" thickBot="1" x14ac:dyDescent="0.3">
      <c r="A1536" s="7">
        <v>1535</v>
      </c>
      <c r="B1536" s="6">
        <v>44</v>
      </c>
      <c r="C1536" s="12">
        <v>3621037</v>
      </c>
      <c r="D1536" t="s">
        <v>43</v>
      </c>
      <c r="E1536" s="12">
        <v>24</v>
      </c>
      <c r="F1536" s="10" t="s">
        <v>20</v>
      </c>
      <c r="I1536" s="87"/>
      <c r="J1536" s="138">
        <v>627.85</v>
      </c>
      <c r="K1536" s="138">
        <v>634.38499999999999</v>
      </c>
      <c r="L1536" s="138">
        <v>621.31500000000005</v>
      </c>
      <c r="M1536" s="28"/>
      <c r="N1536" s="83">
        <v>627.85</v>
      </c>
      <c r="P1536" t="str">
        <f>VLOOKUP(B1536,PTN!A:B,2,FALSE)</f>
        <v>UNIVERSITAS NEGERI YOGYAKARTA</v>
      </c>
      <c r="Q1536" t="str">
        <f t="shared" si="23"/>
        <v>UNIVERSITAS NEGERI YOGYAKARTAPENDIDIKAN KIMIA</v>
      </c>
    </row>
    <row r="1537" spans="1:17" ht="15.75" thickBot="1" x14ac:dyDescent="0.3">
      <c r="A1537" s="7">
        <v>1536</v>
      </c>
      <c r="B1537" s="6">
        <v>44</v>
      </c>
      <c r="C1537" s="13">
        <v>3621014</v>
      </c>
      <c r="D1537" t="s">
        <v>44</v>
      </c>
      <c r="E1537" s="13">
        <v>24</v>
      </c>
      <c r="F1537" s="10" t="s">
        <v>20</v>
      </c>
      <c r="I1537" s="26"/>
      <c r="J1537" s="138">
        <v>645.02</v>
      </c>
      <c r="K1537" s="138">
        <v>652.59</v>
      </c>
      <c r="L1537" s="138">
        <v>637.44999999999993</v>
      </c>
      <c r="M1537" s="27"/>
      <c r="N1537" s="83">
        <v>645.02</v>
      </c>
      <c r="P1537" t="str">
        <f>VLOOKUP(B1537,PTN!A:B,2,FALSE)</f>
        <v>UNIVERSITAS NEGERI YOGYAKARTA</v>
      </c>
      <c r="Q1537" t="str">
        <f t="shared" si="23"/>
        <v>UNIVERSITAS NEGERI YOGYAKARTAPENDIDIKAN MATEMATIKA</v>
      </c>
    </row>
    <row r="1538" spans="1:17" ht="15.75" thickBot="1" x14ac:dyDescent="0.3">
      <c r="A1538" s="7">
        <v>1537</v>
      </c>
      <c r="B1538" s="6">
        <v>44</v>
      </c>
      <c r="C1538" s="12">
        <v>3621084</v>
      </c>
      <c r="D1538" t="s">
        <v>23</v>
      </c>
      <c r="E1538" s="12">
        <v>24</v>
      </c>
      <c r="F1538" s="10" t="s">
        <v>20</v>
      </c>
      <c r="I1538" s="87"/>
      <c r="J1538" s="138" t="s">
        <v>1292</v>
      </c>
      <c r="K1538" s="138" t="s">
        <v>1292</v>
      </c>
      <c r="L1538" s="138" t="s">
        <v>1292</v>
      </c>
      <c r="M1538" s="28"/>
      <c r="N1538" s="83" t="s">
        <v>1292</v>
      </c>
      <c r="P1538" t="str">
        <f>VLOOKUP(B1538,PTN!A:B,2,FALSE)</f>
        <v>UNIVERSITAS NEGERI YOGYAKARTA</v>
      </c>
      <c r="Q1538" t="str">
        <f t="shared" si="23"/>
        <v>UNIVERSITAS NEGERI YOGYAKARTAPENDIDIKAN TEKNIK ELEKTRO</v>
      </c>
    </row>
    <row r="1539" spans="1:17" ht="15.75" thickBot="1" x14ac:dyDescent="0.3">
      <c r="A1539" s="7">
        <v>1538</v>
      </c>
      <c r="B1539" s="6">
        <v>44</v>
      </c>
      <c r="C1539" s="13">
        <v>3621053</v>
      </c>
      <c r="D1539" t="s">
        <v>177</v>
      </c>
      <c r="E1539" s="13">
        <v>12</v>
      </c>
      <c r="F1539" s="10" t="s">
        <v>20</v>
      </c>
      <c r="I1539" s="26"/>
      <c r="J1539" s="138" t="s">
        <v>1292</v>
      </c>
      <c r="K1539" s="138" t="s">
        <v>1292</v>
      </c>
      <c r="L1539" s="138" t="s">
        <v>1292</v>
      </c>
      <c r="M1539" s="27"/>
      <c r="N1539" s="83" t="s">
        <v>1292</v>
      </c>
      <c r="P1539" t="str">
        <f>VLOOKUP(B1539,PTN!A:B,2,FALSE)</f>
        <v>UNIVERSITAS NEGERI YOGYAKARTA</v>
      </c>
      <c r="Q1539" t="str">
        <f t="shared" ref="Q1539:Q1602" si="24">P1539&amp;D1539</f>
        <v>UNIVERSITAS NEGERI YOGYAKARTAPENDIDIKAN TEKNIK ELEKTRONIKA</v>
      </c>
    </row>
    <row r="1540" spans="1:17" ht="15.75" thickBot="1" x14ac:dyDescent="0.3">
      <c r="A1540" s="7">
        <v>1539</v>
      </c>
      <c r="B1540" s="6">
        <v>44</v>
      </c>
      <c r="C1540" s="12">
        <v>3621157</v>
      </c>
      <c r="D1540" t="s">
        <v>502</v>
      </c>
      <c r="E1540" s="12">
        <v>12</v>
      </c>
      <c r="F1540" s="10" t="s">
        <v>20</v>
      </c>
      <c r="I1540" s="87"/>
      <c r="J1540" s="138">
        <v>608.62</v>
      </c>
      <c r="K1540" s="138">
        <v>614.82500000000005</v>
      </c>
      <c r="L1540" s="138">
        <v>602.41499999999996</v>
      </c>
      <c r="M1540" s="28"/>
      <c r="N1540" s="83">
        <v>608.62</v>
      </c>
      <c r="P1540" t="str">
        <f>VLOOKUP(B1540,PTN!A:B,2,FALSE)</f>
        <v>UNIVERSITAS NEGERI YOGYAKARTA</v>
      </c>
      <c r="Q1540" t="str">
        <f t="shared" si="24"/>
        <v>UNIVERSITAS NEGERI YOGYAKARTAPENDIDIKAN TEKNIK INFORMATIKA</v>
      </c>
    </row>
    <row r="1541" spans="1:17" ht="15.75" thickBot="1" x14ac:dyDescent="0.3">
      <c r="A1541" s="7">
        <v>1540</v>
      </c>
      <c r="B1541" s="6">
        <v>44</v>
      </c>
      <c r="C1541" s="13">
        <v>3621142</v>
      </c>
      <c r="D1541" t="s">
        <v>503</v>
      </c>
      <c r="E1541" s="13">
        <v>24</v>
      </c>
      <c r="F1541" s="10" t="s">
        <v>20</v>
      </c>
      <c r="I1541" s="26"/>
      <c r="J1541" s="138" t="s">
        <v>1292</v>
      </c>
      <c r="K1541" s="138" t="s">
        <v>1292</v>
      </c>
      <c r="L1541" s="138" t="s">
        <v>1292</v>
      </c>
      <c r="M1541" s="27"/>
      <c r="N1541" s="83" t="s">
        <v>1292</v>
      </c>
      <c r="P1541" t="str">
        <f>VLOOKUP(B1541,PTN!A:B,2,FALSE)</f>
        <v>UNIVERSITAS NEGERI YOGYAKARTA</v>
      </c>
      <c r="Q1541" t="str">
        <f t="shared" si="24"/>
        <v>UNIVERSITAS NEGERI YOGYAKARTAPENDIDIKAN TEKNIK MEKATRONIKA</v>
      </c>
    </row>
    <row r="1542" spans="1:17" ht="15.75" thickBot="1" x14ac:dyDescent="0.3">
      <c r="A1542" s="7">
        <v>1541</v>
      </c>
      <c r="B1542" s="6">
        <v>44</v>
      </c>
      <c r="C1542" s="12">
        <v>3621076</v>
      </c>
      <c r="D1542" t="s">
        <v>45</v>
      </c>
      <c r="E1542" s="12">
        <v>24</v>
      </c>
      <c r="F1542" s="10" t="s">
        <v>20</v>
      </c>
      <c r="I1542" s="87"/>
      <c r="J1542" s="138" t="s">
        <v>1292</v>
      </c>
      <c r="K1542" s="138" t="s">
        <v>1292</v>
      </c>
      <c r="L1542" s="138" t="s">
        <v>1292</v>
      </c>
      <c r="M1542" s="28"/>
      <c r="N1542" s="83" t="s">
        <v>1292</v>
      </c>
      <c r="P1542" t="str">
        <f>VLOOKUP(B1542,PTN!A:B,2,FALSE)</f>
        <v>UNIVERSITAS NEGERI YOGYAKARTA</v>
      </c>
      <c r="Q1542" t="str">
        <f t="shared" si="24"/>
        <v>UNIVERSITAS NEGERI YOGYAKARTAPENDIDIKAN TEKNIK MESIN</v>
      </c>
    </row>
    <row r="1543" spans="1:17" ht="15.75" thickBot="1" x14ac:dyDescent="0.3">
      <c r="A1543" s="7">
        <v>1542</v>
      </c>
      <c r="B1543" s="6">
        <v>44</v>
      </c>
      <c r="C1543" s="13">
        <v>3621061</v>
      </c>
      <c r="D1543" t="s">
        <v>117</v>
      </c>
      <c r="E1543" s="13">
        <v>24</v>
      </c>
      <c r="F1543" s="10" t="s">
        <v>20</v>
      </c>
      <c r="I1543" s="26"/>
      <c r="J1543" s="138" t="s">
        <v>1292</v>
      </c>
      <c r="K1543" s="138" t="s">
        <v>1292</v>
      </c>
      <c r="L1543" s="138" t="s">
        <v>1292</v>
      </c>
      <c r="M1543" s="27"/>
      <c r="N1543" s="83" t="s">
        <v>1292</v>
      </c>
      <c r="P1543" t="str">
        <f>VLOOKUP(B1543,PTN!A:B,2,FALSE)</f>
        <v>UNIVERSITAS NEGERI YOGYAKARTA</v>
      </c>
      <c r="Q1543" t="str">
        <f t="shared" si="24"/>
        <v>UNIVERSITAS NEGERI YOGYAKARTAPENDIDIKAN TEKNIK OTOMOTIF</v>
      </c>
    </row>
    <row r="1544" spans="1:17" ht="15.75" thickBot="1" x14ac:dyDescent="0.3">
      <c r="A1544" s="7">
        <v>1543</v>
      </c>
      <c r="B1544" s="6">
        <v>44</v>
      </c>
      <c r="C1544" s="12">
        <v>3621092</v>
      </c>
      <c r="D1544" t="s">
        <v>504</v>
      </c>
      <c r="E1544" s="12">
        <v>36</v>
      </c>
      <c r="F1544" s="10" t="s">
        <v>20</v>
      </c>
      <c r="I1544" s="87"/>
      <c r="J1544" s="138">
        <v>601.04</v>
      </c>
      <c r="K1544" s="138">
        <v>608.625</v>
      </c>
      <c r="L1544" s="138">
        <v>593.45499999999993</v>
      </c>
      <c r="M1544" s="28"/>
      <c r="N1544" s="83">
        <v>601.04</v>
      </c>
      <c r="P1544" t="str">
        <f>VLOOKUP(B1544,PTN!A:B,2,FALSE)</f>
        <v>UNIVERSITAS NEGERI YOGYAKARTA</v>
      </c>
      <c r="Q1544" t="str">
        <f t="shared" si="24"/>
        <v>UNIVERSITAS NEGERI YOGYAKARTAPENDIDIKAN TEKNIK SIPIL &amp; PERENCANAAN</v>
      </c>
    </row>
    <row r="1545" spans="1:17" ht="15.75" thickBot="1" x14ac:dyDescent="0.3">
      <c r="A1545" s="7">
        <v>1544</v>
      </c>
      <c r="B1545" s="6">
        <v>44</v>
      </c>
      <c r="C1545" s="13">
        <v>3621424</v>
      </c>
      <c r="D1545" t="s">
        <v>505</v>
      </c>
      <c r="E1545" s="13">
        <v>36</v>
      </c>
      <c r="F1545" s="10" t="s">
        <v>20</v>
      </c>
      <c r="I1545" s="26"/>
      <c r="J1545" s="138" t="s">
        <v>1292</v>
      </c>
      <c r="K1545" s="138" t="s">
        <v>1292</v>
      </c>
      <c r="L1545" s="138" t="s">
        <v>1292</v>
      </c>
      <c r="M1545" s="27"/>
      <c r="N1545" s="83" t="s">
        <v>1292</v>
      </c>
      <c r="P1545" t="str">
        <f>VLOOKUP(B1545,PTN!A:B,2,FALSE)</f>
        <v>UNIVERSITAS NEGERI YOGYAKARTA</v>
      </c>
      <c r="Q1545" t="str">
        <f t="shared" si="24"/>
        <v>UNIVERSITAS NEGERI YOGYAKARTAPGSD PENDIDIKAN JASMANI</v>
      </c>
    </row>
    <row r="1546" spans="1:17" ht="15.75" thickBot="1" x14ac:dyDescent="0.3">
      <c r="A1546" s="7">
        <v>1545</v>
      </c>
      <c r="B1546" s="6">
        <v>44</v>
      </c>
      <c r="C1546" s="12">
        <v>3621397</v>
      </c>
      <c r="D1546" t="s">
        <v>90</v>
      </c>
      <c r="E1546" s="12">
        <v>12</v>
      </c>
      <c r="F1546" s="10" t="s">
        <v>20</v>
      </c>
      <c r="I1546" s="87"/>
      <c r="J1546" s="138">
        <v>637.96</v>
      </c>
      <c r="K1546" s="138">
        <v>644.63499999999999</v>
      </c>
      <c r="L1546" s="138">
        <v>631.28500000000008</v>
      </c>
      <c r="M1546" s="28"/>
      <c r="N1546" s="83">
        <v>637.96</v>
      </c>
      <c r="P1546" t="str">
        <f>VLOOKUP(B1546,PTN!A:B,2,FALSE)</f>
        <v>UNIVERSITAS NEGERI YOGYAKARTA</v>
      </c>
      <c r="Q1546" t="str">
        <f t="shared" si="24"/>
        <v>UNIVERSITAS NEGERI YOGYAKARTASTATISTIKA</v>
      </c>
    </row>
    <row r="1547" spans="1:17" ht="15.75" thickBot="1" x14ac:dyDescent="0.3">
      <c r="A1547" s="7">
        <v>1546</v>
      </c>
      <c r="B1547" s="6">
        <v>44</v>
      </c>
      <c r="C1547" s="13">
        <v>3621432</v>
      </c>
      <c r="D1547" t="s">
        <v>48</v>
      </c>
      <c r="E1547" s="13">
        <v>12</v>
      </c>
      <c r="F1547" s="10" t="s">
        <v>20</v>
      </c>
      <c r="I1547" s="26"/>
      <c r="J1547" s="138">
        <v>603.73</v>
      </c>
      <c r="K1547" s="138">
        <v>608.86</v>
      </c>
      <c r="L1547" s="138">
        <v>598.6</v>
      </c>
      <c r="M1547" s="27"/>
      <c r="N1547" s="83">
        <v>603.73</v>
      </c>
      <c r="P1547" t="str">
        <f>VLOOKUP(B1547,PTN!A:B,2,FALSE)</f>
        <v>UNIVERSITAS NEGERI YOGYAKARTA</v>
      </c>
      <c r="Q1547" t="str">
        <f t="shared" si="24"/>
        <v>UNIVERSITAS NEGERI YOGYAKARTATEKNIK ELEKTRO</v>
      </c>
    </row>
    <row r="1548" spans="1:17" ht="15.75" thickBot="1" x14ac:dyDescent="0.3">
      <c r="A1548" s="7">
        <v>1547</v>
      </c>
      <c r="B1548" s="6">
        <v>44</v>
      </c>
      <c r="C1548" s="12">
        <v>3621455</v>
      </c>
      <c r="D1548" t="s">
        <v>506</v>
      </c>
      <c r="E1548" s="12">
        <v>12</v>
      </c>
      <c r="F1548" s="10" t="s">
        <v>20</v>
      </c>
      <c r="I1548" s="87"/>
      <c r="J1548" s="138">
        <v>600.75</v>
      </c>
      <c r="K1548" s="138">
        <v>608.65499999999997</v>
      </c>
      <c r="L1548" s="138">
        <v>592.84500000000003</v>
      </c>
      <c r="M1548" s="28"/>
      <c r="N1548" s="83">
        <v>600.75</v>
      </c>
      <c r="P1548" t="str">
        <f>VLOOKUP(B1548,PTN!A:B,2,FALSE)</f>
        <v>UNIVERSITAS NEGERI YOGYAKARTA</v>
      </c>
      <c r="Q1548" t="str">
        <f t="shared" si="24"/>
        <v>UNIVERSITAS NEGERI YOGYAKARTATEKNIK MANUFAKTUR</v>
      </c>
    </row>
    <row r="1549" spans="1:17" ht="15.75" thickBot="1" x14ac:dyDescent="0.3">
      <c r="A1549" s="7">
        <v>1548</v>
      </c>
      <c r="B1549" s="6">
        <v>44</v>
      </c>
      <c r="C1549" s="16">
        <v>3621447</v>
      </c>
      <c r="D1549" t="s">
        <v>26</v>
      </c>
      <c r="E1549" s="16">
        <v>12</v>
      </c>
      <c r="F1549" s="10" t="s">
        <v>20</v>
      </c>
      <c r="I1549" s="26"/>
      <c r="J1549" s="138">
        <v>638.6</v>
      </c>
      <c r="K1549" s="138">
        <v>647.46500000000003</v>
      </c>
      <c r="L1549" s="138">
        <v>629.73500000000001</v>
      </c>
      <c r="M1549" s="27"/>
      <c r="N1549" s="83">
        <v>638.6</v>
      </c>
      <c r="P1549" t="str">
        <f>VLOOKUP(B1549,PTN!A:B,2,FALSE)</f>
        <v>UNIVERSITAS NEGERI YOGYAKARTA</v>
      </c>
      <c r="Q1549" t="str">
        <f t="shared" si="24"/>
        <v>UNIVERSITAS NEGERI YOGYAKARTATEKNOLOGI INFORMASI</v>
      </c>
    </row>
    <row r="1550" spans="1:17" ht="16.5" thickTop="1" thickBot="1" x14ac:dyDescent="0.3">
      <c r="A1550" s="7">
        <v>1549</v>
      </c>
      <c r="B1550" s="6">
        <v>44</v>
      </c>
      <c r="C1550" s="17">
        <v>3622226</v>
      </c>
      <c r="D1550" t="s">
        <v>443</v>
      </c>
      <c r="E1550" s="17">
        <v>24</v>
      </c>
      <c r="F1550" s="10" t="s">
        <v>13</v>
      </c>
      <c r="I1550" s="20"/>
      <c r="J1550" s="138">
        <v>621.82000000000005</v>
      </c>
      <c r="K1550" s="138">
        <v>629.95773000000008</v>
      </c>
      <c r="L1550" s="138">
        <v>613.68227000000002</v>
      </c>
      <c r="M1550" s="21"/>
      <c r="N1550" s="83">
        <v>621.82000000000005</v>
      </c>
      <c r="P1550" t="str">
        <f>VLOOKUP(B1550,PTN!A:B,2,FALSE)</f>
        <v>UNIVERSITAS NEGERI YOGYAKARTA</v>
      </c>
      <c r="Q1550" t="str">
        <f t="shared" si="24"/>
        <v>UNIVERSITAS NEGERI YOGYAKARTAADMINISTRASI NEGARA</v>
      </c>
    </row>
    <row r="1551" spans="1:17" ht="15.75" thickBot="1" x14ac:dyDescent="0.3">
      <c r="A1551" s="7">
        <v>1550</v>
      </c>
      <c r="B1551" s="6">
        <v>44</v>
      </c>
      <c r="C1551" s="18">
        <v>3622192</v>
      </c>
      <c r="D1551" t="s">
        <v>55</v>
      </c>
      <c r="E1551" s="18">
        <v>32</v>
      </c>
      <c r="F1551" s="10" t="s">
        <v>13</v>
      </c>
      <c r="I1551" s="22"/>
      <c r="J1551" s="138">
        <v>639.84</v>
      </c>
      <c r="K1551" s="138">
        <v>647.97773000000007</v>
      </c>
      <c r="L1551" s="138">
        <v>631.70227</v>
      </c>
      <c r="M1551" s="21"/>
      <c r="N1551" s="83">
        <v>639.84</v>
      </c>
      <c r="P1551" t="str">
        <f>VLOOKUP(B1551,PTN!A:B,2,FALSE)</f>
        <v>UNIVERSITAS NEGERI YOGYAKARTA</v>
      </c>
      <c r="Q1551" t="str">
        <f t="shared" si="24"/>
        <v>UNIVERSITAS NEGERI YOGYAKARTAAKUNTANSI</v>
      </c>
    </row>
    <row r="1552" spans="1:17" ht="16.5" thickTop="1" thickBot="1" x14ac:dyDescent="0.3">
      <c r="A1552" s="7">
        <v>1551</v>
      </c>
      <c r="B1552" s="6">
        <v>44</v>
      </c>
      <c r="C1552" s="17">
        <v>3622315</v>
      </c>
      <c r="D1552" t="s">
        <v>507</v>
      </c>
      <c r="E1552" s="17">
        <v>24</v>
      </c>
      <c r="F1552" s="10" t="s">
        <v>13</v>
      </c>
      <c r="I1552" s="36"/>
      <c r="J1552" s="138">
        <v>596.19000000000005</v>
      </c>
      <c r="K1552" s="138">
        <v>604.32773000000009</v>
      </c>
      <c r="L1552" s="138">
        <v>588.05227000000002</v>
      </c>
      <c r="M1552" s="31"/>
      <c r="N1552" s="83">
        <v>596.19000000000005</v>
      </c>
      <c r="P1552" t="str">
        <f>VLOOKUP(B1552,PTN!A:B,2,FALSE)</f>
        <v>UNIVERSITAS NEGERI YOGYAKARTA</v>
      </c>
      <c r="Q1552" t="str">
        <f t="shared" si="24"/>
        <v>UNIVERSITAS NEGERI YOGYAKARTABAHASA. DAN SASTRA INDONESIA</v>
      </c>
    </row>
    <row r="1553" spans="1:17" ht="16.5" thickTop="1" thickBot="1" x14ac:dyDescent="0.3">
      <c r="A1553" s="7">
        <v>1552</v>
      </c>
      <c r="B1553" s="6">
        <v>44</v>
      </c>
      <c r="C1553" s="18">
        <v>3622323</v>
      </c>
      <c r="D1553" t="s">
        <v>311</v>
      </c>
      <c r="E1553" s="18">
        <v>24</v>
      </c>
      <c r="F1553" s="10" t="s">
        <v>13</v>
      </c>
      <c r="I1553" s="38"/>
      <c r="J1553" s="138">
        <v>614.63</v>
      </c>
      <c r="K1553" s="138">
        <v>622.76773000000003</v>
      </c>
      <c r="L1553" s="138">
        <v>606.49226999999996</v>
      </c>
      <c r="M1553" s="32"/>
      <c r="N1553" s="83">
        <v>614.63</v>
      </c>
      <c r="P1553" t="str">
        <f>VLOOKUP(B1553,PTN!A:B,2,FALSE)</f>
        <v>UNIVERSITAS NEGERI YOGYAKARTA</v>
      </c>
      <c r="Q1553" t="str">
        <f t="shared" si="24"/>
        <v>UNIVERSITAS NEGERI YOGYAKARTABAHASA DAN SASTRA INGGRIS</v>
      </c>
    </row>
    <row r="1554" spans="1:17" ht="15.75" thickBot="1" x14ac:dyDescent="0.3">
      <c r="A1554" s="7">
        <v>1553</v>
      </c>
      <c r="B1554" s="6">
        <v>44</v>
      </c>
      <c r="C1554" s="17">
        <v>3622025</v>
      </c>
      <c r="D1554" t="s">
        <v>319</v>
      </c>
      <c r="E1554" s="17">
        <v>24</v>
      </c>
      <c r="F1554" s="10" t="s">
        <v>13</v>
      </c>
      <c r="I1554" s="39"/>
      <c r="J1554" s="138">
        <v>603.22</v>
      </c>
      <c r="K1554" s="138">
        <v>611.35773000000006</v>
      </c>
      <c r="L1554" s="138">
        <v>595.08226999999999</v>
      </c>
      <c r="M1554" s="33"/>
      <c r="N1554" s="83">
        <v>603.22</v>
      </c>
      <c r="P1554" t="str">
        <f>VLOOKUP(B1554,PTN!A:B,2,FALSE)</f>
        <v>UNIVERSITAS NEGERI YOGYAKARTA</v>
      </c>
      <c r="Q1554" t="str">
        <f t="shared" si="24"/>
        <v>UNIVERSITAS NEGERI YOGYAKARTABIMBINGAN &amp; KONSELING</v>
      </c>
    </row>
    <row r="1555" spans="1:17" ht="15.75" thickBot="1" x14ac:dyDescent="0.3">
      <c r="A1555" s="7">
        <v>1554</v>
      </c>
      <c r="B1555" s="6">
        <v>44</v>
      </c>
      <c r="C1555" s="18">
        <v>3622377</v>
      </c>
      <c r="D1555" t="s">
        <v>60</v>
      </c>
      <c r="E1555" s="18">
        <v>24</v>
      </c>
      <c r="F1555" s="10" t="s">
        <v>13</v>
      </c>
      <c r="I1555" s="38"/>
      <c r="J1555" s="138">
        <v>615.41999999999996</v>
      </c>
      <c r="K1555" s="138">
        <v>623.55772999999999</v>
      </c>
      <c r="L1555" s="138">
        <v>607.28226999999993</v>
      </c>
      <c r="M1555" s="32"/>
      <c r="N1555" s="83">
        <v>615.41999999999996</v>
      </c>
      <c r="P1555" t="str">
        <f>VLOOKUP(B1555,PTN!A:B,2,FALSE)</f>
        <v>UNIVERSITAS NEGERI YOGYAKARTA</v>
      </c>
      <c r="Q1555" t="str">
        <f t="shared" si="24"/>
        <v>UNIVERSITAS NEGERI YOGYAKARTAILMU KOMUNIKASI</v>
      </c>
    </row>
    <row r="1556" spans="1:17" ht="15.75" thickBot="1" x14ac:dyDescent="0.3">
      <c r="A1556" s="7">
        <v>1555</v>
      </c>
      <c r="B1556" s="6">
        <v>44</v>
      </c>
      <c r="C1556" s="17">
        <v>3622184</v>
      </c>
      <c r="D1556" t="s">
        <v>148</v>
      </c>
      <c r="E1556" s="17">
        <v>24</v>
      </c>
      <c r="F1556" s="10" t="s">
        <v>13</v>
      </c>
      <c r="I1556" s="39"/>
      <c r="J1556" s="138">
        <v>598.41999999999996</v>
      </c>
      <c r="K1556" s="138">
        <v>606.55772999999999</v>
      </c>
      <c r="L1556" s="138">
        <v>590.28226999999993</v>
      </c>
      <c r="M1556" s="33"/>
      <c r="N1556" s="83">
        <v>598.41999999999996</v>
      </c>
      <c r="P1556" t="str">
        <f>VLOOKUP(B1556,PTN!A:B,2,FALSE)</f>
        <v>UNIVERSITAS NEGERI YOGYAKARTA</v>
      </c>
      <c r="Q1556" t="str">
        <f t="shared" si="24"/>
        <v>UNIVERSITAS NEGERI YOGYAKARTAILMU SEJARAH</v>
      </c>
    </row>
    <row r="1557" spans="1:17" ht="15.75" thickBot="1" x14ac:dyDescent="0.3">
      <c r="A1557" s="7">
        <v>1556</v>
      </c>
      <c r="B1557" s="6">
        <v>44</v>
      </c>
      <c r="C1557" s="18">
        <v>3622234</v>
      </c>
      <c r="D1557" t="s">
        <v>508</v>
      </c>
      <c r="E1557" s="18">
        <v>12</v>
      </c>
      <c r="F1557" s="10" t="s">
        <v>13</v>
      </c>
      <c r="I1557" s="38"/>
      <c r="J1557" s="138">
        <v>597.67999999999995</v>
      </c>
      <c r="K1557" s="138">
        <v>605.81772999999998</v>
      </c>
      <c r="L1557" s="138">
        <v>589.54226999999992</v>
      </c>
      <c r="M1557" s="32"/>
      <c r="N1557" s="83">
        <v>597.67999999999995</v>
      </c>
      <c r="P1557" t="str">
        <f>VLOOKUP(B1557,PTN!A:B,2,FALSE)</f>
        <v>UNIVERSITAS NEGERI YOGYAKARTA</v>
      </c>
      <c r="Q1557" t="str">
        <f t="shared" si="24"/>
        <v>UNIVERSITAS NEGERI YOGYAKARTAKEBIJAKAN PENDIDIKAN</v>
      </c>
    </row>
    <row r="1558" spans="1:17" ht="15.75" thickBot="1" x14ac:dyDescent="0.3">
      <c r="A1558" s="7">
        <v>1557</v>
      </c>
      <c r="B1558" s="6">
        <v>44</v>
      </c>
      <c r="C1558" s="17">
        <v>3622176</v>
      </c>
      <c r="D1558" t="s">
        <v>61</v>
      </c>
      <c r="E1558" s="17">
        <v>53</v>
      </c>
      <c r="F1558" s="10" t="s">
        <v>13</v>
      </c>
      <c r="I1558" s="39"/>
      <c r="J1558" s="138">
        <v>626.55999999999995</v>
      </c>
      <c r="K1558" s="138">
        <v>634.69772999999998</v>
      </c>
      <c r="L1558" s="138">
        <v>618.42226999999991</v>
      </c>
      <c r="M1558" s="33"/>
      <c r="N1558" s="83">
        <v>626.55999999999995</v>
      </c>
      <c r="P1558" t="str">
        <f>VLOOKUP(B1558,PTN!A:B,2,FALSE)</f>
        <v>UNIVERSITAS NEGERI YOGYAKARTA</v>
      </c>
      <c r="Q1558" t="str">
        <f t="shared" si="24"/>
        <v>UNIVERSITAS NEGERI YOGYAKARTAMANAJEMEN</v>
      </c>
    </row>
    <row r="1559" spans="1:17" ht="15.75" thickBot="1" x14ac:dyDescent="0.3">
      <c r="A1559" s="7">
        <v>1558</v>
      </c>
      <c r="B1559" s="6">
        <v>44</v>
      </c>
      <c r="C1559" s="18">
        <v>3622017</v>
      </c>
      <c r="D1559" t="s">
        <v>321</v>
      </c>
      <c r="E1559" s="18">
        <v>24</v>
      </c>
      <c r="F1559" s="10" t="s">
        <v>13</v>
      </c>
      <c r="I1559" s="38"/>
      <c r="J1559" s="138">
        <v>607.41</v>
      </c>
      <c r="K1559" s="138">
        <v>615.54773</v>
      </c>
      <c r="L1559" s="138">
        <v>599.27226999999993</v>
      </c>
      <c r="M1559" s="32"/>
      <c r="N1559" s="83">
        <v>607.41</v>
      </c>
      <c r="P1559" t="str">
        <f>VLOOKUP(B1559,PTN!A:B,2,FALSE)</f>
        <v>UNIVERSITAS NEGERI YOGYAKARTA</v>
      </c>
      <c r="Q1559" t="str">
        <f t="shared" si="24"/>
        <v>UNIVERSITAS NEGERI YOGYAKARTAMANAJEMEN PENDIDIKAN</v>
      </c>
    </row>
    <row r="1560" spans="1:17" ht="15.75" thickBot="1" x14ac:dyDescent="0.3">
      <c r="A1560" s="7">
        <v>1559</v>
      </c>
      <c r="B1560" s="6">
        <v>44</v>
      </c>
      <c r="C1560" s="17">
        <v>3622145</v>
      </c>
      <c r="D1560" t="s">
        <v>121</v>
      </c>
      <c r="E1560" s="17">
        <v>21</v>
      </c>
      <c r="F1560" s="10" t="s">
        <v>13</v>
      </c>
      <c r="I1560" s="39"/>
      <c r="J1560" s="138">
        <v>605.70000000000005</v>
      </c>
      <c r="K1560" s="138">
        <v>613.83773000000008</v>
      </c>
      <c r="L1560" s="138">
        <v>597.56227000000001</v>
      </c>
      <c r="M1560" s="33"/>
      <c r="N1560" s="83">
        <v>605.70000000000005</v>
      </c>
      <c r="P1560" t="str">
        <f>VLOOKUP(B1560,PTN!A:B,2,FALSE)</f>
        <v>UNIVERSITAS NEGERI YOGYAKARTA</v>
      </c>
      <c r="Q1560" t="str">
        <f t="shared" si="24"/>
        <v>UNIVERSITAS NEGERI YOGYAKARTAPENDIDIKAN ADMINISTRASI PERKANTORAN</v>
      </c>
    </row>
    <row r="1561" spans="1:17" ht="15.75" thickBot="1" x14ac:dyDescent="0.3">
      <c r="A1561" s="7">
        <v>1560</v>
      </c>
      <c r="B1561" s="6">
        <v>44</v>
      </c>
      <c r="C1561" s="18">
        <v>3622153</v>
      </c>
      <c r="D1561" t="s">
        <v>122</v>
      </c>
      <c r="E1561" s="18">
        <v>21</v>
      </c>
      <c r="F1561" s="10" t="s">
        <v>13</v>
      </c>
      <c r="I1561" s="38"/>
      <c r="J1561" s="138">
        <v>611.9</v>
      </c>
      <c r="K1561" s="138">
        <v>620.03773000000001</v>
      </c>
      <c r="L1561" s="138">
        <v>603.76226999999994</v>
      </c>
      <c r="M1561" s="32"/>
      <c r="N1561" s="83">
        <v>611.9</v>
      </c>
      <c r="P1561" t="str">
        <f>VLOOKUP(B1561,PTN!A:B,2,FALSE)</f>
        <v>UNIVERSITAS NEGERI YOGYAKARTA</v>
      </c>
      <c r="Q1561" t="str">
        <f t="shared" si="24"/>
        <v>UNIVERSITAS NEGERI YOGYAKARTAPENDIDIKAN AKUNTANSI</v>
      </c>
    </row>
    <row r="1562" spans="1:17" ht="15.75" thickBot="1" x14ac:dyDescent="0.3">
      <c r="A1562" s="7">
        <v>1561</v>
      </c>
      <c r="B1562" s="6">
        <v>44</v>
      </c>
      <c r="C1562" s="17">
        <v>3622354</v>
      </c>
      <c r="D1562" t="s">
        <v>99</v>
      </c>
      <c r="E1562" s="17">
        <v>33</v>
      </c>
      <c r="F1562" s="10" t="s">
        <v>13</v>
      </c>
      <c r="I1562" s="39"/>
      <c r="J1562" s="138">
        <v>597.19000000000005</v>
      </c>
      <c r="K1562" s="138">
        <v>605.32773000000009</v>
      </c>
      <c r="L1562" s="138">
        <v>589.05227000000002</v>
      </c>
      <c r="M1562" s="33"/>
      <c r="N1562" s="83">
        <v>597.19000000000005</v>
      </c>
      <c r="P1562" t="str">
        <f>VLOOKUP(B1562,PTN!A:B,2,FALSE)</f>
        <v>UNIVERSITAS NEGERI YOGYAKARTA</v>
      </c>
      <c r="Q1562" t="str">
        <f t="shared" si="24"/>
        <v>UNIVERSITAS NEGERI YOGYAKARTAPENDIDIKAN BAHASA DAN SASTRA INDONESIA</v>
      </c>
    </row>
    <row r="1563" spans="1:17" ht="15.75" thickBot="1" x14ac:dyDescent="0.3">
      <c r="A1563" s="7">
        <v>1562</v>
      </c>
      <c r="B1563" s="6">
        <v>44</v>
      </c>
      <c r="C1563" s="18">
        <v>3622273</v>
      </c>
      <c r="D1563" t="s">
        <v>71</v>
      </c>
      <c r="E1563" s="18">
        <v>36</v>
      </c>
      <c r="F1563" s="10" t="s">
        <v>13</v>
      </c>
      <c r="I1563" s="38"/>
      <c r="J1563" s="138">
        <v>621.41</v>
      </c>
      <c r="K1563" s="138">
        <v>629.54773</v>
      </c>
      <c r="L1563" s="138">
        <v>613.27226999999993</v>
      </c>
      <c r="M1563" s="32"/>
      <c r="N1563" s="83">
        <v>621.41</v>
      </c>
      <c r="P1563" t="str">
        <f>VLOOKUP(B1563,PTN!A:B,2,FALSE)</f>
        <v>UNIVERSITAS NEGERI YOGYAKARTA</v>
      </c>
      <c r="Q1563" t="str">
        <f t="shared" si="24"/>
        <v>UNIVERSITAS NEGERI YOGYAKARTAPENDIDIKAN BAHASA INGGRIS</v>
      </c>
    </row>
    <row r="1564" spans="1:17" ht="15.75" thickBot="1" x14ac:dyDescent="0.3">
      <c r="A1564" s="7">
        <v>1563</v>
      </c>
      <c r="B1564" s="6">
        <v>44</v>
      </c>
      <c r="C1564" s="17">
        <v>3622362</v>
      </c>
      <c r="D1564" t="s">
        <v>472</v>
      </c>
      <c r="E1564" s="17">
        <v>33</v>
      </c>
      <c r="F1564" s="10" t="s">
        <v>13</v>
      </c>
      <c r="I1564" s="39"/>
      <c r="J1564" s="138">
        <v>580.11</v>
      </c>
      <c r="K1564" s="138">
        <v>588.24773000000005</v>
      </c>
      <c r="L1564" s="138">
        <v>571.97226999999998</v>
      </c>
      <c r="M1564" s="33"/>
      <c r="N1564" s="83">
        <v>580.11</v>
      </c>
      <c r="P1564" t="str">
        <f>VLOOKUP(B1564,PTN!A:B,2,FALSE)</f>
        <v>UNIVERSITAS NEGERI YOGYAKARTA</v>
      </c>
      <c r="Q1564" t="str">
        <f t="shared" si="24"/>
        <v>UNIVERSITAS NEGERI YOGYAKARTAPENDIDIKAN BAHASA JAWA</v>
      </c>
    </row>
    <row r="1565" spans="1:17" ht="15.75" thickBot="1" x14ac:dyDescent="0.3">
      <c r="A1565" s="7">
        <v>1564</v>
      </c>
      <c r="B1565" s="6">
        <v>44</v>
      </c>
      <c r="C1565" s="18">
        <v>3622281</v>
      </c>
      <c r="D1565" t="s">
        <v>124</v>
      </c>
      <c r="E1565" s="18">
        <v>24</v>
      </c>
      <c r="F1565" s="10" t="s">
        <v>13</v>
      </c>
      <c r="I1565" s="38"/>
      <c r="J1565" s="138">
        <v>590.38</v>
      </c>
      <c r="K1565" s="138">
        <v>598.51773000000003</v>
      </c>
      <c r="L1565" s="138">
        <v>582.24226999999996</v>
      </c>
      <c r="M1565" s="32"/>
      <c r="N1565" s="83">
        <v>590.38</v>
      </c>
      <c r="P1565" t="str">
        <f>VLOOKUP(B1565,PTN!A:B,2,FALSE)</f>
        <v>UNIVERSITAS NEGERI YOGYAKARTA</v>
      </c>
      <c r="Q1565" t="str">
        <f t="shared" si="24"/>
        <v>UNIVERSITAS NEGERI YOGYAKARTAPENDIDIKAN BAHASA JERMAN</v>
      </c>
    </row>
    <row r="1566" spans="1:17" ht="15.75" thickBot="1" x14ac:dyDescent="0.3">
      <c r="A1566" s="7">
        <v>1565</v>
      </c>
      <c r="B1566" s="6">
        <v>44</v>
      </c>
      <c r="C1566" s="17">
        <v>3622296</v>
      </c>
      <c r="D1566" t="s">
        <v>326</v>
      </c>
      <c r="E1566" s="17">
        <v>21</v>
      </c>
      <c r="F1566" s="10" t="s">
        <v>13</v>
      </c>
      <c r="I1566" s="39"/>
      <c r="J1566" s="138">
        <v>580.58000000000004</v>
      </c>
      <c r="K1566" s="138">
        <v>588.71773000000007</v>
      </c>
      <c r="L1566" s="138">
        <v>572.44227000000001</v>
      </c>
      <c r="M1566" s="33"/>
      <c r="N1566" s="83">
        <v>580.58000000000004</v>
      </c>
      <c r="P1566" t="str">
        <f>VLOOKUP(B1566,PTN!A:B,2,FALSE)</f>
        <v>UNIVERSITAS NEGERI YOGYAKARTA</v>
      </c>
      <c r="Q1566" t="str">
        <f t="shared" si="24"/>
        <v>UNIVERSITAS NEGERI YOGYAKARTAPENDIDIKAN BAHASA PRANCIS</v>
      </c>
    </row>
    <row r="1567" spans="1:17" ht="15.75" thickBot="1" x14ac:dyDescent="0.3">
      <c r="A1567" s="7">
        <v>1566</v>
      </c>
      <c r="B1567" s="6">
        <v>44</v>
      </c>
      <c r="C1567" s="18">
        <v>3622161</v>
      </c>
      <c r="D1567" t="s">
        <v>100</v>
      </c>
      <c r="E1567" s="18">
        <v>21</v>
      </c>
      <c r="F1567" s="10" t="s">
        <v>13</v>
      </c>
      <c r="I1567" s="38"/>
      <c r="J1567" s="138">
        <v>607.16</v>
      </c>
      <c r="K1567" s="138">
        <v>615.29773</v>
      </c>
      <c r="L1567" s="138">
        <v>599.02226999999993</v>
      </c>
      <c r="M1567" s="32"/>
      <c r="N1567" s="83">
        <v>607.16</v>
      </c>
      <c r="P1567" t="str">
        <f>VLOOKUP(B1567,PTN!A:B,2,FALSE)</f>
        <v>UNIVERSITAS NEGERI YOGYAKARTA</v>
      </c>
      <c r="Q1567" t="str">
        <f t="shared" si="24"/>
        <v>UNIVERSITAS NEGERI YOGYAKARTAPENDIDIKAN EKONOMI</v>
      </c>
    </row>
    <row r="1568" spans="1:17" ht="15.75" thickBot="1" x14ac:dyDescent="0.3">
      <c r="A1568" s="7">
        <v>1567</v>
      </c>
      <c r="B1568" s="6">
        <v>44</v>
      </c>
      <c r="C1568" s="17">
        <v>3622095</v>
      </c>
      <c r="D1568" t="s">
        <v>72</v>
      </c>
      <c r="E1568" s="17">
        <v>24</v>
      </c>
      <c r="F1568" s="10" t="s">
        <v>13</v>
      </c>
      <c r="I1568" s="39"/>
      <c r="J1568" s="138">
        <v>611.84</v>
      </c>
      <c r="K1568" s="138">
        <v>619.97773000000007</v>
      </c>
      <c r="L1568" s="138">
        <v>603.70227</v>
      </c>
      <c r="M1568" s="33"/>
      <c r="N1568" s="83">
        <v>611.84</v>
      </c>
      <c r="P1568" t="str">
        <f>VLOOKUP(B1568,PTN!A:B,2,FALSE)</f>
        <v>UNIVERSITAS NEGERI YOGYAKARTA</v>
      </c>
      <c r="Q1568" t="str">
        <f t="shared" si="24"/>
        <v>UNIVERSITAS NEGERI YOGYAKARTAPENDIDIKAN GEOGRAFI</v>
      </c>
    </row>
    <row r="1569" spans="1:17" ht="15.75" thickBot="1" x14ac:dyDescent="0.3">
      <c r="A1569" s="7">
        <v>1568</v>
      </c>
      <c r="B1569" s="6">
        <v>44</v>
      </c>
      <c r="C1569" s="18">
        <v>3622257</v>
      </c>
      <c r="D1569" t="s">
        <v>101</v>
      </c>
      <c r="E1569" s="18">
        <v>24</v>
      </c>
      <c r="F1569" s="10" t="s">
        <v>13</v>
      </c>
      <c r="I1569" s="38"/>
      <c r="J1569" s="138">
        <v>579.77</v>
      </c>
      <c r="K1569" s="138">
        <v>587.90773000000002</v>
      </c>
      <c r="L1569" s="138">
        <v>571.63226999999995</v>
      </c>
      <c r="M1569" s="32"/>
      <c r="N1569" s="83">
        <v>579.77</v>
      </c>
      <c r="P1569" t="str">
        <f>VLOOKUP(B1569,PTN!A:B,2,FALSE)</f>
        <v>UNIVERSITAS NEGERI YOGYAKARTA</v>
      </c>
      <c r="Q1569" t="str">
        <f t="shared" si="24"/>
        <v>UNIVERSITAS NEGERI YOGYAKARTAPENDIDIKAN GURU PAUD</v>
      </c>
    </row>
    <row r="1570" spans="1:17" ht="15.75" thickBot="1" x14ac:dyDescent="0.3">
      <c r="A1570" s="7">
        <v>1569</v>
      </c>
      <c r="B1570" s="6">
        <v>44</v>
      </c>
      <c r="C1570" s="17">
        <v>3622242</v>
      </c>
      <c r="D1570" t="s">
        <v>73</v>
      </c>
      <c r="E1570" s="17">
        <v>84</v>
      </c>
      <c r="F1570" s="10" t="s">
        <v>13</v>
      </c>
      <c r="I1570" s="39"/>
      <c r="J1570" s="138">
        <v>610.63</v>
      </c>
      <c r="K1570" s="138">
        <v>618.76773000000003</v>
      </c>
      <c r="L1570" s="138">
        <v>602.49226999999996</v>
      </c>
      <c r="M1570" s="33"/>
      <c r="N1570" s="83">
        <v>610.63</v>
      </c>
      <c r="P1570" t="str">
        <f>VLOOKUP(B1570,PTN!A:B,2,FALSE)</f>
        <v>UNIVERSITAS NEGERI YOGYAKARTA</v>
      </c>
      <c r="Q1570" t="str">
        <f t="shared" si="24"/>
        <v>UNIVERSITAS NEGERI YOGYAKARTAPENDIDIKAN GURU SEKOLAH DASAR</v>
      </c>
    </row>
    <row r="1571" spans="1:17" ht="15.75" thickBot="1" x14ac:dyDescent="0.3">
      <c r="A1571" s="7">
        <v>1570</v>
      </c>
      <c r="B1571" s="6">
        <v>44</v>
      </c>
      <c r="C1571" s="18">
        <v>3622211</v>
      </c>
      <c r="D1571" t="s">
        <v>409</v>
      </c>
      <c r="E1571" s="18">
        <v>24</v>
      </c>
      <c r="F1571" s="10" t="s">
        <v>13</v>
      </c>
      <c r="I1571" s="38"/>
      <c r="J1571" s="138">
        <v>595.94000000000005</v>
      </c>
      <c r="K1571" s="138">
        <v>604.07773000000009</v>
      </c>
      <c r="L1571" s="138">
        <v>587.80227000000002</v>
      </c>
      <c r="M1571" s="32"/>
      <c r="N1571" s="83">
        <v>595.94000000000005</v>
      </c>
      <c r="P1571" t="str">
        <f>VLOOKUP(B1571,PTN!A:B,2,FALSE)</f>
        <v>UNIVERSITAS NEGERI YOGYAKARTA</v>
      </c>
      <c r="Q1571" t="str">
        <f t="shared" si="24"/>
        <v>UNIVERSITAS NEGERI YOGYAKARTAPENDIDIKAN IPS</v>
      </c>
    </row>
    <row r="1572" spans="1:17" ht="15.75" thickBot="1" x14ac:dyDescent="0.3">
      <c r="A1572" s="7">
        <v>1571</v>
      </c>
      <c r="B1572" s="6">
        <v>44</v>
      </c>
      <c r="C1572" s="17">
        <v>3622072</v>
      </c>
      <c r="D1572" t="s">
        <v>509</v>
      </c>
      <c r="E1572" s="17">
        <v>24</v>
      </c>
      <c r="F1572" s="10" t="s">
        <v>13</v>
      </c>
      <c r="I1572" s="39"/>
      <c r="J1572" s="138">
        <v>590.57000000000005</v>
      </c>
      <c r="K1572" s="138">
        <v>598.70773000000008</v>
      </c>
      <c r="L1572" s="138">
        <v>582.43227000000002</v>
      </c>
      <c r="M1572" s="33"/>
      <c r="N1572" s="83">
        <v>590.57000000000005</v>
      </c>
      <c r="P1572" t="str">
        <f>VLOOKUP(B1572,PTN!A:B,2,FALSE)</f>
        <v>UNIVERSITAS NEGERI YOGYAKARTA</v>
      </c>
      <c r="Q1572" t="str">
        <f t="shared" si="24"/>
        <v>UNIVERSITAS NEGERI YOGYAKARTAPENDIDIKAN KEWARGANEGARAAN</v>
      </c>
    </row>
    <row r="1573" spans="1:17" ht="15.75" thickBot="1" x14ac:dyDescent="0.3">
      <c r="A1573" s="7">
        <v>1572</v>
      </c>
      <c r="B1573" s="6">
        <v>44</v>
      </c>
      <c r="C1573" s="18">
        <v>3622041</v>
      </c>
      <c r="D1573" t="s">
        <v>200</v>
      </c>
      <c r="E1573" s="18">
        <v>36</v>
      </c>
      <c r="F1573" s="10" t="s">
        <v>13</v>
      </c>
      <c r="I1573" s="38"/>
      <c r="J1573" s="138">
        <v>580.78</v>
      </c>
      <c r="K1573" s="138">
        <v>588.91773000000001</v>
      </c>
      <c r="L1573" s="138">
        <v>572.64226999999994</v>
      </c>
      <c r="M1573" s="32"/>
      <c r="N1573" s="83">
        <v>580.78</v>
      </c>
      <c r="P1573" t="str">
        <f>VLOOKUP(B1573,PTN!A:B,2,FALSE)</f>
        <v>UNIVERSITAS NEGERI YOGYAKARTA</v>
      </c>
      <c r="Q1573" t="str">
        <f t="shared" si="24"/>
        <v>UNIVERSITAS NEGERI YOGYAKARTAPENDIDIKAN LUAR BIASA</v>
      </c>
    </row>
    <row r="1574" spans="1:17" ht="15.75" thickBot="1" x14ac:dyDescent="0.3">
      <c r="A1574" s="7">
        <v>1573</v>
      </c>
      <c r="B1574" s="6">
        <v>44</v>
      </c>
      <c r="C1574" s="17">
        <v>3622056</v>
      </c>
      <c r="D1574" t="s">
        <v>201</v>
      </c>
      <c r="E1574" s="17">
        <v>24</v>
      </c>
      <c r="F1574" s="10" t="s">
        <v>13</v>
      </c>
      <c r="I1574" s="39"/>
      <c r="J1574" s="138">
        <v>585.23</v>
      </c>
      <c r="K1574" s="138">
        <v>593.36773000000005</v>
      </c>
      <c r="L1574" s="138">
        <v>577.09226999999998</v>
      </c>
      <c r="M1574" s="33"/>
      <c r="N1574" s="83">
        <v>585.23</v>
      </c>
      <c r="P1574" t="str">
        <f>VLOOKUP(B1574,PTN!A:B,2,FALSE)</f>
        <v>UNIVERSITAS NEGERI YOGYAKARTA</v>
      </c>
      <c r="Q1574" t="str">
        <f t="shared" si="24"/>
        <v>UNIVERSITAS NEGERI YOGYAKARTAPENDIDIKAN LUAR SEKOLAH</v>
      </c>
    </row>
    <row r="1575" spans="1:17" ht="15.75" thickBot="1" x14ac:dyDescent="0.3">
      <c r="A1575" s="7">
        <v>1574</v>
      </c>
      <c r="B1575" s="6">
        <v>44</v>
      </c>
      <c r="C1575" s="18">
        <v>3622087</v>
      </c>
      <c r="D1575" t="s">
        <v>75</v>
      </c>
      <c r="E1575" s="18">
        <v>24</v>
      </c>
      <c r="F1575" s="10" t="s">
        <v>13</v>
      </c>
      <c r="I1575" s="38"/>
      <c r="J1575" s="138">
        <v>601.78</v>
      </c>
      <c r="K1575" s="138">
        <v>609.91773000000001</v>
      </c>
      <c r="L1575" s="138">
        <v>593.64226999999994</v>
      </c>
      <c r="M1575" s="32"/>
      <c r="N1575" s="83">
        <v>601.78</v>
      </c>
      <c r="P1575" t="str">
        <f>VLOOKUP(B1575,PTN!A:B,2,FALSE)</f>
        <v>UNIVERSITAS NEGERI YOGYAKARTA</v>
      </c>
      <c r="Q1575" t="str">
        <f t="shared" si="24"/>
        <v>UNIVERSITAS NEGERI YOGYAKARTAPENDIDIKAN SEJARAH</v>
      </c>
    </row>
    <row r="1576" spans="1:17" ht="15.75" thickBot="1" x14ac:dyDescent="0.3">
      <c r="A1576" s="7">
        <v>1575</v>
      </c>
      <c r="B1576" s="6">
        <v>44</v>
      </c>
      <c r="C1576" s="17">
        <v>3622064</v>
      </c>
      <c r="D1576" t="s">
        <v>510</v>
      </c>
      <c r="E1576" s="17">
        <v>24</v>
      </c>
      <c r="F1576" s="10" t="s">
        <v>13</v>
      </c>
      <c r="I1576" s="39"/>
      <c r="J1576" s="138" t="s">
        <v>1292</v>
      </c>
      <c r="K1576" s="138" t="s">
        <v>1292</v>
      </c>
      <c r="L1576" s="138" t="s">
        <v>1292</v>
      </c>
      <c r="M1576" s="33"/>
      <c r="N1576" s="83" t="s">
        <v>1292</v>
      </c>
      <c r="P1576" t="str">
        <f>VLOOKUP(B1576,PTN!A:B,2,FALSE)</f>
        <v>UNIVERSITAS NEGERI YOGYAKARTA</v>
      </c>
      <c r="Q1576" t="str">
        <f t="shared" si="24"/>
        <v>UNIVERSITAS NEGERI YOGYAKARTAPENDIDIKAN SENI KERAJINAN</v>
      </c>
    </row>
    <row r="1577" spans="1:17" ht="15.75" thickBot="1" x14ac:dyDescent="0.3">
      <c r="A1577" s="7">
        <v>1576</v>
      </c>
      <c r="B1577" s="6">
        <v>44</v>
      </c>
      <c r="C1577" s="18">
        <v>3622346</v>
      </c>
      <c r="D1577" t="s">
        <v>130</v>
      </c>
      <c r="E1577" s="18">
        <v>24</v>
      </c>
      <c r="F1577" s="10" t="s">
        <v>13</v>
      </c>
      <c r="I1577" s="38"/>
      <c r="J1577" s="138">
        <v>585.28</v>
      </c>
      <c r="K1577" s="138">
        <v>593.41773000000001</v>
      </c>
      <c r="L1577" s="138">
        <v>577.14226999999994</v>
      </c>
      <c r="M1577" s="32"/>
      <c r="N1577" s="83">
        <v>585.28</v>
      </c>
      <c r="P1577" t="str">
        <f>VLOOKUP(B1577,PTN!A:B,2,FALSE)</f>
        <v>UNIVERSITAS NEGERI YOGYAKARTA</v>
      </c>
      <c r="Q1577" t="str">
        <f t="shared" si="24"/>
        <v>UNIVERSITAS NEGERI YOGYAKARTAPENDIDIKAN SENI MUSIK</v>
      </c>
    </row>
    <row r="1578" spans="1:17" ht="15.75" thickBot="1" x14ac:dyDescent="0.3">
      <c r="A1578" s="7">
        <v>1577</v>
      </c>
      <c r="B1578" s="6">
        <v>44</v>
      </c>
      <c r="C1578" s="17">
        <v>3622307</v>
      </c>
      <c r="D1578" t="s">
        <v>131</v>
      </c>
      <c r="E1578" s="17">
        <v>24</v>
      </c>
      <c r="F1578" s="10" t="s">
        <v>13</v>
      </c>
      <c r="I1578" s="39"/>
      <c r="J1578" s="138" t="s">
        <v>1292</v>
      </c>
      <c r="K1578" s="138" t="s">
        <v>1292</v>
      </c>
      <c r="L1578" s="138" t="s">
        <v>1292</v>
      </c>
      <c r="M1578" s="33"/>
      <c r="N1578" s="83" t="s">
        <v>1292</v>
      </c>
      <c r="P1578" t="str">
        <f>VLOOKUP(B1578,PTN!A:B,2,FALSE)</f>
        <v>UNIVERSITAS NEGERI YOGYAKARTA</v>
      </c>
      <c r="Q1578" t="str">
        <f t="shared" si="24"/>
        <v>UNIVERSITAS NEGERI YOGYAKARTAPENDIDIKAN SENI RUPA</v>
      </c>
    </row>
    <row r="1579" spans="1:17" ht="15.75" thickBot="1" x14ac:dyDescent="0.3">
      <c r="A1579" s="7">
        <v>1578</v>
      </c>
      <c r="B1579" s="6">
        <v>44</v>
      </c>
      <c r="C1579" s="18">
        <v>3622331</v>
      </c>
      <c r="D1579" t="s">
        <v>132</v>
      </c>
      <c r="E1579" s="18">
        <v>24</v>
      </c>
      <c r="F1579" s="10" t="s">
        <v>13</v>
      </c>
      <c r="I1579" s="38"/>
      <c r="J1579" s="138" t="s">
        <v>1292</v>
      </c>
      <c r="K1579" s="138" t="s">
        <v>1292</v>
      </c>
      <c r="L1579" s="138" t="s">
        <v>1292</v>
      </c>
      <c r="M1579" s="32"/>
      <c r="N1579" s="83" t="s">
        <v>1292</v>
      </c>
      <c r="P1579" t="str">
        <f>VLOOKUP(B1579,PTN!A:B,2,FALSE)</f>
        <v>UNIVERSITAS NEGERI YOGYAKARTA</v>
      </c>
      <c r="Q1579" t="str">
        <f t="shared" si="24"/>
        <v>UNIVERSITAS NEGERI YOGYAKARTAPENDIDIKAN SENI TARI</v>
      </c>
    </row>
    <row r="1580" spans="1:17" ht="15.75" thickBot="1" x14ac:dyDescent="0.3">
      <c r="A1580" s="7">
        <v>1579</v>
      </c>
      <c r="B1580" s="6">
        <v>44</v>
      </c>
      <c r="C1580" s="17">
        <v>3622203</v>
      </c>
      <c r="D1580" t="s">
        <v>334</v>
      </c>
      <c r="E1580" s="17">
        <v>24</v>
      </c>
      <c r="F1580" s="10" t="s">
        <v>13</v>
      </c>
      <c r="I1580" s="39"/>
      <c r="J1580" s="138">
        <v>606.70000000000005</v>
      </c>
      <c r="K1580" s="138">
        <v>614.83773000000008</v>
      </c>
      <c r="L1580" s="138">
        <v>598.56227000000001</v>
      </c>
      <c r="M1580" s="33"/>
      <c r="N1580" s="83">
        <v>606.70000000000005</v>
      </c>
      <c r="P1580" t="str">
        <f>VLOOKUP(B1580,PTN!A:B,2,FALSE)</f>
        <v>UNIVERSITAS NEGERI YOGYAKARTA</v>
      </c>
      <c r="Q1580" t="str">
        <f t="shared" si="24"/>
        <v>UNIVERSITAS NEGERI YOGYAKARTAPENDIDIKAN SOSIOLOGI</v>
      </c>
    </row>
    <row r="1581" spans="1:17" ht="15.75" thickBot="1" x14ac:dyDescent="0.3">
      <c r="A1581" s="7">
        <v>1580</v>
      </c>
      <c r="B1581" s="6">
        <v>44</v>
      </c>
      <c r="C1581" s="18">
        <v>3622137</v>
      </c>
      <c r="D1581" t="s">
        <v>511</v>
      </c>
      <c r="E1581" s="18">
        <v>24</v>
      </c>
      <c r="F1581" s="10" t="s">
        <v>13</v>
      </c>
      <c r="I1581" s="38"/>
      <c r="J1581" s="138">
        <v>604.48</v>
      </c>
      <c r="K1581" s="138">
        <v>612.61773000000005</v>
      </c>
      <c r="L1581" s="138">
        <v>596.34226999999998</v>
      </c>
      <c r="M1581" s="32"/>
      <c r="N1581" s="83">
        <v>604.48</v>
      </c>
      <c r="P1581" t="str">
        <f>VLOOKUP(B1581,PTN!A:B,2,FALSE)</f>
        <v>UNIVERSITAS NEGERI YOGYAKARTA</v>
      </c>
      <c r="Q1581" t="str">
        <f t="shared" si="24"/>
        <v>UNIVERSITAS NEGERI YOGYAKARTAPENDIDIKAN TEKNIK BOGA</v>
      </c>
    </row>
    <row r="1582" spans="1:17" ht="15.75" thickBot="1" x14ac:dyDescent="0.3">
      <c r="A1582" s="7">
        <v>1581</v>
      </c>
      <c r="B1582" s="6">
        <v>44</v>
      </c>
      <c r="C1582" s="17">
        <v>3622122</v>
      </c>
      <c r="D1582" t="s">
        <v>512</v>
      </c>
      <c r="E1582" s="17">
        <v>24</v>
      </c>
      <c r="F1582" s="10" t="s">
        <v>13</v>
      </c>
      <c r="I1582" s="39"/>
      <c r="J1582" s="138">
        <v>599.79999999999995</v>
      </c>
      <c r="K1582" s="138">
        <v>607.93772999999999</v>
      </c>
      <c r="L1582" s="138">
        <v>591.66226999999992</v>
      </c>
      <c r="M1582" s="33"/>
      <c r="N1582" s="83">
        <v>599.79999999999995</v>
      </c>
      <c r="P1582" t="str">
        <f>VLOOKUP(B1582,PTN!A:B,2,FALSE)</f>
        <v>UNIVERSITAS NEGERI YOGYAKARTA</v>
      </c>
      <c r="Q1582" t="str">
        <f t="shared" si="24"/>
        <v>UNIVERSITAS NEGERI YOGYAKARTAPENDIDIKAN TEKNIK BUSANA</v>
      </c>
    </row>
    <row r="1583" spans="1:17" ht="15.75" thickBot="1" x14ac:dyDescent="0.3">
      <c r="A1583" s="7">
        <v>1582</v>
      </c>
      <c r="B1583" s="6">
        <v>44</v>
      </c>
      <c r="C1583" s="18">
        <v>3622385</v>
      </c>
      <c r="D1583" t="s">
        <v>36</v>
      </c>
      <c r="E1583" s="18">
        <v>24</v>
      </c>
      <c r="F1583" s="10" t="s">
        <v>13</v>
      </c>
      <c r="I1583" s="38"/>
      <c r="J1583" s="138">
        <v>626.99</v>
      </c>
      <c r="K1583" s="138">
        <v>635.12773000000004</v>
      </c>
      <c r="L1583" s="138">
        <v>618.85226999999998</v>
      </c>
      <c r="M1583" s="32"/>
      <c r="N1583" s="83">
        <v>626.99</v>
      </c>
      <c r="P1583" t="str">
        <f>VLOOKUP(B1583,PTN!A:B,2,FALSE)</f>
        <v>UNIVERSITAS NEGERI YOGYAKARTA</v>
      </c>
      <c r="Q1583" t="str">
        <f t="shared" si="24"/>
        <v>UNIVERSITAS NEGERI YOGYAKARTAPSIKOLOGI</v>
      </c>
    </row>
    <row r="1584" spans="1:17" ht="15.75" thickBot="1" x14ac:dyDescent="0.3">
      <c r="A1584" s="7">
        <v>1583</v>
      </c>
      <c r="B1584" s="6">
        <v>44</v>
      </c>
      <c r="C1584" s="56">
        <v>3622033</v>
      </c>
      <c r="D1584" t="s">
        <v>210</v>
      </c>
      <c r="E1584" s="56">
        <v>21</v>
      </c>
      <c r="F1584" s="10" t="s">
        <v>13</v>
      </c>
      <c r="I1584" s="20"/>
      <c r="J1584" s="138">
        <v>599.53</v>
      </c>
      <c r="K1584" s="138">
        <v>607.66773000000001</v>
      </c>
      <c r="L1584" s="138">
        <v>591.39226999999994</v>
      </c>
      <c r="M1584" s="21"/>
      <c r="N1584" s="83">
        <v>599.53</v>
      </c>
      <c r="P1584" t="str">
        <f>VLOOKUP(B1584,PTN!A:B,2,FALSE)</f>
        <v>UNIVERSITAS NEGERI YOGYAKARTA</v>
      </c>
      <c r="Q1584" t="str">
        <f t="shared" si="24"/>
        <v>UNIVERSITAS NEGERI YOGYAKARTATEKNOLOGI PENDIDIKAN</v>
      </c>
    </row>
    <row r="1585" spans="1:17" ht="16.5" thickTop="1" thickBot="1" x14ac:dyDescent="0.3">
      <c r="A1585" s="7">
        <v>1584</v>
      </c>
      <c r="B1585" s="6">
        <v>45</v>
      </c>
      <c r="C1585" s="12">
        <v>3631105</v>
      </c>
      <c r="D1585" t="s">
        <v>37</v>
      </c>
      <c r="E1585" s="12">
        <v>24</v>
      </c>
      <c r="F1585" s="10" t="s">
        <v>20</v>
      </c>
      <c r="I1585" s="22"/>
      <c r="J1585" s="138">
        <v>611.79</v>
      </c>
      <c r="K1585" s="138">
        <v>618.07999999999993</v>
      </c>
      <c r="L1585" s="138">
        <v>605.5</v>
      </c>
      <c r="M1585" s="21"/>
      <c r="N1585" s="83">
        <v>611.79</v>
      </c>
      <c r="P1585" t="str">
        <f>VLOOKUP(B1585,PTN!A:B,2,FALSE)</f>
        <v>UPN VETERAN YOGYAKARTA</v>
      </c>
      <c r="Q1585" t="str">
        <f t="shared" si="24"/>
        <v>UPN VETERAN YOGYAKARTAAGRIBISNIS</v>
      </c>
    </row>
    <row r="1586" spans="1:17" ht="16.5" thickTop="1" thickBot="1" x14ac:dyDescent="0.3">
      <c r="A1586" s="7">
        <v>1585</v>
      </c>
      <c r="B1586" s="6">
        <v>45</v>
      </c>
      <c r="C1586" s="13">
        <v>3631094</v>
      </c>
      <c r="D1586" t="s">
        <v>64</v>
      </c>
      <c r="E1586" s="13">
        <v>50</v>
      </c>
      <c r="F1586" s="10" t="s">
        <v>20</v>
      </c>
      <c r="I1586" s="23"/>
      <c r="J1586" s="138">
        <v>600.47</v>
      </c>
      <c r="K1586" s="138">
        <v>606.02499999999998</v>
      </c>
      <c r="L1586" s="138">
        <v>594.91500000000008</v>
      </c>
      <c r="M1586" s="25"/>
      <c r="N1586" s="83">
        <v>600.47</v>
      </c>
      <c r="P1586" t="str">
        <f>VLOOKUP(B1586,PTN!A:B,2,FALSE)</f>
        <v>UPN VETERAN YOGYAKARTA</v>
      </c>
      <c r="Q1586" t="str">
        <f t="shared" si="24"/>
        <v>UPN VETERAN YOGYAKARTAAGROTEKNOLOGI</v>
      </c>
    </row>
    <row r="1587" spans="1:17" ht="16.5" thickTop="1" thickBot="1" x14ac:dyDescent="0.3">
      <c r="A1587" s="7">
        <v>1586</v>
      </c>
      <c r="B1587" s="6">
        <v>45</v>
      </c>
      <c r="C1587" s="12">
        <v>3631121</v>
      </c>
      <c r="D1587" t="s">
        <v>79</v>
      </c>
      <c r="E1587" s="12">
        <v>24</v>
      </c>
      <c r="F1587" s="10" t="s">
        <v>20</v>
      </c>
      <c r="I1587" s="26"/>
      <c r="J1587" s="138">
        <v>597.33000000000004</v>
      </c>
      <c r="K1587" s="138">
        <v>603.60500000000002</v>
      </c>
      <c r="L1587" s="138">
        <v>591.05500000000006</v>
      </c>
      <c r="M1587" s="27"/>
      <c r="N1587" s="83">
        <v>597.33000000000004</v>
      </c>
      <c r="P1587" t="str">
        <f>VLOOKUP(B1587,PTN!A:B,2,FALSE)</f>
        <v>UPN VETERAN YOGYAKARTA</v>
      </c>
      <c r="Q1587" t="str">
        <f t="shared" si="24"/>
        <v>UPN VETERAN YOGYAKARTAILMU TANAH</v>
      </c>
    </row>
    <row r="1588" spans="1:17" ht="15.75" thickBot="1" x14ac:dyDescent="0.3">
      <c r="A1588" s="7">
        <v>1587</v>
      </c>
      <c r="B1588" s="6">
        <v>45</v>
      </c>
      <c r="C1588" s="13">
        <v>3631113</v>
      </c>
      <c r="D1588" t="s">
        <v>513</v>
      </c>
      <c r="E1588" s="13">
        <v>12</v>
      </c>
      <c r="F1588" s="10" t="s">
        <v>20</v>
      </c>
      <c r="I1588" s="87"/>
      <c r="J1588" s="138">
        <v>611.01</v>
      </c>
      <c r="K1588" s="138">
        <v>619.67999999999995</v>
      </c>
      <c r="L1588" s="138">
        <v>602.34</v>
      </c>
      <c r="M1588" s="28"/>
      <c r="N1588" s="83">
        <v>611.01</v>
      </c>
      <c r="P1588" t="str">
        <f>VLOOKUP(B1588,PTN!A:B,2,FALSE)</f>
        <v>UPN VETERAN YOGYAKARTA</v>
      </c>
      <c r="Q1588" t="str">
        <f t="shared" si="24"/>
        <v>UPN VETERAN YOGYAKARTAMETALURGI</v>
      </c>
    </row>
    <row r="1589" spans="1:17" ht="15.75" thickBot="1" x14ac:dyDescent="0.3">
      <c r="A1589" s="7">
        <v>1588</v>
      </c>
      <c r="B1589" s="6">
        <v>45</v>
      </c>
      <c r="C1589" s="12">
        <v>3631136</v>
      </c>
      <c r="D1589" t="s">
        <v>46</v>
      </c>
      <c r="E1589" s="12">
        <v>18</v>
      </c>
      <c r="F1589" s="10" t="s">
        <v>20</v>
      </c>
      <c r="I1589" s="26"/>
      <c r="J1589" s="138">
        <v>615.9</v>
      </c>
      <c r="K1589" s="138">
        <v>624.29</v>
      </c>
      <c r="L1589" s="138">
        <v>607.51</v>
      </c>
      <c r="M1589" s="27"/>
      <c r="N1589" s="83">
        <v>615.9</v>
      </c>
      <c r="P1589" t="str">
        <f>VLOOKUP(B1589,PTN!A:B,2,FALSE)</f>
        <v>UPN VETERAN YOGYAKARTA</v>
      </c>
      <c r="Q1589" t="str">
        <f t="shared" si="24"/>
        <v>UPN VETERAN YOGYAKARTASISTEM INFORMASI</v>
      </c>
    </row>
    <row r="1590" spans="1:17" ht="15.75" thickBot="1" x14ac:dyDescent="0.3">
      <c r="A1590" s="7">
        <v>1589</v>
      </c>
      <c r="B1590" s="6">
        <v>45</v>
      </c>
      <c r="C1590" s="13">
        <v>3631055</v>
      </c>
      <c r="D1590" t="s">
        <v>91</v>
      </c>
      <c r="E1590" s="13">
        <v>18</v>
      </c>
      <c r="F1590" s="10" t="s">
        <v>20</v>
      </c>
      <c r="I1590" s="87"/>
      <c r="J1590" s="138">
        <v>614.66</v>
      </c>
      <c r="K1590" s="138">
        <v>618.22500000000002</v>
      </c>
      <c r="L1590" s="138">
        <v>611.09499999999991</v>
      </c>
      <c r="M1590" s="28"/>
      <c r="N1590" s="83">
        <v>614.66</v>
      </c>
      <c r="P1590" t="str">
        <f>VLOOKUP(B1590,PTN!A:B,2,FALSE)</f>
        <v>UPN VETERAN YOGYAKARTA</v>
      </c>
      <c r="Q1590" t="str">
        <f t="shared" si="24"/>
        <v>UPN VETERAN YOGYAKARTATEKNIK GEOFISIKA</v>
      </c>
    </row>
    <row r="1591" spans="1:17" ht="15.75" thickBot="1" x14ac:dyDescent="0.3">
      <c r="A1591" s="7">
        <v>1590</v>
      </c>
      <c r="B1591" s="6">
        <v>45</v>
      </c>
      <c r="C1591" s="12">
        <v>3631016</v>
      </c>
      <c r="D1591" t="s">
        <v>92</v>
      </c>
      <c r="E1591" s="12">
        <v>31</v>
      </c>
      <c r="F1591" s="10" t="s">
        <v>20</v>
      </c>
      <c r="I1591" s="26"/>
      <c r="J1591" s="138">
        <v>632.87</v>
      </c>
      <c r="K1591" s="138">
        <v>641.36500000000001</v>
      </c>
      <c r="L1591" s="138">
        <v>624.375</v>
      </c>
      <c r="M1591" s="27"/>
      <c r="N1591" s="83">
        <v>632.87</v>
      </c>
      <c r="P1591" t="str">
        <f>VLOOKUP(B1591,PTN!A:B,2,FALSE)</f>
        <v>UPN VETERAN YOGYAKARTA</v>
      </c>
      <c r="Q1591" t="str">
        <f t="shared" si="24"/>
        <v>UPN VETERAN YOGYAKARTATEKNIK GEOLOGI</v>
      </c>
    </row>
    <row r="1592" spans="1:17" ht="15.75" thickBot="1" x14ac:dyDescent="0.3">
      <c r="A1592" s="7">
        <v>1591</v>
      </c>
      <c r="B1592" s="6">
        <v>45</v>
      </c>
      <c r="C1592" s="13">
        <v>3631144</v>
      </c>
      <c r="D1592" t="s">
        <v>268</v>
      </c>
      <c r="E1592" s="13">
        <v>14</v>
      </c>
      <c r="F1592" s="10" t="s">
        <v>20</v>
      </c>
      <c r="I1592" s="87"/>
      <c r="J1592" s="138">
        <v>604.17999999999995</v>
      </c>
      <c r="K1592" s="138">
        <v>608.63499999999999</v>
      </c>
      <c r="L1592" s="138">
        <v>599.72499999999991</v>
      </c>
      <c r="M1592" s="28"/>
      <c r="N1592" s="83">
        <v>604.17999999999995</v>
      </c>
      <c r="P1592" t="str">
        <f>VLOOKUP(B1592,PTN!A:B,2,FALSE)</f>
        <v>UPN VETERAN YOGYAKARTA</v>
      </c>
      <c r="Q1592" t="str">
        <f t="shared" si="24"/>
        <v>UPN VETERAN YOGYAKARTATEKNIK GEOMATIKA</v>
      </c>
    </row>
    <row r="1593" spans="1:17" ht="15.75" thickBot="1" x14ac:dyDescent="0.3">
      <c r="A1593" s="7">
        <v>1592</v>
      </c>
      <c r="B1593" s="6">
        <v>45</v>
      </c>
      <c r="C1593" s="12">
        <v>3631071</v>
      </c>
      <c r="D1593" t="s">
        <v>49</v>
      </c>
      <c r="E1593" s="12">
        <v>32</v>
      </c>
      <c r="F1593" s="10" t="s">
        <v>20</v>
      </c>
      <c r="I1593" s="26"/>
      <c r="J1593" s="138">
        <v>619.94000000000005</v>
      </c>
      <c r="K1593" s="138">
        <v>626.33500000000004</v>
      </c>
      <c r="L1593" s="138">
        <v>613.54500000000007</v>
      </c>
      <c r="M1593" s="27"/>
      <c r="N1593" s="83">
        <v>619.94000000000005</v>
      </c>
      <c r="P1593" t="str">
        <f>VLOOKUP(B1593,PTN!A:B,2,FALSE)</f>
        <v>UPN VETERAN YOGYAKARTA</v>
      </c>
      <c r="Q1593" t="str">
        <f t="shared" si="24"/>
        <v>UPN VETERAN YOGYAKARTATEKNIK INDUSTRI</v>
      </c>
    </row>
    <row r="1594" spans="1:17" ht="15.75" thickBot="1" x14ac:dyDescent="0.3">
      <c r="A1594" s="7">
        <v>1593</v>
      </c>
      <c r="B1594" s="6">
        <v>45</v>
      </c>
      <c r="C1594" s="13">
        <v>3631086</v>
      </c>
      <c r="D1594" t="s">
        <v>50</v>
      </c>
      <c r="E1594" s="13">
        <v>40</v>
      </c>
      <c r="F1594" s="10" t="s">
        <v>20</v>
      </c>
      <c r="I1594" s="87"/>
      <c r="J1594" s="138">
        <v>629.08000000000004</v>
      </c>
      <c r="K1594" s="138">
        <v>636.6</v>
      </c>
      <c r="L1594" s="138">
        <v>621.56000000000006</v>
      </c>
      <c r="M1594" s="28"/>
      <c r="N1594" s="83">
        <v>629.08000000000004</v>
      </c>
      <c r="P1594" t="str">
        <f>VLOOKUP(B1594,PTN!A:B,2,FALSE)</f>
        <v>UPN VETERAN YOGYAKARTA</v>
      </c>
      <c r="Q1594" t="str">
        <f t="shared" si="24"/>
        <v>UPN VETERAN YOGYAKARTATEKNIK INFORMATIKA</v>
      </c>
    </row>
    <row r="1595" spans="1:17" ht="15.75" thickBot="1" x14ac:dyDescent="0.3">
      <c r="A1595" s="7">
        <v>1594</v>
      </c>
      <c r="B1595" s="6">
        <v>45</v>
      </c>
      <c r="C1595" s="12">
        <v>3631063</v>
      </c>
      <c r="D1595" t="s">
        <v>51</v>
      </c>
      <c r="E1595" s="12">
        <v>32</v>
      </c>
      <c r="F1595" s="10" t="s">
        <v>20</v>
      </c>
      <c r="I1595" s="26"/>
      <c r="J1595" s="138">
        <v>622.96</v>
      </c>
      <c r="K1595" s="138">
        <v>629.56000000000006</v>
      </c>
      <c r="L1595" s="138">
        <v>616.36</v>
      </c>
      <c r="M1595" s="27"/>
      <c r="N1595" s="83">
        <v>622.96</v>
      </c>
      <c r="P1595" t="str">
        <f>VLOOKUP(B1595,PTN!A:B,2,FALSE)</f>
        <v>UPN VETERAN YOGYAKARTA</v>
      </c>
      <c r="Q1595" t="str">
        <f t="shared" si="24"/>
        <v>UPN VETERAN YOGYAKARTATEKNIK KIMIA</v>
      </c>
    </row>
    <row r="1596" spans="1:17" ht="15.75" thickBot="1" x14ac:dyDescent="0.3">
      <c r="A1596" s="7">
        <v>1595</v>
      </c>
      <c r="B1596" s="6">
        <v>45</v>
      </c>
      <c r="C1596" s="13">
        <v>3631047</v>
      </c>
      <c r="D1596" t="s">
        <v>25</v>
      </c>
      <c r="E1596" s="13">
        <v>25</v>
      </c>
      <c r="F1596" s="10" t="s">
        <v>20</v>
      </c>
      <c r="I1596" s="20"/>
      <c r="J1596" s="138">
        <v>616.4</v>
      </c>
      <c r="K1596" s="138">
        <v>621.49</v>
      </c>
      <c r="L1596" s="138">
        <v>611.30999999999995</v>
      </c>
      <c r="M1596" s="21"/>
      <c r="N1596" s="83">
        <v>616.4</v>
      </c>
      <c r="P1596" t="str">
        <f>VLOOKUP(B1596,PTN!A:B,2,FALSE)</f>
        <v>UPN VETERAN YOGYAKARTA</v>
      </c>
      <c r="Q1596" t="str">
        <f t="shared" si="24"/>
        <v>UPN VETERAN YOGYAKARTATEKNIK LINGKUNGAN</v>
      </c>
    </row>
    <row r="1597" spans="1:17" ht="15.75" thickBot="1" x14ac:dyDescent="0.3">
      <c r="A1597" s="7">
        <v>1596</v>
      </c>
      <c r="B1597" s="6">
        <v>45</v>
      </c>
      <c r="C1597" s="12">
        <v>3631032</v>
      </c>
      <c r="D1597" t="s">
        <v>514</v>
      </c>
      <c r="E1597" s="12">
        <v>36</v>
      </c>
      <c r="F1597" s="10" t="s">
        <v>20</v>
      </c>
      <c r="I1597" s="22"/>
      <c r="J1597" s="138">
        <v>621.13</v>
      </c>
      <c r="K1597" s="138">
        <v>629.755</v>
      </c>
      <c r="L1597" s="138">
        <v>612.505</v>
      </c>
      <c r="M1597" s="21"/>
      <c r="N1597" s="83">
        <v>621.13</v>
      </c>
      <c r="P1597" t="str">
        <f>VLOOKUP(B1597,PTN!A:B,2,FALSE)</f>
        <v>UPN VETERAN YOGYAKARTA</v>
      </c>
      <c r="Q1597" t="str">
        <f t="shared" si="24"/>
        <v>UPN VETERAN YOGYAKARTATEKNIK PERMINYAKAN</v>
      </c>
    </row>
    <row r="1598" spans="1:17" ht="16.5" thickTop="1" thickBot="1" x14ac:dyDescent="0.3">
      <c r="A1598" s="7">
        <v>1597</v>
      </c>
      <c r="B1598" s="6">
        <v>45</v>
      </c>
      <c r="C1598" s="16">
        <v>3631024</v>
      </c>
      <c r="D1598" t="s">
        <v>239</v>
      </c>
      <c r="E1598" s="16">
        <v>36</v>
      </c>
      <c r="F1598" s="10" t="s">
        <v>20</v>
      </c>
      <c r="I1598" s="23"/>
      <c r="J1598" s="138">
        <v>636.41</v>
      </c>
      <c r="K1598" s="138">
        <v>646.12</v>
      </c>
      <c r="L1598" s="138">
        <v>626.69999999999993</v>
      </c>
      <c r="M1598" s="25"/>
      <c r="N1598" s="83">
        <v>636.41</v>
      </c>
      <c r="P1598" t="str">
        <f>VLOOKUP(B1598,PTN!A:B,2,FALSE)</f>
        <v>UPN VETERAN YOGYAKARTA</v>
      </c>
      <c r="Q1598" t="str">
        <f t="shared" si="24"/>
        <v>UPN VETERAN YOGYAKARTATEKNIK PERTAMBANGAN</v>
      </c>
    </row>
    <row r="1599" spans="1:17" ht="16.5" thickTop="1" thickBot="1" x14ac:dyDescent="0.3">
      <c r="A1599" s="7">
        <v>1598</v>
      </c>
      <c r="B1599" s="6">
        <v>45</v>
      </c>
      <c r="C1599" s="12">
        <v>3632027</v>
      </c>
      <c r="D1599" t="s">
        <v>55</v>
      </c>
      <c r="E1599" s="12">
        <v>40</v>
      </c>
      <c r="F1599" s="10" t="s">
        <v>13</v>
      </c>
      <c r="I1599" s="26"/>
      <c r="J1599" s="138">
        <v>619.19000000000005</v>
      </c>
      <c r="K1599" s="138">
        <v>627.32773000000009</v>
      </c>
      <c r="L1599" s="138">
        <v>611.05227000000002</v>
      </c>
      <c r="M1599" s="27"/>
      <c r="N1599" s="83">
        <v>619.19000000000005</v>
      </c>
      <c r="P1599" t="str">
        <f>VLOOKUP(B1599,PTN!A:B,2,FALSE)</f>
        <v>UPN VETERAN YOGYAKARTA</v>
      </c>
      <c r="Q1599" t="str">
        <f t="shared" si="24"/>
        <v>UPN VETERAN YOGYAKARTAAKUNTANSI</v>
      </c>
    </row>
    <row r="1600" spans="1:17" ht="15.75" thickBot="1" x14ac:dyDescent="0.3">
      <c r="A1600" s="7">
        <v>1599</v>
      </c>
      <c r="B1600" s="6">
        <v>45</v>
      </c>
      <c r="C1600" s="13">
        <v>3632035</v>
      </c>
      <c r="D1600" t="s">
        <v>69</v>
      </c>
      <c r="E1600" s="13">
        <v>32</v>
      </c>
      <c r="F1600" s="10" t="s">
        <v>13</v>
      </c>
      <c r="I1600" s="87"/>
      <c r="J1600" s="138">
        <v>610</v>
      </c>
      <c r="K1600" s="138">
        <v>618.13773000000003</v>
      </c>
      <c r="L1600" s="138">
        <v>601.86226999999997</v>
      </c>
      <c r="M1600" s="28"/>
      <c r="N1600" s="83">
        <v>610</v>
      </c>
      <c r="P1600" t="str">
        <f>VLOOKUP(B1600,PTN!A:B,2,FALSE)</f>
        <v>UPN VETERAN YOGYAKARTA</v>
      </c>
      <c r="Q1600" t="str">
        <f t="shared" si="24"/>
        <v>UPN VETERAN YOGYAKARTAEKONOMI PEMBANGUNAN</v>
      </c>
    </row>
    <row r="1601" spans="1:17" ht="15.75" thickBot="1" x14ac:dyDescent="0.3">
      <c r="A1601" s="7">
        <v>1600</v>
      </c>
      <c r="B1601" s="6">
        <v>45</v>
      </c>
      <c r="C1601" s="12">
        <v>3632074</v>
      </c>
      <c r="D1601" t="s">
        <v>388</v>
      </c>
      <c r="E1601" s="12">
        <v>16</v>
      </c>
      <c r="F1601" s="10" t="s">
        <v>13</v>
      </c>
      <c r="I1601" s="26"/>
      <c r="J1601" s="138">
        <v>597.36</v>
      </c>
      <c r="K1601" s="138">
        <v>605.49773000000005</v>
      </c>
      <c r="L1601" s="138">
        <v>589.22226999999998</v>
      </c>
      <c r="M1601" s="27"/>
      <c r="N1601" s="83">
        <v>597.36</v>
      </c>
      <c r="P1601" t="str">
        <f>VLOOKUP(B1601,PTN!A:B,2,FALSE)</f>
        <v>UPN VETERAN YOGYAKARTA</v>
      </c>
      <c r="Q1601" t="str">
        <f t="shared" si="24"/>
        <v>UPN VETERAN YOGYAKARTAHUBUNGAN MASYARAKAT</v>
      </c>
    </row>
    <row r="1602" spans="1:17" ht="15.75" thickBot="1" x14ac:dyDescent="0.3">
      <c r="A1602" s="7">
        <v>1601</v>
      </c>
      <c r="B1602" s="6">
        <v>45</v>
      </c>
      <c r="C1602" s="13">
        <v>3632051</v>
      </c>
      <c r="D1602" t="s">
        <v>389</v>
      </c>
      <c r="E1602" s="13">
        <v>28</v>
      </c>
      <c r="F1602" s="10" t="s">
        <v>13</v>
      </c>
      <c r="I1602" s="87"/>
      <c r="J1602" s="138">
        <v>607.32000000000005</v>
      </c>
      <c r="K1602" s="138">
        <v>615.45773000000008</v>
      </c>
      <c r="L1602" s="138">
        <v>599.18227000000002</v>
      </c>
      <c r="M1602" s="28"/>
      <c r="N1602" s="83">
        <v>607.32000000000005</v>
      </c>
      <c r="P1602" t="str">
        <f>VLOOKUP(B1602,PTN!A:B,2,FALSE)</f>
        <v>UPN VETERAN YOGYAKARTA</v>
      </c>
      <c r="Q1602" t="str">
        <f t="shared" si="24"/>
        <v>UPN VETERAN YOGYAKARTAILMU ADMINISTRASI BISNIS</v>
      </c>
    </row>
    <row r="1603" spans="1:17" ht="15.75" thickBot="1" x14ac:dyDescent="0.3">
      <c r="A1603" s="7">
        <v>1602</v>
      </c>
      <c r="B1603" s="6">
        <v>45</v>
      </c>
      <c r="C1603" s="12">
        <v>3632043</v>
      </c>
      <c r="D1603" t="s">
        <v>168</v>
      </c>
      <c r="E1603" s="12">
        <v>32</v>
      </c>
      <c r="F1603" s="10" t="s">
        <v>13</v>
      </c>
      <c r="I1603" s="26"/>
      <c r="J1603" s="138">
        <v>616.16999999999996</v>
      </c>
      <c r="K1603" s="138">
        <v>624.30772999999999</v>
      </c>
      <c r="L1603" s="138">
        <v>608.03226999999993</v>
      </c>
      <c r="M1603" s="27"/>
      <c r="N1603" s="83">
        <v>616.16999999999996</v>
      </c>
      <c r="P1603" t="str">
        <f>VLOOKUP(B1603,PTN!A:B,2,FALSE)</f>
        <v>UPN VETERAN YOGYAKARTA</v>
      </c>
      <c r="Q1603" t="str">
        <f t="shared" ref="Q1603:Q1666" si="25">P1603&amp;D1603</f>
        <v>UPN VETERAN YOGYAKARTAILMU HUBUNGAN INTERNASIONAL</v>
      </c>
    </row>
    <row r="1604" spans="1:17" ht="15.75" thickBot="1" x14ac:dyDescent="0.3">
      <c r="A1604" s="7">
        <v>1603</v>
      </c>
      <c r="B1604" s="6">
        <v>45</v>
      </c>
      <c r="C1604" s="13">
        <v>3632066</v>
      </c>
      <c r="D1604" t="s">
        <v>60</v>
      </c>
      <c r="E1604" s="13">
        <v>32</v>
      </c>
      <c r="F1604" s="10" t="s">
        <v>13</v>
      </c>
      <c r="I1604" s="87"/>
      <c r="J1604" s="138">
        <v>626.33000000000004</v>
      </c>
      <c r="K1604" s="138">
        <v>634.46773000000007</v>
      </c>
      <c r="L1604" s="138">
        <v>618.19227000000001</v>
      </c>
      <c r="M1604" s="28"/>
      <c r="N1604" s="83">
        <v>626.33000000000004</v>
      </c>
      <c r="P1604" t="str">
        <f>VLOOKUP(B1604,PTN!A:B,2,FALSE)</f>
        <v>UPN VETERAN YOGYAKARTA</v>
      </c>
      <c r="Q1604" t="str">
        <f t="shared" si="25"/>
        <v>UPN VETERAN YOGYAKARTAILMU KOMUNIKASI</v>
      </c>
    </row>
    <row r="1605" spans="1:17" ht="15.75" thickBot="1" x14ac:dyDescent="0.3">
      <c r="A1605" s="7">
        <v>1604</v>
      </c>
      <c r="B1605" s="6">
        <v>45</v>
      </c>
      <c r="C1605" s="14">
        <v>3632012</v>
      </c>
      <c r="D1605" t="s">
        <v>61</v>
      </c>
      <c r="E1605" s="14">
        <v>64</v>
      </c>
      <c r="F1605" s="10" t="s">
        <v>13</v>
      </c>
      <c r="I1605" s="29"/>
      <c r="J1605" s="138">
        <v>613.37</v>
      </c>
      <c r="K1605" s="138">
        <v>621.50773000000004</v>
      </c>
      <c r="L1605" s="138">
        <v>605.23226999999997</v>
      </c>
      <c r="M1605" s="30"/>
      <c r="N1605" s="83">
        <v>613.37</v>
      </c>
      <c r="P1605" t="str">
        <f>VLOOKUP(B1605,PTN!A:B,2,FALSE)</f>
        <v>UPN VETERAN YOGYAKARTA</v>
      </c>
      <c r="Q1605" t="str">
        <f t="shared" si="25"/>
        <v>UPN VETERAN YOGYAKARTAMANAJEMEN</v>
      </c>
    </row>
    <row r="1606" spans="1:17" ht="16.5" thickTop="1" thickBot="1" x14ac:dyDescent="0.3">
      <c r="A1606" s="7">
        <v>1605</v>
      </c>
      <c r="B1606" s="6">
        <v>53</v>
      </c>
      <c r="C1606" s="12">
        <v>3821136</v>
      </c>
      <c r="D1606" t="s">
        <v>19</v>
      </c>
      <c r="E1606" s="12">
        <v>30</v>
      </c>
      <c r="F1606" s="10" t="s">
        <v>20</v>
      </c>
      <c r="I1606" s="20"/>
      <c r="J1606" s="138">
        <v>660.33</v>
      </c>
      <c r="K1606" s="138">
        <v>671.65000000000009</v>
      </c>
      <c r="L1606" s="138">
        <v>649.01</v>
      </c>
      <c r="M1606" s="21"/>
      <c r="N1606" s="83">
        <v>660.33</v>
      </c>
      <c r="P1606" t="str">
        <f>VLOOKUP(B1606,PTN!A:B,2,FALSE)</f>
        <v>INSTITUT TEKNOLOGI SEPULUH NOPEMBER</v>
      </c>
      <c r="Q1606" t="str">
        <f t="shared" si="25"/>
        <v>INSTITUT TEKNOLOGI SEPULUH NOPEMBERARSITEKTUR</v>
      </c>
    </row>
    <row r="1607" spans="1:17" ht="15.75" thickBot="1" x14ac:dyDescent="0.3">
      <c r="A1607" s="7">
        <v>1606</v>
      </c>
      <c r="B1607" s="6">
        <v>53</v>
      </c>
      <c r="C1607" s="13">
        <v>3821055</v>
      </c>
      <c r="D1607" t="s">
        <v>21</v>
      </c>
      <c r="E1607" s="13">
        <v>30</v>
      </c>
      <c r="F1607" s="10" t="s">
        <v>20</v>
      </c>
      <c r="I1607" s="22"/>
      <c r="J1607" s="138">
        <v>631.48</v>
      </c>
      <c r="K1607" s="138">
        <v>638.59500000000003</v>
      </c>
      <c r="L1607" s="138">
        <v>624.36500000000001</v>
      </c>
      <c r="M1607" s="21"/>
      <c r="N1607" s="83">
        <v>631.48</v>
      </c>
      <c r="P1607" t="str">
        <f>VLOOKUP(B1607,PTN!A:B,2,FALSE)</f>
        <v>INSTITUT TEKNOLOGI SEPULUH NOPEMBER</v>
      </c>
      <c r="Q1607" t="str">
        <f t="shared" si="25"/>
        <v>INSTITUT TEKNOLOGI SEPULUH NOPEMBERBIOLOGI</v>
      </c>
    </row>
    <row r="1608" spans="1:17" ht="16.5" thickTop="1" thickBot="1" x14ac:dyDescent="0.3">
      <c r="A1608" s="7">
        <v>1607</v>
      </c>
      <c r="B1608" s="6">
        <v>53</v>
      </c>
      <c r="C1608" s="12">
        <v>3821287</v>
      </c>
      <c r="D1608" t="s">
        <v>432</v>
      </c>
      <c r="E1608" s="12">
        <v>18</v>
      </c>
      <c r="F1608" s="10" t="s">
        <v>20</v>
      </c>
      <c r="I1608" s="23"/>
      <c r="J1608" s="138">
        <v>611.9</v>
      </c>
      <c r="K1608" s="138">
        <v>617.77</v>
      </c>
      <c r="L1608" s="138">
        <v>606.03</v>
      </c>
      <c r="M1608" s="25"/>
      <c r="N1608" s="83">
        <v>611.9</v>
      </c>
      <c r="P1608" t="str">
        <f>VLOOKUP(B1608,PTN!A:B,2,FALSE)</f>
        <v>INSTITUT TEKNOLOGI SEPULUH NOPEMBER</v>
      </c>
      <c r="Q1608" t="str">
        <f t="shared" si="25"/>
        <v>INSTITUT TEKNOLOGI SEPULUH NOPEMBERDESAIN INTERIOR</v>
      </c>
    </row>
    <row r="1609" spans="1:17" ht="16.5" thickTop="1" thickBot="1" x14ac:dyDescent="0.3">
      <c r="A1609" s="7">
        <v>1608</v>
      </c>
      <c r="B1609" s="6">
        <v>53</v>
      </c>
      <c r="C1609" s="13">
        <v>3821322</v>
      </c>
      <c r="D1609" t="s">
        <v>12</v>
      </c>
      <c r="E1609" s="13">
        <v>18</v>
      </c>
      <c r="F1609" s="10" t="s">
        <v>20</v>
      </c>
      <c r="I1609" s="26"/>
      <c r="J1609" s="138">
        <v>631.14</v>
      </c>
      <c r="K1609" s="138">
        <v>638.34</v>
      </c>
      <c r="L1609" s="138">
        <v>623.93999999999994</v>
      </c>
      <c r="M1609" s="27"/>
      <c r="N1609" s="83">
        <v>631.14</v>
      </c>
      <c r="P1609" t="str">
        <f>VLOOKUP(B1609,PTN!A:B,2,FALSE)</f>
        <v>INSTITUT TEKNOLOGI SEPULUH NOPEMBER</v>
      </c>
      <c r="Q1609" t="str">
        <f t="shared" si="25"/>
        <v>INSTITUT TEKNOLOGI SEPULUH NOPEMBERDESAIN KOMUNIKASI VISUAL</v>
      </c>
    </row>
    <row r="1610" spans="1:17" ht="15.75" thickBot="1" x14ac:dyDescent="0.3">
      <c r="A1610" s="7">
        <v>1609</v>
      </c>
      <c r="B1610" s="6">
        <v>53</v>
      </c>
      <c r="C1610" s="12">
        <v>3821225</v>
      </c>
      <c r="D1610" t="s">
        <v>515</v>
      </c>
      <c r="E1610" s="12">
        <v>20</v>
      </c>
      <c r="F1610" s="10" t="s">
        <v>20</v>
      </c>
      <c r="I1610" s="87"/>
      <c r="J1610" s="138">
        <v>610.73</v>
      </c>
      <c r="K1610" s="138">
        <v>617.88</v>
      </c>
      <c r="L1610" s="138">
        <v>603.58000000000004</v>
      </c>
      <c r="M1610" s="28"/>
      <c r="N1610" s="83">
        <v>610.73</v>
      </c>
      <c r="P1610" t="str">
        <f>VLOOKUP(B1610,PTN!A:B,2,FALSE)</f>
        <v>INSTITUT TEKNOLOGI SEPULUH NOPEMBER</v>
      </c>
      <c r="Q1610" t="str">
        <f t="shared" si="25"/>
        <v>INSTITUT TEKNOLOGI SEPULUH NOPEMBERDESAIN PRODUK INDUSTRI</v>
      </c>
    </row>
    <row r="1611" spans="1:17" ht="15.75" thickBot="1" x14ac:dyDescent="0.3">
      <c r="A1611" s="7">
        <v>1610</v>
      </c>
      <c r="B1611" s="6">
        <v>53</v>
      </c>
      <c r="C1611" s="13">
        <v>3821016</v>
      </c>
      <c r="D1611" t="s">
        <v>65</v>
      </c>
      <c r="E1611" s="13">
        <v>36</v>
      </c>
      <c r="F1611" s="10" t="s">
        <v>20</v>
      </c>
      <c r="I1611" s="26"/>
      <c r="J1611" s="138">
        <v>624.08000000000004</v>
      </c>
      <c r="K1611" s="138">
        <v>631.90000000000009</v>
      </c>
      <c r="L1611" s="138">
        <v>616.26</v>
      </c>
      <c r="M1611" s="27"/>
      <c r="N1611" s="83">
        <v>624.08000000000004</v>
      </c>
      <c r="P1611" t="str">
        <f>VLOOKUP(B1611,PTN!A:B,2,FALSE)</f>
        <v>INSTITUT TEKNOLOGI SEPULUH NOPEMBER</v>
      </c>
      <c r="Q1611" t="str">
        <f t="shared" si="25"/>
        <v>INSTITUT TEKNOLOGI SEPULUH NOPEMBERFISIKA</v>
      </c>
    </row>
    <row r="1612" spans="1:17" ht="15.75" thickBot="1" x14ac:dyDescent="0.3">
      <c r="A1612" s="7">
        <v>1611</v>
      </c>
      <c r="B1612" s="6">
        <v>53</v>
      </c>
      <c r="C1612" s="12">
        <v>3821202</v>
      </c>
      <c r="D1612" t="s">
        <v>80</v>
      </c>
      <c r="E1612" s="12">
        <v>75</v>
      </c>
      <c r="F1612" s="10" t="s">
        <v>20</v>
      </c>
      <c r="I1612" s="87"/>
      <c r="J1612" s="138">
        <v>686.33</v>
      </c>
      <c r="K1612" s="138">
        <v>696.5200000000001</v>
      </c>
      <c r="L1612" s="138">
        <v>676.14</v>
      </c>
      <c r="M1612" s="28"/>
      <c r="N1612" s="83">
        <v>686.33</v>
      </c>
      <c r="P1612" t="str">
        <f>VLOOKUP(B1612,PTN!A:B,2,FALSE)</f>
        <v>INSTITUT TEKNOLOGI SEPULUH NOPEMBER</v>
      </c>
      <c r="Q1612" t="str">
        <f t="shared" si="25"/>
        <v>INSTITUT TEKNOLOGI SEPULUH NOPEMBERINFORMATIKA</v>
      </c>
    </row>
    <row r="1613" spans="1:17" ht="15.75" thickBot="1" x14ac:dyDescent="0.3">
      <c r="A1613" s="7">
        <v>1612</v>
      </c>
      <c r="B1613" s="6">
        <v>53</v>
      </c>
      <c r="C1613" s="13">
        <v>3821047</v>
      </c>
      <c r="D1613" t="s">
        <v>22</v>
      </c>
      <c r="E1613" s="13">
        <v>36</v>
      </c>
      <c r="F1613" s="10" t="s">
        <v>20</v>
      </c>
      <c r="I1613" s="26"/>
      <c r="J1613" s="138">
        <v>635.54</v>
      </c>
      <c r="K1613" s="138">
        <v>643.02499999999998</v>
      </c>
      <c r="L1613" s="138">
        <v>628.05499999999995</v>
      </c>
      <c r="M1613" s="27"/>
      <c r="N1613" s="83">
        <v>635.54</v>
      </c>
      <c r="P1613" t="str">
        <f>VLOOKUP(B1613,PTN!A:B,2,FALSE)</f>
        <v>INSTITUT TEKNOLOGI SEPULUH NOPEMBER</v>
      </c>
      <c r="Q1613" t="str">
        <f t="shared" si="25"/>
        <v>INSTITUT TEKNOLOGI SEPULUH NOPEMBERKIMIA</v>
      </c>
    </row>
    <row r="1614" spans="1:17" ht="15.75" thickBot="1" x14ac:dyDescent="0.3">
      <c r="A1614" s="7">
        <v>1613</v>
      </c>
      <c r="B1614" s="6">
        <v>53</v>
      </c>
      <c r="C1614" s="12">
        <v>3821024</v>
      </c>
      <c r="D1614" t="s">
        <v>66</v>
      </c>
      <c r="E1614" s="12">
        <v>39</v>
      </c>
      <c r="F1614" s="10" t="s">
        <v>20</v>
      </c>
      <c r="I1614" s="87"/>
      <c r="J1614" s="138">
        <v>643.76</v>
      </c>
      <c r="K1614" s="138">
        <v>654.71500000000003</v>
      </c>
      <c r="L1614" s="138">
        <v>632.80499999999995</v>
      </c>
      <c r="M1614" s="28"/>
      <c r="N1614" s="83">
        <v>643.76</v>
      </c>
      <c r="P1614" t="str">
        <f>VLOOKUP(B1614,PTN!A:B,2,FALSE)</f>
        <v>INSTITUT TEKNOLOGI SEPULUH NOPEMBER</v>
      </c>
      <c r="Q1614" t="str">
        <f t="shared" si="25"/>
        <v>INSTITUT TEKNOLOGI SEPULUH NOPEMBERMATEMATIKA</v>
      </c>
    </row>
    <row r="1615" spans="1:17" ht="15.75" thickBot="1" x14ac:dyDescent="0.3">
      <c r="A1615" s="7">
        <v>1614</v>
      </c>
      <c r="B1615" s="6">
        <v>53</v>
      </c>
      <c r="C1615" s="13">
        <v>3821167</v>
      </c>
      <c r="D1615" t="s">
        <v>87</v>
      </c>
      <c r="E1615" s="13">
        <v>33</v>
      </c>
      <c r="F1615" s="10" t="s">
        <v>20</v>
      </c>
      <c r="I1615" s="26"/>
      <c r="J1615" s="138">
        <v>644.58000000000004</v>
      </c>
      <c r="K1615" s="138">
        <v>654.20500000000004</v>
      </c>
      <c r="L1615" s="138">
        <v>634.95500000000004</v>
      </c>
      <c r="M1615" s="27"/>
      <c r="N1615" s="83">
        <v>644.58000000000004</v>
      </c>
      <c r="P1615" t="str">
        <f>VLOOKUP(B1615,PTN!A:B,2,FALSE)</f>
        <v>INSTITUT TEKNOLOGI SEPULUH NOPEMBER</v>
      </c>
      <c r="Q1615" t="str">
        <f t="shared" si="25"/>
        <v>INSTITUT TEKNOLOGI SEPULUH NOPEMBERPERENCANAAN WILAYAH DAN KOTA</v>
      </c>
    </row>
    <row r="1616" spans="1:17" ht="15.75" thickBot="1" x14ac:dyDescent="0.3">
      <c r="A1616" s="7">
        <v>1615</v>
      </c>
      <c r="B1616" s="6">
        <v>53</v>
      </c>
      <c r="C1616" s="12">
        <v>3821306</v>
      </c>
      <c r="D1616" t="s">
        <v>516</v>
      </c>
      <c r="E1616" s="12">
        <v>24</v>
      </c>
      <c r="F1616" s="10" t="s">
        <v>20</v>
      </c>
      <c r="I1616" s="87"/>
      <c r="J1616" s="138">
        <v>672.43</v>
      </c>
      <c r="K1616" s="138">
        <v>680.90499999999997</v>
      </c>
      <c r="L1616" s="138">
        <v>663.95499999999993</v>
      </c>
      <c r="M1616" s="28"/>
      <c r="N1616" s="83">
        <v>672.43</v>
      </c>
      <c r="P1616" t="str">
        <f>VLOOKUP(B1616,PTN!A:B,2,FALSE)</f>
        <v>INSTITUT TEKNOLOGI SEPULUH NOPEMBER</v>
      </c>
      <c r="Q1616" t="str">
        <f t="shared" si="25"/>
        <v>INSTITUT TEKNOLOGI SEPULUH NOPEMBERSAINS AKTUARIA</v>
      </c>
    </row>
    <row r="1617" spans="1:17" ht="15.75" thickBot="1" x14ac:dyDescent="0.3">
      <c r="A1617" s="7">
        <v>1616</v>
      </c>
      <c r="B1617" s="6">
        <v>53</v>
      </c>
      <c r="C1617" s="13">
        <v>3821217</v>
      </c>
      <c r="D1617" t="s">
        <v>46</v>
      </c>
      <c r="E1617" s="13">
        <v>45</v>
      </c>
      <c r="F1617" s="10" t="s">
        <v>20</v>
      </c>
      <c r="I1617" s="26"/>
      <c r="J1617" s="138">
        <v>669.85</v>
      </c>
      <c r="K1617" s="138">
        <v>676.38499999999999</v>
      </c>
      <c r="L1617" s="138">
        <v>663.31500000000005</v>
      </c>
      <c r="M1617" s="27"/>
      <c r="N1617" s="83">
        <v>669.85</v>
      </c>
      <c r="P1617" t="str">
        <f>VLOOKUP(B1617,PTN!A:B,2,FALSE)</f>
        <v>INSTITUT TEKNOLOGI SEPULUH NOPEMBER</v>
      </c>
      <c r="Q1617" t="str">
        <f t="shared" si="25"/>
        <v>INSTITUT TEKNOLOGI SEPULUH NOPEMBERSISTEM INFORMASI</v>
      </c>
    </row>
    <row r="1618" spans="1:17" ht="15.75" thickBot="1" x14ac:dyDescent="0.3">
      <c r="A1618" s="7">
        <v>1617</v>
      </c>
      <c r="B1618" s="6">
        <v>53</v>
      </c>
      <c r="C1618" s="12">
        <v>3821032</v>
      </c>
      <c r="D1618" t="s">
        <v>90</v>
      </c>
      <c r="E1618" s="12">
        <v>45</v>
      </c>
      <c r="F1618" s="10" t="s">
        <v>20</v>
      </c>
      <c r="I1618" s="87"/>
      <c r="J1618" s="138">
        <v>659.15</v>
      </c>
      <c r="K1618" s="138">
        <v>668.06</v>
      </c>
      <c r="L1618" s="138">
        <v>650.24</v>
      </c>
      <c r="M1618" s="28"/>
      <c r="N1618" s="83">
        <v>659.15</v>
      </c>
      <c r="P1618" t="str">
        <f>VLOOKUP(B1618,PTN!A:B,2,FALSE)</f>
        <v>INSTITUT TEKNOLOGI SEPULUH NOPEMBER</v>
      </c>
      <c r="Q1618" t="str">
        <f t="shared" si="25"/>
        <v>INSTITUT TEKNOLOGI SEPULUH NOPEMBERSTATISTIKA</v>
      </c>
    </row>
    <row r="1619" spans="1:17" ht="15.75" thickBot="1" x14ac:dyDescent="0.3">
      <c r="A1619" s="7">
        <v>1618</v>
      </c>
      <c r="B1619" s="6">
        <v>53</v>
      </c>
      <c r="C1619" s="13">
        <v>3821295</v>
      </c>
      <c r="D1619" t="s">
        <v>517</v>
      </c>
      <c r="E1619" s="13">
        <v>24</v>
      </c>
      <c r="F1619" s="10" t="s">
        <v>20</v>
      </c>
      <c r="I1619" s="26"/>
      <c r="J1619" s="138">
        <v>657.05</v>
      </c>
      <c r="K1619" s="138">
        <v>665.16499999999996</v>
      </c>
      <c r="L1619" s="138">
        <v>648.93499999999995</v>
      </c>
      <c r="M1619" s="27"/>
      <c r="N1619" s="83">
        <v>657.05</v>
      </c>
      <c r="P1619" t="str">
        <f>VLOOKUP(B1619,PTN!A:B,2,FALSE)</f>
        <v>INSTITUT TEKNOLOGI SEPULUH NOPEMBER</v>
      </c>
      <c r="Q1619" t="str">
        <f t="shared" si="25"/>
        <v>INSTITUT TEKNOLOGI SEPULUH NOPEMBERTEKNIK BIOMEDIK</v>
      </c>
    </row>
    <row r="1620" spans="1:17" ht="15.75" thickBot="1" x14ac:dyDescent="0.3">
      <c r="A1620" s="7">
        <v>1619</v>
      </c>
      <c r="B1620" s="6">
        <v>53</v>
      </c>
      <c r="C1620" s="12">
        <v>3821071</v>
      </c>
      <c r="D1620" t="s">
        <v>48</v>
      </c>
      <c r="E1620" s="12">
        <v>72</v>
      </c>
      <c r="F1620" s="10" t="s">
        <v>20</v>
      </c>
      <c r="I1620" s="87"/>
      <c r="J1620" s="138">
        <v>665.03</v>
      </c>
      <c r="K1620" s="138">
        <v>673.72</v>
      </c>
      <c r="L1620" s="138">
        <v>656.33999999999992</v>
      </c>
      <c r="M1620" s="28"/>
      <c r="N1620" s="83">
        <v>665.03</v>
      </c>
      <c r="P1620" t="str">
        <f>VLOOKUP(B1620,PTN!A:B,2,FALSE)</f>
        <v>INSTITUT TEKNOLOGI SEPULUH NOPEMBER</v>
      </c>
      <c r="Q1620" t="str">
        <f t="shared" si="25"/>
        <v>INSTITUT TEKNOLOGI SEPULUH NOPEMBERTEKNIK ELEKTRO</v>
      </c>
    </row>
    <row r="1621" spans="1:17" ht="15.75" thickBot="1" x14ac:dyDescent="0.3">
      <c r="A1621" s="7">
        <v>1620</v>
      </c>
      <c r="B1621" s="6">
        <v>53</v>
      </c>
      <c r="C1621" s="13">
        <v>3821094</v>
      </c>
      <c r="D1621" t="s">
        <v>267</v>
      </c>
      <c r="E1621" s="13">
        <v>54</v>
      </c>
      <c r="F1621" s="10" t="s">
        <v>20</v>
      </c>
      <c r="I1621" s="26"/>
      <c r="J1621" s="138">
        <v>650.02</v>
      </c>
      <c r="K1621" s="138">
        <v>657.90499999999997</v>
      </c>
      <c r="L1621" s="138">
        <v>642.13499999999999</v>
      </c>
      <c r="M1621" s="27"/>
      <c r="N1621" s="83">
        <v>650.02</v>
      </c>
      <c r="P1621" t="str">
        <f>VLOOKUP(B1621,PTN!A:B,2,FALSE)</f>
        <v>INSTITUT TEKNOLOGI SEPULUH NOPEMBER</v>
      </c>
      <c r="Q1621" t="str">
        <f t="shared" si="25"/>
        <v>INSTITUT TEKNOLOGI SEPULUH NOPEMBERTEKNIK FISIKA</v>
      </c>
    </row>
    <row r="1622" spans="1:17" ht="15.75" thickBot="1" x14ac:dyDescent="0.3">
      <c r="A1622" s="7">
        <v>1621</v>
      </c>
      <c r="B1622" s="6">
        <v>53</v>
      </c>
      <c r="C1622" s="12">
        <v>3821272</v>
      </c>
      <c r="D1622" t="s">
        <v>91</v>
      </c>
      <c r="E1622" s="12">
        <v>18</v>
      </c>
      <c r="F1622" s="10" t="s">
        <v>20</v>
      </c>
      <c r="I1622" s="87"/>
      <c r="J1622" s="138">
        <v>643.20000000000005</v>
      </c>
      <c r="K1622" s="138">
        <v>651.24</v>
      </c>
      <c r="L1622" s="138">
        <v>635.16000000000008</v>
      </c>
      <c r="M1622" s="28"/>
      <c r="N1622" s="83">
        <v>643.20000000000005</v>
      </c>
      <c r="P1622" t="str">
        <f>VLOOKUP(B1622,PTN!A:B,2,FALSE)</f>
        <v>INSTITUT TEKNOLOGI SEPULUH NOPEMBER</v>
      </c>
      <c r="Q1622" t="str">
        <f t="shared" si="25"/>
        <v>INSTITUT TEKNOLOGI SEPULUH NOPEMBERTEKNIK GEOFISIKA</v>
      </c>
    </row>
    <row r="1623" spans="1:17" ht="15.75" thickBot="1" x14ac:dyDescent="0.3">
      <c r="A1623" s="7">
        <v>1622</v>
      </c>
      <c r="B1623" s="6">
        <v>53</v>
      </c>
      <c r="C1623" s="13">
        <v>3821152</v>
      </c>
      <c r="D1623" t="s">
        <v>268</v>
      </c>
      <c r="E1623" s="13">
        <v>36</v>
      </c>
      <c r="F1623" s="10" t="s">
        <v>20</v>
      </c>
      <c r="I1623" s="26"/>
      <c r="J1623" s="138">
        <v>632.72</v>
      </c>
      <c r="K1623" s="138">
        <v>640.88499999999999</v>
      </c>
      <c r="L1623" s="138">
        <v>624.55500000000006</v>
      </c>
      <c r="M1623" s="27"/>
      <c r="N1623" s="83">
        <v>632.72</v>
      </c>
      <c r="P1623" t="str">
        <f>VLOOKUP(B1623,PTN!A:B,2,FALSE)</f>
        <v>INSTITUT TEKNOLOGI SEPULUH NOPEMBER</v>
      </c>
      <c r="Q1623" t="str">
        <f t="shared" si="25"/>
        <v>INSTITUT TEKNOLOGI SEPULUH NOPEMBERTEKNIK GEOMATIKA</v>
      </c>
    </row>
    <row r="1624" spans="1:17" ht="15.75" thickBot="1" x14ac:dyDescent="0.3">
      <c r="A1624" s="7">
        <v>1623</v>
      </c>
      <c r="B1624" s="6">
        <v>53</v>
      </c>
      <c r="C1624" s="12">
        <v>3821105</v>
      </c>
      <c r="D1624" t="s">
        <v>49</v>
      </c>
      <c r="E1624" s="12">
        <v>60</v>
      </c>
      <c r="F1624" s="10" t="s">
        <v>20</v>
      </c>
      <c r="I1624" s="87"/>
      <c r="J1624" s="138">
        <v>667.42</v>
      </c>
      <c r="K1624" s="138">
        <v>677.41499999999996</v>
      </c>
      <c r="L1624" s="138">
        <v>657.42499999999995</v>
      </c>
      <c r="M1624" s="28"/>
      <c r="N1624" s="83">
        <v>667.42</v>
      </c>
      <c r="P1624" t="str">
        <f>VLOOKUP(B1624,PTN!A:B,2,FALSE)</f>
        <v>INSTITUT TEKNOLOGI SEPULUH NOPEMBER</v>
      </c>
      <c r="Q1624" t="str">
        <f t="shared" si="25"/>
        <v>INSTITUT TEKNOLOGI SEPULUH NOPEMBERTEKNIK INDUSTRI</v>
      </c>
    </row>
    <row r="1625" spans="1:17" ht="15.75" thickBot="1" x14ac:dyDescent="0.3">
      <c r="A1625" s="7">
        <v>1624</v>
      </c>
      <c r="B1625" s="6">
        <v>53</v>
      </c>
      <c r="C1625" s="13">
        <v>3821183</v>
      </c>
      <c r="D1625" t="s">
        <v>269</v>
      </c>
      <c r="E1625" s="13">
        <v>39</v>
      </c>
      <c r="F1625" s="10" t="s">
        <v>20</v>
      </c>
      <c r="I1625" s="26"/>
      <c r="J1625" s="138">
        <v>640.41</v>
      </c>
      <c r="K1625" s="138">
        <v>648.81499999999994</v>
      </c>
      <c r="L1625" s="138">
        <v>632.005</v>
      </c>
      <c r="M1625" s="27"/>
      <c r="N1625" s="83">
        <v>640.41</v>
      </c>
      <c r="P1625" t="str">
        <f>VLOOKUP(B1625,PTN!A:B,2,FALSE)</f>
        <v>INSTITUT TEKNOLOGI SEPULUH NOPEMBER</v>
      </c>
      <c r="Q1625" t="str">
        <f t="shared" si="25"/>
        <v>INSTITUT TEKNOLOGI SEPULUH NOPEMBERTEKNIK KELAUTAN</v>
      </c>
    </row>
    <row r="1626" spans="1:17" ht="15.75" thickBot="1" x14ac:dyDescent="0.3">
      <c r="A1626" s="7">
        <v>1625</v>
      </c>
      <c r="B1626" s="6">
        <v>53</v>
      </c>
      <c r="C1626" s="12">
        <v>3821086</v>
      </c>
      <c r="D1626" t="s">
        <v>51</v>
      </c>
      <c r="E1626" s="12">
        <v>60</v>
      </c>
      <c r="F1626" s="10" t="s">
        <v>20</v>
      </c>
      <c r="I1626" s="87"/>
      <c r="J1626" s="138">
        <v>669.82</v>
      </c>
      <c r="K1626" s="138">
        <v>679.79500000000007</v>
      </c>
      <c r="L1626" s="138">
        <v>659.84500000000003</v>
      </c>
      <c r="M1626" s="28"/>
      <c r="N1626" s="83">
        <v>669.82</v>
      </c>
      <c r="P1626" t="str">
        <f>VLOOKUP(B1626,PTN!A:B,2,FALSE)</f>
        <v>INSTITUT TEKNOLOGI SEPULUH NOPEMBER</v>
      </c>
      <c r="Q1626" t="str">
        <f t="shared" si="25"/>
        <v>INSTITUT TEKNOLOGI SEPULUH NOPEMBERTEKNIK KIMIA</v>
      </c>
    </row>
    <row r="1627" spans="1:17" ht="15.75" thickBot="1" x14ac:dyDescent="0.3">
      <c r="A1627" s="7">
        <v>1626</v>
      </c>
      <c r="B1627" s="6">
        <v>53</v>
      </c>
      <c r="C1627" s="13">
        <v>3821256</v>
      </c>
      <c r="D1627" t="s">
        <v>93</v>
      </c>
      <c r="E1627" s="13">
        <v>24</v>
      </c>
      <c r="F1627" s="10" t="s">
        <v>20</v>
      </c>
      <c r="I1627" s="26"/>
      <c r="J1627" s="138">
        <v>653.27</v>
      </c>
      <c r="K1627" s="138">
        <v>663.11500000000001</v>
      </c>
      <c r="L1627" s="138">
        <v>643.42499999999995</v>
      </c>
      <c r="M1627" s="27"/>
      <c r="N1627" s="83">
        <v>653.27</v>
      </c>
      <c r="P1627" t="str">
        <f>VLOOKUP(B1627,PTN!A:B,2,FALSE)</f>
        <v>INSTITUT TEKNOLOGI SEPULUH NOPEMBER</v>
      </c>
      <c r="Q1627" t="str">
        <f t="shared" si="25"/>
        <v>INSTITUT TEKNOLOGI SEPULUH NOPEMBERTEKNIK KOMPUTER</v>
      </c>
    </row>
    <row r="1628" spans="1:17" ht="15.75" thickBot="1" x14ac:dyDescent="0.3">
      <c r="A1628" s="7">
        <v>1627</v>
      </c>
      <c r="B1628" s="6">
        <v>53</v>
      </c>
      <c r="C1628" s="12">
        <v>3821144</v>
      </c>
      <c r="D1628" t="s">
        <v>25</v>
      </c>
      <c r="E1628" s="12">
        <v>36</v>
      </c>
      <c r="F1628" s="10" t="s">
        <v>20</v>
      </c>
      <c r="I1628" s="87"/>
      <c r="J1628" s="138">
        <v>648</v>
      </c>
      <c r="K1628" s="138">
        <v>658.34</v>
      </c>
      <c r="L1628" s="138">
        <v>637.66</v>
      </c>
      <c r="M1628" s="28"/>
      <c r="N1628" s="83">
        <v>648</v>
      </c>
      <c r="P1628" t="str">
        <f>VLOOKUP(B1628,PTN!A:B,2,FALSE)</f>
        <v>INSTITUT TEKNOLOGI SEPULUH NOPEMBER</v>
      </c>
      <c r="Q1628" t="str">
        <f t="shared" si="25"/>
        <v>INSTITUT TEKNOLOGI SEPULUH NOPEMBERTEKNIK LINGKUNGAN</v>
      </c>
    </row>
    <row r="1629" spans="1:17" ht="15.75" thickBot="1" x14ac:dyDescent="0.3">
      <c r="A1629" s="7">
        <v>1628</v>
      </c>
      <c r="B1629" s="6">
        <v>53</v>
      </c>
      <c r="C1629" s="13">
        <v>3821113</v>
      </c>
      <c r="D1629" t="s">
        <v>52</v>
      </c>
      <c r="E1629" s="13">
        <v>48</v>
      </c>
      <c r="F1629" s="10" t="s">
        <v>20</v>
      </c>
      <c r="I1629" s="26"/>
      <c r="J1629" s="138">
        <v>648.4</v>
      </c>
      <c r="K1629" s="138">
        <v>657.245</v>
      </c>
      <c r="L1629" s="138">
        <v>639.55499999999995</v>
      </c>
      <c r="M1629" s="27"/>
      <c r="N1629" s="83">
        <v>648.4</v>
      </c>
      <c r="P1629" t="str">
        <f>VLOOKUP(B1629,PTN!A:B,2,FALSE)</f>
        <v>INSTITUT TEKNOLOGI SEPULUH NOPEMBER</v>
      </c>
      <c r="Q1629" t="str">
        <f t="shared" si="25"/>
        <v>INSTITUT TEKNOLOGI SEPULUH NOPEMBERTEKNIK MATERIAL</v>
      </c>
    </row>
    <row r="1630" spans="1:17" ht="15.75" thickBot="1" x14ac:dyDescent="0.3">
      <c r="A1630" s="7">
        <v>1629</v>
      </c>
      <c r="B1630" s="6">
        <v>53</v>
      </c>
      <c r="C1630" s="12">
        <v>3821063</v>
      </c>
      <c r="D1630" t="s">
        <v>53</v>
      </c>
      <c r="E1630" s="12">
        <v>66</v>
      </c>
      <c r="F1630" s="10" t="s">
        <v>20</v>
      </c>
      <c r="I1630" s="87"/>
      <c r="J1630" s="138">
        <v>659.35</v>
      </c>
      <c r="K1630" s="138">
        <v>667.53499999999997</v>
      </c>
      <c r="L1630" s="138">
        <v>651.16500000000008</v>
      </c>
      <c r="M1630" s="28"/>
      <c r="N1630" s="83">
        <v>659.35</v>
      </c>
      <c r="P1630" t="str">
        <f>VLOOKUP(B1630,PTN!A:B,2,FALSE)</f>
        <v>INSTITUT TEKNOLOGI SEPULUH NOPEMBER</v>
      </c>
      <c r="Q1630" t="str">
        <f t="shared" si="25"/>
        <v>INSTITUT TEKNOLOGI SEPULUH NOPEMBERTEKNIK MESIN</v>
      </c>
    </row>
    <row r="1631" spans="1:17" ht="15.75" thickBot="1" x14ac:dyDescent="0.3">
      <c r="A1631" s="7">
        <v>1630</v>
      </c>
      <c r="B1631" s="6">
        <v>53</v>
      </c>
      <c r="C1631" s="13">
        <v>3821175</v>
      </c>
      <c r="D1631" t="s">
        <v>295</v>
      </c>
      <c r="E1631" s="13">
        <v>27</v>
      </c>
      <c r="F1631" s="10" t="s">
        <v>20</v>
      </c>
      <c r="I1631" s="26"/>
      <c r="J1631" s="138">
        <v>634.62</v>
      </c>
      <c r="K1631" s="138">
        <v>644.56000000000006</v>
      </c>
      <c r="L1631" s="138">
        <v>624.67999999999995</v>
      </c>
      <c r="M1631" s="27"/>
      <c r="N1631" s="83">
        <v>634.62</v>
      </c>
      <c r="P1631" t="str">
        <f>VLOOKUP(B1631,PTN!A:B,2,FALSE)</f>
        <v>INSTITUT TEKNOLOGI SEPULUH NOPEMBER</v>
      </c>
      <c r="Q1631" t="str">
        <f t="shared" si="25"/>
        <v>INSTITUT TEKNOLOGI SEPULUH NOPEMBERTEKNIK PERKAPALAN</v>
      </c>
    </row>
    <row r="1632" spans="1:17" ht="15.75" thickBot="1" x14ac:dyDescent="0.3">
      <c r="A1632" s="7">
        <v>1631</v>
      </c>
      <c r="B1632" s="6">
        <v>53</v>
      </c>
      <c r="C1632" s="12">
        <v>3821121</v>
      </c>
      <c r="D1632" t="s">
        <v>54</v>
      </c>
      <c r="E1632" s="12">
        <v>45</v>
      </c>
      <c r="F1632" s="10" t="s">
        <v>20</v>
      </c>
      <c r="I1632" s="87"/>
      <c r="J1632" s="138">
        <v>674.81</v>
      </c>
      <c r="K1632" s="138">
        <v>688.2299999999999</v>
      </c>
      <c r="L1632" s="138">
        <v>661.39</v>
      </c>
      <c r="M1632" s="28"/>
      <c r="N1632" s="83">
        <v>674.81</v>
      </c>
      <c r="P1632" t="str">
        <f>VLOOKUP(B1632,PTN!A:B,2,FALSE)</f>
        <v>INSTITUT TEKNOLOGI SEPULUH NOPEMBER</v>
      </c>
      <c r="Q1632" t="str">
        <f t="shared" si="25"/>
        <v>INSTITUT TEKNOLOGI SEPULUH NOPEMBERTEKNIK SIPIL</v>
      </c>
    </row>
    <row r="1633" spans="1:17" ht="15.75" thickBot="1" x14ac:dyDescent="0.3">
      <c r="A1633" s="7">
        <v>1632</v>
      </c>
      <c r="B1633" s="6">
        <v>53</v>
      </c>
      <c r="C1633" s="13">
        <v>3821191</v>
      </c>
      <c r="D1633" t="s">
        <v>518</v>
      </c>
      <c r="E1633" s="13">
        <v>39</v>
      </c>
      <c r="F1633" s="10" t="s">
        <v>20</v>
      </c>
      <c r="I1633" s="26"/>
      <c r="J1633" s="138">
        <v>646.44000000000005</v>
      </c>
      <c r="K1633" s="138">
        <v>655.58</v>
      </c>
      <c r="L1633" s="138">
        <v>637.30000000000007</v>
      </c>
      <c r="M1633" s="27"/>
      <c r="N1633" s="83">
        <v>646.44000000000005</v>
      </c>
      <c r="P1633" t="str">
        <f>VLOOKUP(B1633,PTN!A:B,2,FALSE)</f>
        <v>INSTITUT TEKNOLOGI SEPULUH NOPEMBER</v>
      </c>
      <c r="Q1633" t="str">
        <f t="shared" si="25"/>
        <v>INSTITUT TEKNOLOGI SEPULUH NOPEMBERTEKNIK SISTEM PERKAPALAN</v>
      </c>
    </row>
    <row r="1634" spans="1:17" ht="15.75" thickBot="1" x14ac:dyDescent="0.3">
      <c r="A1634" s="7">
        <v>1633</v>
      </c>
      <c r="B1634" s="6">
        <v>53</v>
      </c>
      <c r="C1634" s="12">
        <v>3821233</v>
      </c>
      <c r="D1634" t="s">
        <v>519</v>
      </c>
      <c r="E1634" s="12">
        <v>15</v>
      </c>
      <c r="F1634" s="10" t="s">
        <v>20</v>
      </c>
      <c r="I1634" s="87"/>
      <c r="J1634" s="138">
        <v>624.98</v>
      </c>
      <c r="K1634" s="138">
        <v>632.78</v>
      </c>
      <c r="L1634" s="138">
        <v>617.18000000000006</v>
      </c>
      <c r="M1634" s="28"/>
      <c r="N1634" s="83">
        <v>624.98</v>
      </c>
      <c r="P1634" t="str">
        <f>VLOOKUP(B1634,PTN!A:B,2,FALSE)</f>
        <v>INSTITUT TEKNOLOGI SEPULUH NOPEMBER</v>
      </c>
      <c r="Q1634" t="str">
        <f t="shared" si="25"/>
        <v>INSTITUT TEKNOLOGI SEPULUH NOPEMBERTEKNIK TRANSPORTASI LAUT</v>
      </c>
    </row>
    <row r="1635" spans="1:17" ht="15.75" thickBot="1" x14ac:dyDescent="0.3">
      <c r="A1635" s="7">
        <v>1634</v>
      </c>
      <c r="B1635" s="6">
        <v>53</v>
      </c>
      <c r="C1635" s="13">
        <v>3821314</v>
      </c>
      <c r="D1635" t="s">
        <v>26</v>
      </c>
      <c r="E1635" s="13">
        <v>15</v>
      </c>
      <c r="F1635" s="10" t="s">
        <v>20</v>
      </c>
      <c r="I1635" s="26"/>
      <c r="J1635" s="138">
        <v>659.18</v>
      </c>
      <c r="K1635" s="138">
        <v>667.93499999999995</v>
      </c>
      <c r="L1635" s="138">
        <v>650.42499999999995</v>
      </c>
      <c r="M1635" s="27"/>
      <c r="N1635" s="83">
        <v>659.18</v>
      </c>
      <c r="P1635" t="str">
        <f>VLOOKUP(B1635,PTN!A:B,2,FALSE)</f>
        <v>INSTITUT TEKNOLOGI SEPULUH NOPEMBER</v>
      </c>
      <c r="Q1635" t="str">
        <f t="shared" si="25"/>
        <v>INSTITUT TEKNOLOGI SEPULUH NOPEMBERTEKNOLOGI INFORMASI</v>
      </c>
    </row>
    <row r="1636" spans="1:17" ht="15.75" thickBot="1" x14ac:dyDescent="0.3">
      <c r="A1636" s="7">
        <v>1635</v>
      </c>
      <c r="B1636" s="6">
        <v>53</v>
      </c>
      <c r="C1636" s="14">
        <v>3821241</v>
      </c>
      <c r="D1636" t="s">
        <v>520</v>
      </c>
      <c r="E1636" s="14">
        <v>18</v>
      </c>
      <c r="F1636" s="10" t="s">
        <v>20</v>
      </c>
      <c r="I1636" s="87"/>
      <c r="J1636" s="138">
        <v>635.64</v>
      </c>
      <c r="K1636" s="138">
        <v>649.55999999999995</v>
      </c>
      <c r="L1636" s="138">
        <v>621.72</v>
      </c>
      <c r="M1636" s="28"/>
      <c r="N1636" s="83">
        <v>635.64</v>
      </c>
      <c r="P1636" t="str">
        <f>VLOOKUP(B1636,PTN!A:B,2,FALSE)</f>
        <v>INSTITUT TEKNOLOGI SEPULUH NOPEMBER</v>
      </c>
      <c r="Q1636" t="str">
        <f t="shared" si="25"/>
        <v>INSTITUT TEKNOLOGI SEPULUH NOPEMBERTEK. SIST PERKAPALAN (GLR GANDA ITS-JERMAN)</v>
      </c>
    </row>
    <row r="1637" spans="1:17" ht="16.5" thickTop="1" thickBot="1" x14ac:dyDescent="0.3">
      <c r="A1637" s="7">
        <v>1636</v>
      </c>
      <c r="B1637" s="6">
        <v>53</v>
      </c>
      <c r="C1637" s="12">
        <v>3822012</v>
      </c>
      <c r="D1637" t="s">
        <v>521</v>
      </c>
      <c r="E1637" s="12">
        <v>36</v>
      </c>
      <c r="F1637" s="10" t="s">
        <v>13</v>
      </c>
      <c r="I1637" s="20"/>
      <c r="J1637" s="138">
        <v>637.29</v>
      </c>
      <c r="K1637" s="138">
        <v>645.42773</v>
      </c>
      <c r="L1637" s="138">
        <v>629.15226999999993</v>
      </c>
      <c r="M1637" s="21"/>
      <c r="N1637" s="83">
        <v>637.29</v>
      </c>
      <c r="P1637" t="str">
        <f>VLOOKUP(B1637,PTN!A:B,2,FALSE)</f>
        <v>INSTITUT TEKNOLOGI SEPULUH NOPEMBER</v>
      </c>
      <c r="Q1637" t="str">
        <f t="shared" si="25"/>
        <v>INSTITUT TEKNOLOGI SEPULUH NOPEMBERMANAJEMEN BISNIS</v>
      </c>
    </row>
    <row r="1638" spans="1:17" ht="15.75" thickBot="1" x14ac:dyDescent="0.3">
      <c r="A1638" s="7">
        <v>1637</v>
      </c>
      <c r="B1638" s="6">
        <v>53</v>
      </c>
      <c r="C1638" s="16">
        <v>3822027</v>
      </c>
      <c r="D1638" t="s">
        <v>522</v>
      </c>
      <c r="E1638" s="16">
        <v>15</v>
      </c>
      <c r="F1638" s="10" t="s">
        <v>13</v>
      </c>
      <c r="I1638" s="22"/>
      <c r="J1638" s="138">
        <v>622.66</v>
      </c>
      <c r="K1638" s="138">
        <v>630.79773</v>
      </c>
      <c r="L1638" s="138">
        <v>614.52226999999993</v>
      </c>
      <c r="M1638" s="21"/>
      <c r="N1638" s="83">
        <v>622.66</v>
      </c>
      <c r="P1638" t="str">
        <f>VLOOKUP(B1638,PTN!A:B,2,FALSE)</f>
        <v>INSTITUT TEKNOLOGI SEPULUH NOPEMBER</v>
      </c>
      <c r="Q1638" t="str">
        <f t="shared" si="25"/>
        <v>INSTITUT TEKNOLOGI SEPULUH NOPEMBERSTUDI PEMBANGUNAN</v>
      </c>
    </row>
    <row r="1639" spans="1:17" ht="16.5" thickTop="1" thickBot="1" x14ac:dyDescent="0.3">
      <c r="A1639" s="7">
        <v>1638</v>
      </c>
      <c r="B1639" s="6">
        <v>52</v>
      </c>
      <c r="C1639" s="12">
        <v>3811061</v>
      </c>
      <c r="D1639" t="s">
        <v>21</v>
      </c>
      <c r="E1639" s="12">
        <v>30</v>
      </c>
      <c r="F1639" s="10" t="s">
        <v>20</v>
      </c>
      <c r="I1639" s="20"/>
      <c r="J1639" s="138">
        <v>615.27</v>
      </c>
      <c r="K1639" s="138">
        <v>628.43999999999994</v>
      </c>
      <c r="L1639" s="138">
        <v>602.1</v>
      </c>
      <c r="M1639" s="21"/>
      <c r="N1639" s="83">
        <v>615.27</v>
      </c>
      <c r="P1639" t="str">
        <f>VLOOKUP(B1639,PTN!A:B,2,FALSE)</f>
        <v>UNIVERSITAS AIRLANGGA</v>
      </c>
      <c r="Q1639" t="str">
        <f t="shared" si="25"/>
        <v>UNIVERSITAS AIRLANGGABIOLOGI</v>
      </c>
    </row>
    <row r="1640" spans="1:17" ht="15.75" thickBot="1" x14ac:dyDescent="0.3">
      <c r="A1640" s="7">
        <v>1639</v>
      </c>
      <c r="B1640" s="6">
        <v>52</v>
      </c>
      <c r="C1640" s="13">
        <v>3811111</v>
      </c>
      <c r="D1640" t="s">
        <v>39</v>
      </c>
      <c r="E1640" s="13">
        <v>54</v>
      </c>
      <c r="F1640" s="10" t="s">
        <v>20</v>
      </c>
      <c r="I1640" s="22"/>
      <c r="J1640" s="138" t="s">
        <v>1292</v>
      </c>
      <c r="K1640" s="138" t="s">
        <v>1292</v>
      </c>
      <c r="L1640" s="138" t="s">
        <v>1292</v>
      </c>
      <c r="M1640" s="21"/>
      <c r="N1640" s="83" t="s">
        <v>1292</v>
      </c>
      <c r="P1640" t="str">
        <f>VLOOKUP(B1640,PTN!A:B,2,FALSE)</f>
        <v>UNIVERSITAS AIRLANGGA</v>
      </c>
      <c r="Q1640" t="str">
        <f t="shared" si="25"/>
        <v>UNIVERSITAS AIRLANGGABUDIDAYA PERAIRAN</v>
      </c>
    </row>
    <row r="1641" spans="1:17" ht="16.5" thickTop="1" thickBot="1" x14ac:dyDescent="0.3">
      <c r="A1641" s="7">
        <v>1640</v>
      </c>
      <c r="B1641" s="6">
        <v>52</v>
      </c>
      <c r="C1641" s="12">
        <v>3811207</v>
      </c>
      <c r="D1641" t="s">
        <v>523</v>
      </c>
      <c r="E1641" s="12">
        <v>15</v>
      </c>
      <c r="F1641" s="10" t="s">
        <v>20</v>
      </c>
      <c r="I1641" s="23"/>
      <c r="J1641" s="138" t="s">
        <v>1292</v>
      </c>
      <c r="K1641" s="138" t="s">
        <v>1292</v>
      </c>
      <c r="L1641" s="138" t="s">
        <v>1292</v>
      </c>
      <c r="M1641" s="25"/>
      <c r="N1641" s="83" t="s">
        <v>1292</v>
      </c>
      <c r="P1641" t="str">
        <f>VLOOKUP(B1641,PTN!A:B,2,FALSE)</f>
        <v>UNIVERSITAS AIRLANGGA</v>
      </c>
      <c r="Q1641" t="str">
        <f t="shared" si="25"/>
        <v>UNIVERSITAS AIRLANGGABUDIDAYA PERAIRAN (PSDKU BANYUWANGI)</v>
      </c>
    </row>
    <row r="1642" spans="1:17" ht="16.5" thickTop="1" thickBot="1" x14ac:dyDescent="0.3">
      <c r="A1642" s="7">
        <v>1641</v>
      </c>
      <c r="B1642" s="6">
        <v>52</v>
      </c>
      <c r="C1642" s="13">
        <v>3811076</v>
      </c>
      <c r="D1642" t="s">
        <v>65</v>
      </c>
      <c r="E1642" s="13">
        <v>30</v>
      </c>
      <c r="F1642" s="10" t="s">
        <v>20</v>
      </c>
      <c r="I1642" s="26"/>
      <c r="J1642" s="138">
        <v>604.42999999999995</v>
      </c>
      <c r="K1642" s="138">
        <v>609.47499999999991</v>
      </c>
      <c r="L1642" s="138">
        <v>599.38499999999999</v>
      </c>
      <c r="M1642" s="27"/>
      <c r="N1642" s="83">
        <v>604.42999999999995</v>
      </c>
      <c r="P1642" t="str">
        <f>VLOOKUP(B1642,PTN!A:B,2,FALSE)</f>
        <v>UNIVERSITAS AIRLANGGA</v>
      </c>
      <c r="Q1642" t="str">
        <f t="shared" si="25"/>
        <v>UNIVERSITAS AIRLANGGAFISIKA</v>
      </c>
    </row>
    <row r="1643" spans="1:17" ht="15.75" thickBot="1" x14ac:dyDescent="0.3">
      <c r="A1643" s="7">
        <v>1642</v>
      </c>
      <c r="B1643" s="6">
        <v>52</v>
      </c>
      <c r="C1643" s="12">
        <v>3811142</v>
      </c>
      <c r="D1643" t="s">
        <v>524</v>
      </c>
      <c r="E1643" s="12">
        <v>24</v>
      </c>
      <c r="F1643" s="10" t="s">
        <v>20</v>
      </c>
      <c r="I1643" s="87"/>
      <c r="J1643" s="138">
        <v>623.44000000000005</v>
      </c>
      <c r="K1643" s="138">
        <v>630.7700000000001</v>
      </c>
      <c r="L1643" s="138">
        <v>616.11</v>
      </c>
      <c r="M1643" s="28"/>
      <c r="N1643" s="83">
        <v>623.44000000000005</v>
      </c>
      <c r="P1643" t="str">
        <f>VLOOKUP(B1643,PTN!A:B,2,FALSE)</f>
        <v>UNIVERSITAS AIRLANGGA</v>
      </c>
      <c r="Q1643" t="str">
        <f t="shared" si="25"/>
        <v>UNIVERSITAS AIRLANGGAILMU DAN TEKNOLOGI LINGKUNGAN</v>
      </c>
    </row>
    <row r="1644" spans="1:17" ht="15.75" thickBot="1" x14ac:dyDescent="0.3">
      <c r="A1644" s="7">
        <v>1643</v>
      </c>
      <c r="B1644" s="6">
        <v>52</v>
      </c>
      <c r="C1644" s="13">
        <v>3811173</v>
      </c>
      <c r="D1644" t="s">
        <v>346</v>
      </c>
      <c r="E1644" s="13">
        <v>36</v>
      </c>
      <c r="F1644" s="10" t="s">
        <v>20</v>
      </c>
      <c r="I1644" s="26"/>
      <c r="J1644" s="138">
        <v>638.29999999999995</v>
      </c>
      <c r="K1644" s="138">
        <v>647.99</v>
      </c>
      <c r="L1644" s="138">
        <v>628.6099999999999</v>
      </c>
      <c r="M1644" s="27"/>
      <c r="N1644" s="83">
        <v>638.29999999999995</v>
      </c>
      <c r="P1644" t="str">
        <f>VLOOKUP(B1644,PTN!A:B,2,FALSE)</f>
        <v>UNIVERSITAS AIRLANGGA</v>
      </c>
      <c r="Q1644" t="str">
        <f t="shared" si="25"/>
        <v>UNIVERSITAS AIRLANGGAILMU GIZI</v>
      </c>
    </row>
    <row r="1645" spans="1:17" ht="15.75" thickBot="1" x14ac:dyDescent="0.3">
      <c r="A1645" s="7">
        <v>1644</v>
      </c>
      <c r="B1645" s="6">
        <v>52</v>
      </c>
      <c r="C1645" s="12">
        <v>3811045</v>
      </c>
      <c r="D1645" t="s">
        <v>348</v>
      </c>
      <c r="E1645" s="12">
        <v>75</v>
      </c>
      <c r="F1645" s="10" t="s">
        <v>20</v>
      </c>
      <c r="I1645" s="87"/>
      <c r="J1645" s="138">
        <v>621.23</v>
      </c>
      <c r="K1645" s="138">
        <v>630.01499999999999</v>
      </c>
      <c r="L1645" s="138">
        <v>612.44500000000005</v>
      </c>
      <c r="M1645" s="28"/>
      <c r="N1645" s="83">
        <v>621.23</v>
      </c>
      <c r="P1645" t="str">
        <f>VLOOKUP(B1645,PTN!A:B,2,FALSE)</f>
        <v>UNIVERSITAS AIRLANGGA</v>
      </c>
      <c r="Q1645" t="str">
        <f t="shared" si="25"/>
        <v>UNIVERSITAS AIRLANGGAKEDOKTERAN HEWAN</v>
      </c>
    </row>
    <row r="1646" spans="1:17" ht="15.75" thickBot="1" x14ac:dyDescent="0.3">
      <c r="A1646" s="7">
        <v>1645</v>
      </c>
      <c r="B1646" s="6">
        <v>52</v>
      </c>
      <c r="C1646" s="13">
        <v>3811092</v>
      </c>
      <c r="D1646" t="s">
        <v>107</v>
      </c>
      <c r="E1646" s="13">
        <v>84</v>
      </c>
      <c r="F1646" s="10" t="s">
        <v>20</v>
      </c>
      <c r="I1646" s="26"/>
      <c r="J1646" s="138">
        <v>630.77</v>
      </c>
      <c r="K1646" s="138">
        <v>638.58500000000004</v>
      </c>
      <c r="L1646" s="138">
        <v>622.95499999999993</v>
      </c>
      <c r="M1646" s="27"/>
      <c r="N1646" s="83">
        <v>630.77</v>
      </c>
      <c r="P1646" t="str">
        <f>VLOOKUP(B1646,PTN!A:B,2,FALSE)</f>
        <v>UNIVERSITAS AIRLANGGA</v>
      </c>
      <c r="Q1646" t="str">
        <f t="shared" si="25"/>
        <v>UNIVERSITAS AIRLANGGAKESEHATAN MASYARAKAT</v>
      </c>
    </row>
    <row r="1647" spans="1:17" ht="15.75" thickBot="1" x14ac:dyDescent="0.3">
      <c r="A1647" s="7">
        <v>1646</v>
      </c>
      <c r="B1647" s="6">
        <v>52</v>
      </c>
      <c r="C1647" s="12">
        <v>3811196</v>
      </c>
      <c r="D1647" t="s">
        <v>525</v>
      </c>
      <c r="E1647" s="12">
        <v>15</v>
      </c>
      <c r="F1647" s="10" t="s">
        <v>20</v>
      </c>
      <c r="I1647" s="87"/>
      <c r="J1647" s="138" t="s">
        <v>1292</v>
      </c>
      <c r="K1647" s="138" t="s">
        <v>1292</v>
      </c>
      <c r="L1647" s="138" t="s">
        <v>1292</v>
      </c>
      <c r="M1647" s="28"/>
      <c r="N1647" s="83" t="s">
        <v>1292</v>
      </c>
      <c r="P1647" t="str">
        <f>VLOOKUP(B1647,PTN!A:B,2,FALSE)</f>
        <v>UNIVERSITAS AIRLANGGA</v>
      </c>
      <c r="Q1647" t="str">
        <f t="shared" si="25"/>
        <v>UNIVERSITAS AIRLANGGAKESEHATAN MASYARAKAT (PSDKU BANYUWANGI)</v>
      </c>
    </row>
    <row r="1648" spans="1:17" ht="15.75" thickBot="1" x14ac:dyDescent="0.3">
      <c r="A1648" s="7">
        <v>1647</v>
      </c>
      <c r="B1648" s="6">
        <v>52</v>
      </c>
      <c r="C1648" s="13">
        <v>3811084</v>
      </c>
      <c r="D1648" t="s">
        <v>22</v>
      </c>
      <c r="E1648" s="13">
        <v>30</v>
      </c>
      <c r="F1648" s="10" t="s">
        <v>20</v>
      </c>
      <c r="I1648" s="26"/>
      <c r="J1648" s="138">
        <v>630.38</v>
      </c>
      <c r="K1648" s="138">
        <v>638.80499999999995</v>
      </c>
      <c r="L1648" s="138">
        <v>621.95500000000004</v>
      </c>
      <c r="M1648" s="27"/>
      <c r="N1648" s="83">
        <v>630.38</v>
      </c>
      <c r="P1648" t="str">
        <f>VLOOKUP(B1648,PTN!A:B,2,FALSE)</f>
        <v>UNIVERSITAS AIRLANGGA</v>
      </c>
      <c r="Q1648" t="str">
        <f t="shared" si="25"/>
        <v>UNIVERSITAS AIRLANGGAKIMIA</v>
      </c>
    </row>
    <row r="1649" spans="1:17" ht="15.75" thickBot="1" x14ac:dyDescent="0.3">
      <c r="A1649" s="7">
        <v>1648</v>
      </c>
      <c r="B1649" s="6">
        <v>52</v>
      </c>
      <c r="C1649" s="12">
        <v>3811053</v>
      </c>
      <c r="D1649" t="s">
        <v>66</v>
      </c>
      <c r="E1649" s="12">
        <v>30</v>
      </c>
      <c r="F1649" s="10" t="s">
        <v>20</v>
      </c>
      <c r="I1649" s="87"/>
      <c r="J1649" s="138">
        <v>634.98</v>
      </c>
      <c r="K1649" s="138">
        <v>644.97500000000002</v>
      </c>
      <c r="L1649" s="138">
        <v>624.98500000000001</v>
      </c>
      <c r="M1649" s="28"/>
      <c r="N1649" s="83">
        <v>634.98</v>
      </c>
      <c r="P1649" t="str">
        <f>VLOOKUP(B1649,PTN!A:B,2,FALSE)</f>
        <v>UNIVERSITAS AIRLANGGA</v>
      </c>
      <c r="Q1649" t="str">
        <f t="shared" si="25"/>
        <v>UNIVERSITAS AIRLANGGAMATEMATIKA</v>
      </c>
    </row>
    <row r="1650" spans="1:17" ht="15.75" thickBot="1" x14ac:dyDescent="0.3">
      <c r="A1650" s="7">
        <v>1649</v>
      </c>
      <c r="B1650" s="6">
        <v>52</v>
      </c>
      <c r="C1650" s="13">
        <v>3811037</v>
      </c>
      <c r="D1650" t="s">
        <v>526</v>
      </c>
      <c r="E1650" s="13">
        <v>75</v>
      </c>
      <c r="F1650" s="10" t="s">
        <v>20</v>
      </c>
      <c r="I1650" s="26"/>
      <c r="J1650" s="138">
        <v>657.01</v>
      </c>
      <c r="K1650" s="138">
        <v>665.13</v>
      </c>
      <c r="L1650" s="138">
        <v>648.89</v>
      </c>
      <c r="M1650" s="27"/>
      <c r="N1650" s="83">
        <v>657.01</v>
      </c>
      <c r="P1650" t="str">
        <f>VLOOKUP(B1650,PTN!A:B,2,FALSE)</f>
        <v>UNIVERSITAS AIRLANGGA</v>
      </c>
      <c r="Q1650" t="str">
        <f t="shared" si="25"/>
        <v>UNIVERSITAS AIRLANGGAPendidikan Apoteker</v>
      </c>
    </row>
    <row r="1651" spans="1:17" ht="15.75" thickBot="1" x14ac:dyDescent="0.3">
      <c r="A1651" s="7">
        <v>1650</v>
      </c>
      <c r="B1651" s="6">
        <v>52</v>
      </c>
      <c r="C1651" s="12">
        <v>3811126</v>
      </c>
      <c r="D1651" t="s">
        <v>527</v>
      </c>
      <c r="E1651" s="12">
        <v>23</v>
      </c>
      <c r="F1651" s="10" t="s">
        <v>20</v>
      </c>
      <c r="I1651" s="87"/>
      <c r="J1651" s="138">
        <v>620.23</v>
      </c>
      <c r="K1651" s="138">
        <v>627.39499999999998</v>
      </c>
      <c r="L1651" s="138">
        <v>613.06500000000005</v>
      </c>
      <c r="M1651" s="28"/>
      <c r="N1651" s="83">
        <v>620.23</v>
      </c>
      <c r="P1651" t="str">
        <f>VLOOKUP(B1651,PTN!A:B,2,FALSE)</f>
        <v>UNIVERSITAS AIRLANGGA</v>
      </c>
      <c r="Q1651" t="str">
        <f t="shared" si="25"/>
        <v>UNIVERSITAS AIRLANGGAPendidikan Bidan</v>
      </c>
    </row>
    <row r="1652" spans="1:17" ht="15.75" thickBot="1" x14ac:dyDescent="0.3">
      <c r="A1652" s="7">
        <v>1651</v>
      </c>
      <c r="B1652" s="6">
        <v>52</v>
      </c>
      <c r="C1652" s="13">
        <v>3811014</v>
      </c>
      <c r="D1652" t="s">
        <v>41</v>
      </c>
      <c r="E1652" s="13">
        <v>75</v>
      </c>
      <c r="F1652" s="10" t="s">
        <v>20</v>
      </c>
      <c r="I1652" s="26"/>
      <c r="J1652" s="138">
        <v>726.94</v>
      </c>
      <c r="K1652" s="138">
        <v>737.58500000000004</v>
      </c>
      <c r="L1652" s="138">
        <v>716.29500000000007</v>
      </c>
      <c r="M1652" s="27"/>
      <c r="N1652" s="83">
        <v>726.94</v>
      </c>
      <c r="P1652" t="str">
        <f>VLOOKUP(B1652,PTN!A:B,2,FALSE)</f>
        <v>UNIVERSITAS AIRLANGGA</v>
      </c>
      <c r="Q1652" t="str">
        <f t="shared" si="25"/>
        <v>UNIVERSITAS AIRLANGGAPENDIDIKAN DOKTER</v>
      </c>
    </row>
    <row r="1653" spans="1:17" ht="15.75" thickBot="1" x14ac:dyDescent="0.3">
      <c r="A1653" s="7">
        <v>1652</v>
      </c>
      <c r="B1653" s="6">
        <v>52</v>
      </c>
      <c r="C1653" s="12">
        <v>3811022</v>
      </c>
      <c r="D1653" t="s">
        <v>85</v>
      </c>
      <c r="E1653" s="12">
        <v>54</v>
      </c>
      <c r="F1653" s="10" t="s">
        <v>20</v>
      </c>
      <c r="I1653" s="87"/>
      <c r="J1653" s="138">
        <v>671.67</v>
      </c>
      <c r="K1653" s="138">
        <v>677.89</v>
      </c>
      <c r="L1653" s="138">
        <v>665.44999999999993</v>
      </c>
      <c r="M1653" s="28"/>
      <c r="N1653" s="83">
        <v>671.67</v>
      </c>
      <c r="P1653" t="str">
        <f>VLOOKUP(B1653,PTN!A:B,2,FALSE)</f>
        <v>UNIVERSITAS AIRLANGGA</v>
      </c>
      <c r="Q1653" t="str">
        <f t="shared" si="25"/>
        <v>UNIVERSITAS AIRLANGGAPENDIDIKAN DOKTER GIGI</v>
      </c>
    </row>
    <row r="1654" spans="1:17" ht="15.75" thickBot="1" x14ac:dyDescent="0.3">
      <c r="A1654" s="7">
        <v>1653</v>
      </c>
      <c r="B1654" s="6">
        <v>52</v>
      </c>
      <c r="C1654" s="13">
        <v>3811181</v>
      </c>
      <c r="D1654" t="s">
        <v>528</v>
      </c>
      <c r="E1654" s="13">
        <v>15</v>
      </c>
      <c r="F1654" s="10" t="s">
        <v>20</v>
      </c>
      <c r="I1654" s="26"/>
      <c r="J1654" s="138" t="s">
        <v>1292</v>
      </c>
      <c r="K1654" s="138" t="s">
        <v>1292</v>
      </c>
      <c r="L1654" s="138" t="s">
        <v>1292</v>
      </c>
      <c r="M1654" s="27"/>
      <c r="N1654" s="83" t="s">
        <v>1292</v>
      </c>
      <c r="P1654" t="str">
        <f>VLOOKUP(B1654,PTN!A:B,2,FALSE)</f>
        <v>UNIVERSITAS AIRLANGGA</v>
      </c>
      <c r="Q1654" t="str">
        <f t="shared" si="25"/>
        <v>UNIVERSITAS AIRLANGGAPENDIDIKAN DOKTER HEWAN (PSDKU BANYUWANGI)</v>
      </c>
    </row>
    <row r="1655" spans="1:17" ht="15.75" thickBot="1" x14ac:dyDescent="0.3">
      <c r="A1655" s="7">
        <v>1654</v>
      </c>
      <c r="B1655" s="6">
        <v>52</v>
      </c>
      <c r="C1655" s="12">
        <v>3811103</v>
      </c>
      <c r="D1655" t="s">
        <v>529</v>
      </c>
      <c r="E1655" s="12">
        <v>53</v>
      </c>
      <c r="F1655" s="10" t="s">
        <v>20</v>
      </c>
      <c r="I1655" s="87"/>
      <c r="J1655" s="138">
        <v>610.03</v>
      </c>
      <c r="K1655" s="138">
        <v>621.88499999999999</v>
      </c>
      <c r="L1655" s="138">
        <v>598.17499999999995</v>
      </c>
      <c r="M1655" s="28"/>
      <c r="N1655" s="83">
        <v>610.03</v>
      </c>
      <c r="P1655" t="str">
        <f>VLOOKUP(B1655,PTN!A:B,2,FALSE)</f>
        <v>UNIVERSITAS AIRLANGGA</v>
      </c>
      <c r="Q1655" t="str">
        <f t="shared" si="25"/>
        <v>UNIVERSITAS AIRLANGGAPendidikan Ners</v>
      </c>
    </row>
    <row r="1656" spans="1:17" ht="15.75" thickBot="1" x14ac:dyDescent="0.3">
      <c r="A1656" s="7">
        <v>1655</v>
      </c>
      <c r="B1656" s="6">
        <v>52</v>
      </c>
      <c r="C1656" s="13">
        <v>3811157</v>
      </c>
      <c r="D1656" t="s">
        <v>46</v>
      </c>
      <c r="E1656" s="13">
        <v>24</v>
      </c>
      <c r="F1656" s="10" t="s">
        <v>20</v>
      </c>
      <c r="I1656" s="26"/>
      <c r="J1656" s="138">
        <v>646.02</v>
      </c>
      <c r="K1656" s="138">
        <v>656.22</v>
      </c>
      <c r="L1656" s="138">
        <v>635.81999999999994</v>
      </c>
      <c r="M1656" s="27"/>
      <c r="N1656" s="83">
        <v>646.02</v>
      </c>
      <c r="P1656" t="str">
        <f>VLOOKUP(B1656,PTN!A:B,2,FALSE)</f>
        <v>UNIVERSITAS AIRLANGGA</v>
      </c>
      <c r="Q1656" t="str">
        <f t="shared" si="25"/>
        <v>UNIVERSITAS AIRLANGGASISTEM INFORMASI</v>
      </c>
    </row>
    <row r="1657" spans="1:17" ht="15.75" thickBot="1" x14ac:dyDescent="0.3">
      <c r="A1657" s="7">
        <v>1656</v>
      </c>
      <c r="B1657" s="6">
        <v>52</v>
      </c>
      <c r="C1657" s="12">
        <v>3811165</v>
      </c>
      <c r="D1657" t="s">
        <v>530</v>
      </c>
      <c r="E1657" s="12">
        <v>24</v>
      </c>
      <c r="F1657" s="10" t="s">
        <v>20</v>
      </c>
      <c r="I1657" s="87"/>
      <c r="J1657" s="138">
        <v>633.03</v>
      </c>
      <c r="K1657" s="138">
        <v>642.07499999999993</v>
      </c>
      <c r="L1657" s="138">
        <v>623.98500000000001</v>
      </c>
      <c r="M1657" s="28"/>
      <c r="N1657" s="83">
        <v>633.03</v>
      </c>
      <c r="P1657" t="str">
        <f>VLOOKUP(B1657,PTN!A:B,2,FALSE)</f>
        <v>UNIVERSITAS AIRLANGGA</v>
      </c>
      <c r="Q1657" t="str">
        <f t="shared" si="25"/>
        <v>UNIVERSITAS AIRLANGGAStatistika</v>
      </c>
    </row>
    <row r="1658" spans="1:17" ht="15.75" thickBot="1" x14ac:dyDescent="0.3">
      <c r="A1658" s="7">
        <v>1657</v>
      </c>
      <c r="B1658" s="6">
        <v>52</v>
      </c>
      <c r="C1658" s="13">
        <v>3811134</v>
      </c>
      <c r="D1658" t="s">
        <v>531</v>
      </c>
      <c r="E1658" s="13">
        <v>24</v>
      </c>
      <c r="F1658" s="10" t="s">
        <v>20</v>
      </c>
      <c r="I1658" s="26"/>
      <c r="J1658" s="138">
        <v>641.1</v>
      </c>
      <c r="K1658" s="138">
        <v>648.18000000000006</v>
      </c>
      <c r="L1658" s="138">
        <v>634.02</v>
      </c>
      <c r="M1658" s="27"/>
      <c r="N1658" s="83">
        <v>641.1</v>
      </c>
      <c r="P1658" t="str">
        <f>VLOOKUP(B1658,PTN!A:B,2,FALSE)</f>
        <v>UNIVERSITAS AIRLANGGA</v>
      </c>
      <c r="Q1658" t="str">
        <f t="shared" si="25"/>
        <v>UNIVERSITAS AIRLANGGATEKNOBIOMEDIK</v>
      </c>
    </row>
    <row r="1659" spans="1:17" ht="15.75" thickBot="1" x14ac:dyDescent="0.3">
      <c r="A1659" s="7">
        <v>1658</v>
      </c>
      <c r="B1659" s="6">
        <v>52</v>
      </c>
      <c r="C1659" s="14">
        <v>3811215</v>
      </c>
      <c r="D1659" t="s">
        <v>532</v>
      </c>
      <c r="E1659" s="14">
        <v>36</v>
      </c>
      <c r="F1659" s="10" t="s">
        <v>20</v>
      </c>
      <c r="I1659" s="20"/>
      <c r="J1659" s="138" t="s">
        <v>1292</v>
      </c>
      <c r="K1659" s="138" t="s">
        <v>1292</v>
      </c>
      <c r="L1659" s="138" t="s">
        <v>1292</v>
      </c>
      <c r="M1659" s="21"/>
      <c r="N1659" s="83" t="s">
        <v>1292</v>
      </c>
      <c r="P1659" t="str">
        <f>VLOOKUP(B1659,PTN!A:B,2,FALSE)</f>
        <v>UNIVERSITAS AIRLANGGA</v>
      </c>
      <c r="Q1659" t="str">
        <f t="shared" si="25"/>
        <v>UNIVERSITAS AIRLANGGATEKNOLOGI INDUSTRI HASIL PERIKANAN</v>
      </c>
    </row>
    <row r="1660" spans="1:17" ht="16.5" thickTop="1" thickBot="1" x14ac:dyDescent="0.3">
      <c r="A1660" s="7">
        <v>1659</v>
      </c>
      <c r="B1660" s="6">
        <v>52</v>
      </c>
      <c r="C1660" s="12">
        <v>3812106</v>
      </c>
      <c r="D1660" t="s">
        <v>55</v>
      </c>
      <c r="E1660" s="12">
        <v>75</v>
      </c>
      <c r="F1660" s="10" t="s">
        <v>13</v>
      </c>
      <c r="I1660" s="22"/>
      <c r="J1660" s="138">
        <v>649.79</v>
      </c>
      <c r="K1660" s="138">
        <v>657.92773</v>
      </c>
      <c r="L1660" s="138">
        <v>641.65226999999993</v>
      </c>
      <c r="M1660" s="21"/>
      <c r="N1660" s="83">
        <v>649.79</v>
      </c>
      <c r="P1660" t="str">
        <f>VLOOKUP(B1660,PTN!A:B,2,FALSE)</f>
        <v>UNIVERSITAS AIRLANGGA</v>
      </c>
      <c r="Q1660" t="str">
        <f t="shared" si="25"/>
        <v>UNIVERSITAS AIRLANGGAAKUNTANSI</v>
      </c>
    </row>
    <row r="1661" spans="1:17" ht="16.5" thickTop="1" thickBot="1" x14ac:dyDescent="0.3">
      <c r="A1661" s="7">
        <v>1660</v>
      </c>
      <c r="B1661" s="6">
        <v>52</v>
      </c>
      <c r="C1661" s="13">
        <v>3812184</v>
      </c>
      <c r="D1661" t="s">
        <v>533</v>
      </c>
      <c r="E1661" s="13">
        <v>15</v>
      </c>
      <c r="F1661" s="10" t="s">
        <v>13</v>
      </c>
      <c r="I1661" s="23"/>
      <c r="J1661" s="138">
        <v>577.74</v>
      </c>
      <c r="K1661" s="138">
        <v>585.87773000000004</v>
      </c>
      <c r="L1661" s="138">
        <v>569.60226999999998</v>
      </c>
      <c r="M1661" s="25"/>
      <c r="N1661" s="83">
        <v>577.74</v>
      </c>
      <c r="P1661" t="str">
        <f>VLOOKUP(B1661,PTN!A:B,2,FALSE)</f>
        <v>UNIVERSITAS AIRLANGGA</v>
      </c>
      <c r="Q1661" t="str">
        <f t="shared" si="25"/>
        <v>UNIVERSITAS AIRLANGGAAKUNTANSI (PSDKU BANYUWANGI)</v>
      </c>
    </row>
    <row r="1662" spans="1:17" ht="16.5" thickTop="1" thickBot="1" x14ac:dyDescent="0.3">
      <c r="A1662" s="7">
        <v>1661</v>
      </c>
      <c r="B1662" s="6">
        <v>52</v>
      </c>
      <c r="C1662" s="12">
        <v>3812072</v>
      </c>
      <c r="D1662" t="s">
        <v>144</v>
      </c>
      <c r="E1662" s="12">
        <v>30</v>
      </c>
      <c r="F1662" s="10" t="s">
        <v>13</v>
      </c>
      <c r="I1662" s="26"/>
      <c r="J1662" s="138">
        <v>601.74</v>
      </c>
      <c r="K1662" s="138">
        <v>609.87773000000004</v>
      </c>
      <c r="L1662" s="138">
        <v>593.60226999999998</v>
      </c>
      <c r="M1662" s="27"/>
      <c r="N1662" s="83">
        <v>601.74</v>
      </c>
      <c r="P1662" t="str">
        <f>VLOOKUP(B1662,PTN!A:B,2,FALSE)</f>
        <v>UNIVERSITAS AIRLANGGA</v>
      </c>
      <c r="Q1662" t="str">
        <f t="shared" si="25"/>
        <v>UNIVERSITAS AIRLANGGAANTROPOLOGI SOSIAL</v>
      </c>
    </row>
    <row r="1663" spans="1:17" ht="15.75" thickBot="1" x14ac:dyDescent="0.3">
      <c r="A1663" s="7">
        <v>1662</v>
      </c>
      <c r="B1663" s="6">
        <v>52</v>
      </c>
      <c r="C1663" s="13">
        <v>3812176</v>
      </c>
      <c r="D1663" t="s">
        <v>57</v>
      </c>
      <c r="E1663" s="13">
        <v>68</v>
      </c>
      <c r="F1663" s="10" t="s">
        <v>13</v>
      </c>
      <c r="I1663" s="87"/>
      <c r="J1663" s="138">
        <v>618.9</v>
      </c>
      <c r="K1663" s="138">
        <v>627.03773000000001</v>
      </c>
      <c r="L1663" s="138">
        <v>610.76226999999994</v>
      </c>
      <c r="M1663" s="28"/>
      <c r="N1663" s="83">
        <v>618.9</v>
      </c>
      <c r="P1663" t="str">
        <f>VLOOKUP(B1663,PTN!A:B,2,FALSE)</f>
        <v>UNIVERSITAS AIRLANGGA</v>
      </c>
      <c r="Q1663" t="str">
        <f t="shared" si="25"/>
        <v>UNIVERSITAS AIRLANGGAEKONOMI ISLAM</v>
      </c>
    </row>
    <row r="1664" spans="1:17" ht="15.75" thickBot="1" x14ac:dyDescent="0.3">
      <c r="A1664" s="7">
        <v>1663</v>
      </c>
      <c r="B1664" s="6">
        <v>52</v>
      </c>
      <c r="C1664" s="12">
        <v>3812087</v>
      </c>
      <c r="D1664" t="s">
        <v>69</v>
      </c>
      <c r="E1664" s="12">
        <v>60</v>
      </c>
      <c r="F1664" s="10" t="s">
        <v>13</v>
      </c>
      <c r="I1664" s="26"/>
      <c r="J1664" s="138">
        <v>627.99</v>
      </c>
      <c r="K1664" s="138">
        <v>636.12773000000004</v>
      </c>
      <c r="L1664" s="138">
        <v>619.85226999999998</v>
      </c>
      <c r="M1664" s="27"/>
      <c r="N1664" s="83">
        <v>627.99</v>
      </c>
      <c r="P1664" t="str">
        <f>VLOOKUP(B1664,PTN!A:B,2,FALSE)</f>
        <v>UNIVERSITAS AIRLANGGA</v>
      </c>
      <c r="Q1664" t="str">
        <f t="shared" si="25"/>
        <v>UNIVERSITAS AIRLANGGAEKONOMI PEMBANGUNAN</v>
      </c>
    </row>
    <row r="1665" spans="1:17" ht="15.75" thickBot="1" x14ac:dyDescent="0.3">
      <c r="A1665" s="7">
        <v>1664</v>
      </c>
      <c r="B1665" s="6">
        <v>52</v>
      </c>
      <c r="C1665" s="13">
        <v>3812025</v>
      </c>
      <c r="D1665" t="s">
        <v>29</v>
      </c>
      <c r="E1665" s="13">
        <v>36</v>
      </c>
      <c r="F1665" s="10" t="s">
        <v>13</v>
      </c>
      <c r="I1665" s="87"/>
      <c r="J1665" s="138">
        <v>614.16</v>
      </c>
      <c r="K1665" s="138">
        <v>622.29773</v>
      </c>
      <c r="L1665" s="138">
        <v>606.02226999999993</v>
      </c>
      <c r="M1665" s="28"/>
      <c r="N1665" s="83">
        <v>614.16</v>
      </c>
      <c r="P1665" t="str">
        <f>VLOOKUP(B1665,PTN!A:B,2,FALSE)</f>
        <v>UNIVERSITAS AIRLANGGA</v>
      </c>
      <c r="Q1665" t="str">
        <f t="shared" si="25"/>
        <v>UNIVERSITAS AIRLANGGAILMU ADMINISTRASI NEGARA</v>
      </c>
    </row>
    <row r="1666" spans="1:17" ht="15.75" thickBot="1" x14ac:dyDescent="0.3">
      <c r="A1666" s="7">
        <v>1665</v>
      </c>
      <c r="B1666" s="6">
        <v>52</v>
      </c>
      <c r="C1666" s="12">
        <v>3812064</v>
      </c>
      <c r="D1666" t="s">
        <v>168</v>
      </c>
      <c r="E1666" s="12">
        <v>36</v>
      </c>
      <c r="F1666" s="10" t="s">
        <v>13</v>
      </c>
      <c r="I1666" s="26"/>
      <c r="J1666" s="138">
        <v>649.78</v>
      </c>
      <c r="K1666" s="138">
        <v>657.91773000000001</v>
      </c>
      <c r="L1666" s="138">
        <v>641.64226999999994</v>
      </c>
      <c r="M1666" s="27"/>
      <c r="N1666" s="83">
        <v>649.78</v>
      </c>
      <c r="P1666" t="str">
        <f>VLOOKUP(B1666,PTN!A:B,2,FALSE)</f>
        <v>UNIVERSITAS AIRLANGGA</v>
      </c>
      <c r="Q1666" t="str">
        <f t="shared" si="25"/>
        <v>UNIVERSITAS AIRLANGGAILMU HUBUNGAN INTERNASIONAL</v>
      </c>
    </row>
    <row r="1667" spans="1:17" ht="15.75" thickBot="1" x14ac:dyDescent="0.3">
      <c r="A1667" s="7">
        <v>1666</v>
      </c>
      <c r="B1667" s="6">
        <v>52</v>
      </c>
      <c r="C1667" s="13">
        <v>3812017</v>
      </c>
      <c r="D1667" t="s">
        <v>31</v>
      </c>
      <c r="E1667" s="13">
        <v>78</v>
      </c>
      <c r="F1667" s="10" t="s">
        <v>13</v>
      </c>
      <c r="I1667" s="87"/>
      <c r="J1667" s="138">
        <v>637.46</v>
      </c>
      <c r="K1667" s="138">
        <v>645.59773000000007</v>
      </c>
      <c r="L1667" s="138">
        <v>629.32227</v>
      </c>
      <c r="M1667" s="28"/>
      <c r="N1667" s="83">
        <v>637.46</v>
      </c>
      <c r="P1667" t="str">
        <f>VLOOKUP(B1667,PTN!A:B,2,FALSE)</f>
        <v>UNIVERSITAS AIRLANGGA</v>
      </c>
      <c r="Q1667" t="str">
        <f t="shared" ref="Q1667:Q1730" si="26">P1667&amp;D1667</f>
        <v>UNIVERSITAS AIRLANGGAILMU HUKUM</v>
      </c>
    </row>
    <row r="1668" spans="1:17" ht="15.75" thickBot="1" x14ac:dyDescent="0.3">
      <c r="A1668" s="7">
        <v>1667</v>
      </c>
      <c r="B1668" s="6">
        <v>52</v>
      </c>
      <c r="C1668" s="12">
        <v>3812137</v>
      </c>
      <c r="D1668" t="s">
        <v>534</v>
      </c>
      <c r="E1668" s="12">
        <v>30</v>
      </c>
      <c r="F1668" s="10" t="s">
        <v>13</v>
      </c>
      <c r="I1668" s="26"/>
      <c r="J1668" s="138">
        <v>588.91</v>
      </c>
      <c r="K1668" s="138">
        <v>597.04773</v>
      </c>
      <c r="L1668" s="138">
        <v>580.77226999999993</v>
      </c>
      <c r="M1668" s="27"/>
      <c r="N1668" s="83">
        <v>588.91</v>
      </c>
      <c r="P1668" t="str">
        <f>VLOOKUP(B1668,PTN!A:B,2,FALSE)</f>
        <v>UNIVERSITAS AIRLANGGA</v>
      </c>
      <c r="Q1668" t="str">
        <f t="shared" si="26"/>
        <v>UNIVERSITAS AIRLANGGAILMU INFORMASI DAN PERPUSTAKAAN</v>
      </c>
    </row>
    <row r="1669" spans="1:17" ht="15.75" thickBot="1" x14ac:dyDescent="0.3">
      <c r="A1669" s="7">
        <v>1668</v>
      </c>
      <c r="B1669" s="6">
        <v>52</v>
      </c>
      <c r="C1669" s="13">
        <v>3812114</v>
      </c>
      <c r="D1669" t="s">
        <v>60</v>
      </c>
      <c r="E1669" s="13">
        <v>36</v>
      </c>
      <c r="F1669" s="10" t="s">
        <v>13</v>
      </c>
      <c r="I1669" s="87"/>
      <c r="J1669" s="138">
        <v>637.9</v>
      </c>
      <c r="K1669" s="138">
        <v>646.03773000000001</v>
      </c>
      <c r="L1669" s="138">
        <v>629.76226999999994</v>
      </c>
      <c r="M1669" s="28"/>
      <c r="N1669" s="83">
        <v>637.9</v>
      </c>
      <c r="P1669" t="str">
        <f>VLOOKUP(B1669,PTN!A:B,2,FALSE)</f>
        <v>UNIVERSITAS AIRLANGGA</v>
      </c>
      <c r="Q1669" t="str">
        <f t="shared" si="26"/>
        <v>UNIVERSITAS AIRLANGGAILMU KOMUNIKASI</v>
      </c>
    </row>
    <row r="1670" spans="1:17" ht="15.75" thickBot="1" x14ac:dyDescent="0.3">
      <c r="A1670" s="7">
        <v>1669</v>
      </c>
      <c r="B1670" s="6">
        <v>52</v>
      </c>
      <c r="C1670" s="12">
        <v>3812056</v>
      </c>
      <c r="D1670" t="s">
        <v>33</v>
      </c>
      <c r="E1670" s="12">
        <v>30</v>
      </c>
      <c r="F1670" s="10" t="s">
        <v>13</v>
      </c>
      <c r="I1670" s="26"/>
      <c r="J1670" s="138">
        <v>594.64</v>
      </c>
      <c r="K1670" s="138">
        <v>602.77773000000002</v>
      </c>
      <c r="L1670" s="138">
        <v>586.50226999999995</v>
      </c>
      <c r="M1670" s="27"/>
      <c r="N1670" s="83">
        <v>594.64</v>
      </c>
      <c r="P1670" t="str">
        <f>VLOOKUP(B1670,PTN!A:B,2,FALSE)</f>
        <v>UNIVERSITAS AIRLANGGA</v>
      </c>
      <c r="Q1670" t="str">
        <f t="shared" si="26"/>
        <v>UNIVERSITAS AIRLANGGAILMU POLITIK</v>
      </c>
    </row>
    <row r="1671" spans="1:17" ht="15.75" thickBot="1" x14ac:dyDescent="0.3">
      <c r="A1671" s="7">
        <v>1670</v>
      </c>
      <c r="B1671" s="6">
        <v>52</v>
      </c>
      <c r="C1671" s="13">
        <v>3812122</v>
      </c>
      <c r="D1671" t="s">
        <v>148</v>
      </c>
      <c r="E1671" s="13">
        <v>27</v>
      </c>
      <c r="F1671" s="10" t="s">
        <v>13</v>
      </c>
      <c r="I1671" s="87"/>
      <c r="J1671" s="138">
        <v>595.92999999999995</v>
      </c>
      <c r="K1671" s="138">
        <v>604.06772999999998</v>
      </c>
      <c r="L1671" s="138">
        <v>587.79226999999992</v>
      </c>
      <c r="M1671" s="28"/>
      <c r="N1671" s="83">
        <v>595.92999999999995</v>
      </c>
      <c r="P1671" t="str">
        <f>VLOOKUP(B1671,PTN!A:B,2,FALSE)</f>
        <v>UNIVERSITAS AIRLANGGA</v>
      </c>
      <c r="Q1671" t="str">
        <f t="shared" si="26"/>
        <v>UNIVERSITAS AIRLANGGAILMU SEJARAH</v>
      </c>
    </row>
    <row r="1672" spans="1:17" ht="15.75" thickBot="1" x14ac:dyDescent="0.3">
      <c r="A1672" s="7">
        <v>1671</v>
      </c>
      <c r="B1672" s="6">
        <v>52</v>
      </c>
      <c r="C1672" s="12">
        <v>3812095</v>
      </c>
      <c r="D1672" t="s">
        <v>61</v>
      </c>
      <c r="E1672" s="12">
        <v>75</v>
      </c>
      <c r="F1672" s="10" t="s">
        <v>13</v>
      </c>
      <c r="I1672" s="26"/>
      <c r="J1672" s="138">
        <v>642.05999999999995</v>
      </c>
      <c r="K1672" s="138">
        <v>650.19772999999998</v>
      </c>
      <c r="L1672" s="138">
        <v>633.92226999999991</v>
      </c>
      <c r="M1672" s="27"/>
      <c r="N1672" s="83">
        <v>642.05999999999995</v>
      </c>
      <c r="P1672" t="str">
        <f>VLOOKUP(B1672,PTN!A:B,2,FALSE)</f>
        <v>UNIVERSITAS AIRLANGGA</v>
      </c>
      <c r="Q1672" t="str">
        <f t="shared" si="26"/>
        <v>UNIVERSITAS AIRLANGGAMANAJEMEN</v>
      </c>
    </row>
    <row r="1673" spans="1:17" ht="15.75" thickBot="1" x14ac:dyDescent="0.3">
      <c r="A1673" s="7">
        <v>1672</v>
      </c>
      <c r="B1673" s="6">
        <v>52</v>
      </c>
      <c r="C1673" s="13">
        <v>3812033</v>
      </c>
      <c r="D1673" t="s">
        <v>36</v>
      </c>
      <c r="E1673" s="13">
        <v>66</v>
      </c>
      <c r="F1673" s="10" t="s">
        <v>13</v>
      </c>
      <c r="I1673" s="87"/>
      <c r="J1673" s="138">
        <v>636.01</v>
      </c>
      <c r="K1673" s="138">
        <v>644.14773000000002</v>
      </c>
      <c r="L1673" s="138">
        <v>627.87226999999996</v>
      </c>
      <c r="M1673" s="28"/>
      <c r="N1673" s="83">
        <v>636.01</v>
      </c>
      <c r="P1673" t="str">
        <f>VLOOKUP(B1673,PTN!A:B,2,FALSE)</f>
        <v>UNIVERSITAS AIRLANGGA</v>
      </c>
      <c r="Q1673" t="str">
        <f t="shared" si="26"/>
        <v>UNIVERSITAS AIRLANGGAPSIKOLOGI</v>
      </c>
    </row>
    <row r="1674" spans="1:17" ht="15.75" thickBot="1" x14ac:dyDescent="0.3">
      <c r="A1674" s="7">
        <v>1673</v>
      </c>
      <c r="B1674" s="6">
        <v>52</v>
      </c>
      <c r="C1674" s="12">
        <v>3812153</v>
      </c>
      <c r="D1674" t="s">
        <v>62</v>
      </c>
      <c r="E1674" s="12">
        <v>48</v>
      </c>
      <c r="F1674" s="10" t="s">
        <v>13</v>
      </c>
      <c r="I1674" s="26"/>
      <c r="J1674" s="138">
        <v>582.02</v>
      </c>
      <c r="K1674" s="138">
        <v>590.15773000000002</v>
      </c>
      <c r="L1674" s="138">
        <v>573.88226999999995</v>
      </c>
      <c r="M1674" s="27"/>
      <c r="N1674" s="83">
        <v>582.02</v>
      </c>
      <c r="P1674" t="str">
        <f>VLOOKUP(B1674,PTN!A:B,2,FALSE)</f>
        <v>UNIVERSITAS AIRLANGGA</v>
      </c>
      <c r="Q1674" t="str">
        <f t="shared" si="26"/>
        <v>UNIVERSITAS AIRLANGGASASTRA INDONESIA</v>
      </c>
    </row>
    <row r="1675" spans="1:17" ht="15.75" thickBot="1" x14ac:dyDescent="0.3">
      <c r="A1675" s="7">
        <v>1674</v>
      </c>
      <c r="B1675" s="6">
        <v>52</v>
      </c>
      <c r="C1675" s="13">
        <v>3812145</v>
      </c>
      <c r="D1675" t="s">
        <v>139</v>
      </c>
      <c r="E1675" s="13">
        <v>60</v>
      </c>
      <c r="F1675" s="10" t="s">
        <v>13</v>
      </c>
      <c r="I1675" s="87"/>
      <c r="J1675" s="138">
        <v>616.08000000000004</v>
      </c>
      <c r="K1675" s="138">
        <v>624.21773000000007</v>
      </c>
      <c r="L1675" s="138">
        <v>607.94227000000001</v>
      </c>
      <c r="M1675" s="28"/>
      <c r="N1675" s="83">
        <v>616.08000000000004</v>
      </c>
      <c r="P1675" t="str">
        <f>VLOOKUP(B1675,PTN!A:B,2,FALSE)</f>
        <v>UNIVERSITAS AIRLANGGA</v>
      </c>
      <c r="Q1675" t="str">
        <f t="shared" si="26"/>
        <v>UNIVERSITAS AIRLANGGASASTRA INGGRIS</v>
      </c>
    </row>
    <row r="1676" spans="1:17" ht="15.75" thickBot="1" x14ac:dyDescent="0.3">
      <c r="A1676" s="7">
        <v>1675</v>
      </c>
      <c r="B1676" s="6">
        <v>52</v>
      </c>
      <c r="C1676" s="12">
        <v>3812161</v>
      </c>
      <c r="D1676" t="s">
        <v>153</v>
      </c>
      <c r="E1676" s="12">
        <v>21</v>
      </c>
      <c r="F1676" s="10" t="s">
        <v>13</v>
      </c>
      <c r="I1676" s="26"/>
      <c r="J1676" s="138">
        <v>605.55999999999995</v>
      </c>
      <c r="K1676" s="138">
        <v>613.69772999999998</v>
      </c>
      <c r="L1676" s="138">
        <v>597.42226999999991</v>
      </c>
      <c r="M1676" s="27"/>
      <c r="N1676" s="83">
        <v>605.55999999999995</v>
      </c>
      <c r="P1676" t="str">
        <f>VLOOKUP(B1676,PTN!A:B,2,FALSE)</f>
        <v>UNIVERSITAS AIRLANGGA</v>
      </c>
      <c r="Q1676" t="str">
        <f t="shared" si="26"/>
        <v>UNIVERSITAS AIRLANGGASASTRA JEPANG</v>
      </c>
    </row>
    <row r="1677" spans="1:17" ht="15.75" thickBot="1" x14ac:dyDescent="0.3">
      <c r="A1677" s="7">
        <v>1676</v>
      </c>
      <c r="B1677" s="6">
        <v>52</v>
      </c>
      <c r="C1677" s="16">
        <v>3812041</v>
      </c>
      <c r="D1677" t="s">
        <v>63</v>
      </c>
      <c r="E1677" s="16">
        <v>30</v>
      </c>
      <c r="F1677" s="10" t="s">
        <v>13</v>
      </c>
      <c r="I1677" s="87"/>
      <c r="J1677" s="138">
        <v>607.16</v>
      </c>
      <c r="K1677" s="138">
        <v>615.29773</v>
      </c>
      <c r="L1677" s="138">
        <v>599.02226999999993</v>
      </c>
      <c r="M1677" s="28"/>
      <c r="N1677" s="83">
        <v>607.16</v>
      </c>
      <c r="P1677" t="str">
        <f>VLOOKUP(B1677,PTN!A:B,2,FALSE)</f>
        <v>UNIVERSITAS AIRLANGGA</v>
      </c>
      <c r="Q1677" t="str">
        <f t="shared" si="26"/>
        <v>UNIVERSITAS AIRLANGGASOSIOLOGI</v>
      </c>
    </row>
    <row r="1678" spans="1:17" ht="16.5" thickTop="1" thickBot="1" x14ac:dyDescent="0.3">
      <c r="A1678" s="7">
        <v>1677</v>
      </c>
      <c r="B1678" s="6">
        <v>49</v>
      </c>
      <c r="C1678" s="12">
        <v>3721271</v>
      </c>
      <c r="D1678" t="s">
        <v>37</v>
      </c>
      <c r="E1678" s="12">
        <v>126</v>
      </c>
      <c r="F1678" s="10" t="s">
        <v>20</v>
      </c>
      <c r="I1678" s="20"/>
      <c r="J1678" s="138">
        <v>607.85</v>
      </c>
      <c r="K1678" s="138">
        <v>615.34</v>
      </c>
      <c r="L1678" s="138">
        <v>600.36</v>
      </c>
      <c r="M1678" s="21"/>
      <c r="N1678" s="83">
        <v>607.85</v>
      </c>
      <c r="P1678" t="str">
        <f>VLOOKUP(B1678,PTN!A:B,2,FALSE)</f>
        <v>UNIVERSITAS BRAWIJAYA</v>
      </c>
      <c r="Q1678" t="str">
        <f t="shared" si="26"/>
        <v>UNIVERSITAS BRAWIJAYAAGRIBISNIS</v>
      </c>
    </row>
    <row r="1679" spans="1:17" ht="15.75" thickBot="1" x14ac:dyDescent="0.3">
      <c r="A1679" s="7">
        <v>1678</v>
      </c>
      <c r="B1679" s="6">
        <v>49</v>
      </c>
      <c r="C1679" s="13">
        <v>3721506</v>
      </c>
      <c r="D1679" t="s">
        <v>535</v>
      </c>
      <c r="E1679" s="13">
        <v>15</v>
      </c>
      <c r="F1679" s="10" t="s">
        <v>20</v>
      </c>
      <c r="I1679" s="22"/>
      <c r="J1679" s="138" t="s">
        <v>1292</v>
      </c>
      <c r="K1679" s="138" t="s">
        <v>1292</v>
      </c>
      <c r="L1679" s="138" t="s">
        <v>1292</v>
      </c>
      <c r="M1679" s="21"/>
      <c r="N1679" s="83" t="s">
        <v>1292</v>
      </c>
      <c r="P1679" t="str">
        <f>VLOOKUP(B1679,PTN!A:B,2,FALSE)</f>
        <v>UNIVERSITAS BRAWIJAYA</v>
      </c>
      <c r="Q1679" t="str">
        <f t="shared" si="26"/>
        <v>UNIVERSITAS BRAWIJAYAAGRIBISNIS (PSDKU KEDIRI)</v>
      </c>
    </row>
    <row r="1680" spans="1:17" ht="16.5" thickTop="1" thickBot="1" x14ac:dyDescent="0.3">
      <c r="A1680" s="7">
        <v>1679</v>
      </c>
      <c r="B1680" s="6">
        <v>49</v>
      </c>
      <c r="C1680" s="12">
        <v>3721166</v>
      </c>
      <c r="D1680" t="s">
        <v>536</v>
      </c>
      <c r="E1680" s="12">
        <v>54</v>
      </c>
      <c r="F1680" s="10" t="s">
        <v>20</v>
      </c>
      <c r="I1680" s="23"/>
      <c r="J1680" s="138" t="s">
        <v>1292</v>
      </c>
      <c r="K1680" s="138" t="s">
        <v>1292</v>
      </c>
      <c r="L1680" s="138" t="s">
        <v>1292</v>
      </c>
      <c r="M1680" s="25"/>
      <c r="N1680" s="83" t="s">
        <v>1292</v>
      </c>
      <c r="P1680" t="str">
        <f>VLOOKUP(B1680,PTN!A:B,2,FALSE)</f>
        <v>UNIVERSITAS BRAWIJAYA</v>
      </c>
      <c r="Q1680" t="str">
        <f t="shared" si="26"/>
        <v>UNIVERSITAS BRAWIJAYAAGROBISNIS PERIKANAN</v>
      </c>
    </row>
    <row r="1681" spans="1:17" ht="16.5" thickTop="1" thickBot="1" x14ac:dyDescent="0.3">
      <c r="A1681" s="7">
        <v>1680</v>
      </c>
      <c r="B1681" s="6">
        <v>49</v>
      </c>
      <c r="C1681" s="13">
        <v>3721263</v>
      </c>
      <c r="D1681" t="s">
        <v>38</v>
      </c>
      <c r="E1681" s="13">
        <v>234</v>
      </c>
      <c r="F1681" s="10" t="s">
        <v>20</v>
      </c>
      <c r="I1681" s="26"/>
      <c r="J1681" s="138">
        <v>597.59</v>
      </c>
      <c r="K1681" s="138">
        <v>604.36</v>
      </c>
      <c r="L1681" s="138">
        <v>590.82000000000005</v>
      </c>
      <c r="M1681" s="27"/>
      <c r="N1681" s="83">
        <v>597.59</v>
      </c>
      <c r="P1681" t="str">
        <f>VLOOKUP(B1681,PTN!A:B,2,FALSE)</f>
        <v>UNIVERSITAS BRAWIJAYA</v>
      </c>
      <c r="Q1681" t="str">
        <f t="shared" si="26"/>
        <v>UNIVERSITAS BRAWIJAYAAGROEKOTEKNOLOGI</v>
      </c>
    </row>
    <row r="1682" spans="1:17" ht="15.75" thickBot="1" x14ac:dyDescent="0.3">
      <c r="A1682" s="7">
        <v>1681</v>
      </c>
      <c r="B1682" s="6">
        <v>49</v>
      </c>
      <c r="C1682" s="12">
        <v>3721495</v>
      </c>
      <c r="D1682" t="s">
        <v>537</v>
      </c>
      <c r="E1682" s="12">
        <v>15</v>
      </c>
      <c r="F1682" s="10" t="s">
        <v>20</v>
      </c>
      <c r="I1682" s="87"/>
      <c r="J1682" s="138" t="s">
        <v>1292</v>
      </c>
      <c r="K1682" s="138" t="s">
        <v>1292</v>
      </c>
      <c r="L1682" s="138" t="s">
        <v>1292</v>
      </c>
      <c r="M1682" s="28"/>
      <c r="N1682" s="83" t="s">
        <v>1292</v>
      </c>
      <c r="P1682" t="str">
        <f>VLOOKUP(B1682,PTN!A:B,2,FALSE)</f>
        <v>UNIVERSITAS BRAWIJAYA</v>
      </c>
      <c r="Q1682" t="str">
        <f t="shared" si="26"/>
        <v>UNIVERSITAS BRAWIJAYAAGROEKOTEKNOLOGI (PSDKU KEDIRI)</v>
      </c>
    </row>
    <row r="1683" spans="1:17" ht="15.75" thickBot="1" x14ac:dyDescent="0.3">
      <c r="A1683" s="7">
        <v>1682</v>
      </c>
      <c r="B1683" s="6">
        <v>49</v>
      </c>
      <c r="C1683" s="13">
        <v>3721522</v>
      </c>
      <c r="D1683" t="s">
        <v>538</v>
      </c>
      <c r="E1683" s="13">
        <v>15</v>
      </c>
      <c r="F1683" s="10" t="s">
        <v>20</v>
      </c>
      <c r="I1683" s="26"/>
      <c r="J1683" s="138" t="s">
        <v>1292</v>
      </c>
      <c r="K1683" s="138" t="s">
        <v>1292</v>
      </c>
      <c r="L1683" s="138" t="s">
        <v>1292</v>
      </c>
      <c r="M1683" s="27"/>
      <c r="N1683" s="83" t="s">
        <v>1292</v>
      </c>
      <c r="P1683" t="str">
        <f>VLOOKUP(B1683,PTN!A:B,2,FALSE)</f>
        <v>UNIVERSITAS BRAWIJAYA</v>
      </c>
      <c r="Q1683" t="str">
        <f t="shared" si="26"/>
        <v>UNIVERSITAS BRAWIJAYAAKUAKULTUR (PSDKU KEDIRI)</v>
      </c>
    </row>
    <row r="1684" spans="1:17" ht="15.75" thickBot="1" x14ac:dyDescent="0.3">
      <c r="A1684" s="7">
        <v>1683</v>
      </c>
      <c r="B1684" s="6">
        <v>49</v>
      </c>
      <c r="C1684" s="12">
        <v>3721062</v>
      </c>
      <c r="D1684" t="s">
        <v>19</v>
      </c>
      <c r="E1684" s="12">
        <v>53</v>
      </c>
      <c r="F1684" s="10" t="s">
        <v>20</v>
      </c>
      <c r="I1684" s="87"/>
      <c r="J1684" s="138">
        <v>643.66999999999996</v>
      </c>
      <c r="K1684" s="138">
        <v>651.375</v>
      </c>
      <c r="L1684" s="138">
        <v>635.96499999999992</v>
      </c>
      <c r="M1684" s="28"/>
      <c r="N1684" s="83">
        <v>643.66999999999996</v>
      </c>
      <c r="P1684" t="str">
        <f>VLOOKUP(B1684,PTN!A:B,2,FALSE)</f>
        <v>UNIVERSITAS BRAWIJAYA</v>
      </c>
      <c r="Q1684" t="str">
        <f t="shared" si="26"/>
        <v>UNIVERSITAS BRAWIJAYAARSITEKTUR</v>
      </c>
    </row>
    <row r="1685" spans="1:17" ht="15.75" thickBot="1" x14ac:dyDescent="0.3">
      <c r="A1685" s="7">
        <v>1684</v>
      </c>
      <c r="B1685" s="6">
        <v>49</v>
      </c>
      <c r="C1685" s="13">
        <v>3721104</v>
      </c>
      <c r="D1685" t="s">
        <v>21</v>
      </c>
      <c r="E1685" s="13">
        <v>53</v>
      </c>
      <c r="F1685" s="10" t="s">
        <v>20</v>
      </c>
      <c r="I1685" s="26"/>
      <c r="J1685" s="138">
        <v>620.76</v>
      </c>
      <c r="K1685" s="138">
        <v>629.02499999999998</v>
      </c>
      <c r="L1685" s="138">
        <v>612.495</v>
      </c>
      <c r="M1685" s="27"/>
      <c r="N1685" s="83">
        <v>620.76</v>
      </c>
      <c r="P1685" t="str">
        <f>VLOOKUP(B1685,PTN!A:B,2,FALSE)</f>
        <v>UNIVERSITAS BRAWIJAYA</v>
      </c>
      <c r="Q1685" t="str">
        <f t="shared" si="26"/>
        <v>UNIVERSITAS BRAWIJAYABIOLOGI</v>
      </c>
    </row>
    <row r="1686" spans="1:17" ht="15.75" thickBot="1" x14ac:dyDescent="0.3">
      <c r="A1686" s="7">
        <v>1685</v>
      </c>
      <c r="B1686" s="6">
        <v>49</v>
      </c>
      <c r="C1686" s="12">
        <v>3721417</v>
      </c>
      <c r="D1686" t="s">
        <v>435</v>
      </c>
      <c r="E1686" s="12">
        <v>39</v>
      </c>
      <c r="F1686" s="10" t="s">
        <v>20</v>
      </c>
      <c r="I1686" s="87"/>
      <c r="J1686" s="138">
        <v>641.97</v>
      </c>
      <c r="K1686" s="138">
        <v>650.56000000000006</v>
      </c>
      <c r="L1686" s="138">
        <v>633.38</v>
      </c>
      <c r="M1686" s="28"/>
      <c r="N1686" s="83">
        <v>641.97</v>
      </c>
      <c r="P1686" t="str">
        <f>VLOOKUP(B1686,PTN!A:B,2,FALSE)</f>
        <v>UNIVERSITAS BRAWIJAYA</v>
      </c>
      <c r="Q1686" t="str">
        <f t="shared" si="26"/>
        <v>UNIVERSITAS BRAWIJAYABIOTEKNOLOGI</v>
      </c>
    </row>
    <row r="1687" spans="1:17" ht="15.75" thickBot="1" x14ac:dyDescent="0.3">
      <c r="A1687" s="7">
        <v>1686</v>
      </c>
      <c r="B1687" s="6">
        <v>49</v>
      </c>
      <c r="C1687" s="13">
        <v>3721023</v>
      </c>
      <c r="D1687" t="s">
        <v>39</v>
      </c>
      <c r="E1687" s="13">
        <v>54</v>
      </c>
      <c r="F1687" s="10" t="s">
        <v>20</v>
      </c>
      <c r="I1687" s="26"/>
      <c r="J1687" s="138" t="s">
        <v>1292</v>
      </c>
      <c r="K1687" s="138" t="s">
        <v>1292</v>
      </c>
      <c r="L1687" s="138" t="s">
        <v>1292</v>
      </c>
      <c r="M1687" s="27"/>
      <c r="N1687" s="83" t="s">
        <v>1292</v>
      </c>
      <c r="P1687" t="str">
        <f>VLOOKUP(B1687,PTN!A:B,2,FALSE)</f>
        <v>UNIVERSITAS BRAWIJAYA</v>
      </c>
      <c r="Q1687" t="str">
        <f t="shared" si="26"/>
        <v>UNIVERSITAS BRAWIJAYABUDIDAYA PERAIRAN</v>
      </c>
    </row>
    <row r="1688" spans="1:17" ht="15.75" thickBot="1" x14ac:dyDescent="0.3">
      <c r="A1688" s="7">
        <v>1687</v>
      </c>
      <c r="B1688" s="6">
        <v>49</v>
      </c>
      <c r="C1688" s="12">
        <v>3721336</v>
      </c>
      <c r="D1688" t="s">
        <v>77</v>
      </c>
      <c r="E1688" s="12">
        <v>36</v>
      </c>
      <c r="F1688" s="10" t="s">
        <v>20</v>
      </c>
      <c r="I1688" s="87"/>
      <c r="J1688" s="138">
        <v>649.23</v>
      </c>
      <c r="K1688" s="138">
        <v>658.47</v>
      </c>
      <c r="L1688" s="138">
        <v>639.99</v>
      </c>
      <c r="M1688" s="28"/>
      <c r="N1688" s="83">
        <v>649.23</v>
      </c>
      <c r="P1688" t="str">
        <f>VLOOKUP(B1688,PTN!A:B,2,FALSE)</f>
        <v>UNIVERSITAS BRAWIJAYA</v>
      </c>
      <c r="Q1688" t="str">
        <f t="shared" si="26"/>
        <v>UNIVERSITAS BRAWIJAYAFARMASI</v>
      </c>
    </row>
    <row r="1689" spans="1:17" ht="15.75" thickBot="1" x14ac:dyDescent="0.3">
      <c r="A1689" s="7">
        <v>1688</v>
      </c>
      <c r="B1689" s="6">
        <v>49</v>
      </c>
      <c r="C1689" s="13">
        <v>3721112</v>
      </c>
      <c r="D1689" t="s">
        <v>65</v>
      </c>
      <c r="E1689" s="13">
        <v>36</v>
      </c>
      <c r="F1689" s="10" t="s">
        <v>20</v>
      </c>
      <c r="I1689" s="26"/>
      <c r="J1689" s="138">
        <v>613.58000000000004</v>
      </c>
      <c r="K1689" s="138">
        <v>621.79500000000007</v>
      </c>
      <c r="L1689" s="138">
        <v>605.36500000000001</v>
      </c>
      <c r="M1689" s="27"/>
      <c r="N1689" s="83">
        <v>613.58000000000004</v>
      </c>
      <c r="P1689" t="str">
        <f>VLOOKUP(B1689,PTN!A:B,2,FALSE)</f>
        <v>UNIVERSITAS BRAWIJAYA</v>
      </c>
      <c r="Q1689" t="str">
        <f t="shared" si="26"/>
        <v>UNIVERSITAS BRAWIJAYAFISIKA</v>
      </c>
    </row>
    <row r="1690" spans="1:17" ht="15.75" thickBot="1" x14ac:dyDescent="0.3">
      <c r="A1690" s="7">
        <v>1689</v>
      </c>
      <c r="B1690" s="6">
        <v>49</v>
      </c>
      <c r="C1690" s="12">
        <v>3721232</v>
      </c>
      <c r="D1690" t="s">
        <v>539</v>
      </c>
      <c r="E1690" s="12">
        <v>36</v>
      </c>
      <c r="F1690" s="10" t="s">
        <v>20</v>
      </c>
      <c r="I1690" s="87"/>
      <c r="J1690" s="138">
        <v>641.62</v>
      </c>
      <c r="K1690" s="138">
        <v>651.73</v>
      </c>
      <c r="L1690" s="138">
        <v>631.51</v>
      </c>
      <c r="M1690" s="28"/>
      <c r="N1690" s="83">
        <v>641.62</v>
      </c>
      <c r="P1690" t="str">
        <f>VLOOKUP(B1690,PTN!A:B,2,FALSE)</f>
        <v>UNIVERSITAS BRAWIJAYA</v>
      </c>
      <c r="Q1690" t="str">
        <f t="shared" si="26"/>
        <v>UNIVERSITAS BRAWIJAYAGIZI KESEHATAN / ILMU GIZI</v>
      </c>
    </row>
    <row r="1691" spans="1:17" ht="15.75" thickBot="1" x14ac:dyDescent="0.3">
      <c r="A1691" s="7">
        <v>1690</v>
      </c>
      <c r="B1691" s="6">
        <v>49</v>
      </c>
      <c r="C1691" s="13">
        <v>3721093</v>
      </c>
      <c r="D1691" t="s">
        <v>141</v>
      </c>
      <c r="E1691" s="13">
        <v>51</v>
      </c>
      <c r="F1691" s="10" t="s">
        <v>20</v>
      </c>
      <c r="I1691" s="26"/>
      <c r="J1691" s="138">
        <v>645.23</v>
      </c>
      <c r="K1691" s="138">
        <v>653.75</v>
      </c>
      <c r="L1691" s="138">
        <v>636.71</v>
      </c>
      <c r="M1691" s="27"/>
      <c r="N1691" s="83">
        <v>645.23</v>
      </c>
      <c r="P1691" t="str">
        <f>VLOOKUP(B1691,PTN!A:B,2,FALSE)</f>
        <v>UNIVERSITAS BRAWIJAYA</v>
      </c>
      <c r="Q1691" t="str">
        <f t="shared" si="26"/>
        <v>UNIVERSITAS BRAWIJAYAILMU DAN TEKNOLOGI PANGAN</v>
      </c>
    </row>
    <row r="1692" spans="1:17" ht="15.75" thickBot="1" x14ac:dyDescent="0.3">
      <c r="A1692" s="7">
        <v>1691</v>
      </c>
      <c r="B1692" s="6">
        <v>49</v>
      </c>
      <c r="C1692" s="12">
        <v>3721313</v>
      </c>
      <c r="D1692" t="s">
        <v>40</v>
      </c>
      <c r="E1692" s="12">
        <v>54</v>
      </c>
      <c r="F1692" s="10" t="s">
        <v>20</v>
      </c>
      <c r="I1692" s="87"/>
      <c r="J1692" s="138">
        <v>605.14</v>
      </c>
      <c r="K1692" s="138">
        <v>612.79</v>
      </c>
      <c r="L1692" s="138">
        <v>597.49</v>
      </c>
      <c r="M1692" s="28"/>
      <c r="N1692" s="83">
        <v>605.14</v>
      </c>
      <c r="P1692" t="str">
        <f>VLOOKUP(B1692,PTN!A:B,2,FALSE)</f>
        <v>UNIVERSITAS BRAWIJAYA</v>
      </c>
      <c r="Q1692" t="str">
        <f t="shared" si="26"/>
        <v>UNIVERSITAS BRAWIJAYAILMU KELAUTAN</v>
      </c>
    </row>
    <row r="1693" spans="1:17" ht="15.75" thickBot="1" x14ac:dyDescent="0.3">
      <c r="A1693" s="7">
        <v>1692</v>
      </c>
      <c r="B1693" s="6">
        <v>49</v>
      </c>
      <c r="C1693" s="13">
        <v>3721216</v>
      </c>
      <c r="D1693" t="s">
        <v>78</v>
      </c>
      <c r="E1693" s="13">
        <v>42</v>
      </c>
      <c r="F1693" s="10" t="s">
        <v>20</v>
      </c>
      <c r="I1693" s="26"/>
      <c r="J1693" s="138" t="s">
        <v>1292</v>
      </c>
      <c r="K1693" s="138" t="s">
        <v>1292</v>
      </c>
      <c r="L1693" s="138" t="s">
        <v>1292</v>
      </c>
      <c r="M1693" s="27"/>
      <c r="N1693" s="83" t="s">
        <v>1292</v>
      </c>
      <c r="P1693" t="str">
        <f>VLOOKUP(B1693,PTN!A:B,2,FALSE)</f>
        <v>UNIVERSITAS BRAWIJAYA</v>
      </c>
      <c r="Q1693" t="str">
        <f t="shared" si="26"/>
        <v>UNIVERSITAS BRAWIJAYAILMU KEPERAWATAN</v>
      </c>
    </row>
    <row r="1694" spans="1:17" ht="15.75" thickBot="1" x14ac:dyDescent="0.3">
      <c r="A1694" s="7">
        <v>1693</v>
      </c>
      <c r="B1694" s="6">
        <v>49</v>
      </c>
      <c r="C1694" s="12">
        <v>3721383</v>
      </c>
      <c r="D1694" t="s">
        <v>540</v>
      </c>
      <c r="E1694" s="12">
        <v>27</v>
      </c>
      <c r="F1694" s="10" t="s">
        <v>20</v>
      </c>
      <c r="I1694" s="87"/>
      <c r="J1694" s="138">
        <v>613.33000000000004</v>
      </c>
      <c r="K1694" s="138">
        <v>618.92000000000007</v>
      </c>
      <c r="L1694" s="138">
        <v>607.74</v>
      </c>
      <c r="M1694" s="28"/>
      <c r="N1694" s="83">
        <v>613.33000000000004</v>
      </c>
      <c r="P1694" t="str">
        <f>VLOOKUP(B1694,PTN!A:B,2,FALSE)</f>
        <v>UNIVERSITAS BRAWIJAYA</v>
      </c>
      <c r="Q1694" t="str">
        <f t="shared" si="26"/>
        <v>UNIVERSITAS BRAWIJAYAINSTRUMENTASI</v>
      </c>
    </row>
    <row r="1695" spans="1:17" ht="15.75" thickBot="1" x14ac:dyDescent="0.3">
      <c r="A1695" s="7">
        <v>1694</v>
      </c>
      <c r="B1695" s="6">
        <v>49</v>
      </c>
      <c r="C1695" s="13">
        <v>3721321</v>
      </c>
      <c r="D1695" t="s">
        <v>162</v>
      </c>
      <c r="E1695" s="13">
        <v>33</v>
      </c>
      <c r="F1695" s="10" t="s">
        <v>20</v>
      </c>
      <c r="I1695" s="26"/>
      <c r="J1695" s="138">
        <v>612.04</v>
      </c>
      <c r="K1695" s="138">
        <v>620.005</v>
      </c>
      <c r="L1695" s="138">
        <v>604.07499999999993</v>
      </c>
      <c r="M1695" s="27"/>
      <c r="N1695" s="83">
        <v>612.04</v>
      </c>
      <c r="P1695" t="str">
        <f>VLOOKUP(B1695,PTN!A:B,2,FALSE)</f>
        <v>UNIVERSITAS BRAWIJAYA</v>
      </c>
      <c r="Q1695" t="str">
        <f t="shared" si="26"/>
        <v>UNIVERSITAS BRAWIJAYAKEBIDANAN</v>
      </c>
    </row>
    <row r="1696" spans="1:17" ht="15.75" thickBot="1" x14ac:dyDescent="0.3">
      <c r="A1696" s="7">
        <v>1695</v>
      </c>
      <c r="B1696" s="6">
        <v>49</v>
      </c>
      <c r="C1696" s="12">
        <v>3721174</v>
      </c>
      <c r="D1696" t="s">
        <v>142</v>
      </c>
      <c r="E1696" s="12">
        <v>39</v>
      </c>
      <c r="F1696" s="10" t="s">
        <v>20</v>
      </c>
      <c r="I1696" s="87"/>
      <c r="J1696" s="138" t="s">
        <v>1292</v>
      </c>
      <c r="K1696" s="138" t="s">
        <v>1292</v>
      </c>
      <c r="L1696" s="138" t="s">
        <v>1292</v>
      </c>
      <c r="M1696" s="28"/>
      <c r="N1696" s="83" t="s">
        <v>1292</v>
      </c>
      <c r="P1696" t="str">
        <f>VLOOKUP(B1696,PTN!A:B,2,FALSE)</f>
        <v>UNIVERSITAS BRAWIJAYA</v>
      </c>
      <c r="Q1696" t="str">
        <f t="shared" si="26"/>
        <v>UNIVERSITAS BRAWIJAYAKETEKNIKAN PERTANIAN</v>
      </c>
    </row>
    <row r="1697" spans="1:17" ht="15.75" thickBot="1" x14ac:dyDescent="0.3">
      <c r="A1697" s="7">
        <v>1696</v>
      </c>
      <c r="B1697" s="6">
        <v>49</v>
      </c>
      <c r="C1697" s="13">
        <v>3721127</v>
      </c>
      <c r="D1697" t="s">
        <v>22</v>
      </c>
      <c r="E1697" s="13">
        <v>60</v>
      </c>
      <c r="F1697" s="10" t="s">
        <v>20</v>
      </c>
      <c r="I1697" s="26"/>
      <c r="J1697" s="138">
        <v>629.73</v>
      </c>
      <c r="K1697" s="138">
        <v>636.02</v>
      </c>
      <c r="L1697" s="138">
        <v>623.44000000000005</v>
      </c>
      <c r="M1697" s="27"/>
      <c r="N1697" s="83">
        <v>629.73</v>
      </c>
      <c r="P1697" t="str">
        <f>VLOOKUP(B1697,PTN!A:B,2,FALSE)</f>
        <v>UNIVERSITAS BRAWIJAYA</v>
      </c>
      <c r="Q1697" t="str">
        <f t="shared" si="26"/>
        <v>UNIVERSITAS BRAWIJAYAKIMIA</v>
      </c>
    </row>
    <row r="1698" spans="1:17" ht="15.75" thickBot="1" x14ac:dyDescent="0.3">
      <c r="A1698" s="7">
        <v>1697</v>
      </c>
      <c r="B1698" s="6">
        <v>49</v>
      </c>
      <c r="C1698" s="12">
        <v>3721015</v>
      </c>
      <c r="D1698" t="s">
        <v>213</v>
      </c>
      <c r="E1698" s="12">
        <v>54</v>
      </c>
      <c r="F1698" s="10" t="s">
        <v>20</v>
      </c>
      <c r="I1698" s="87"/>
      <c r="J1698" s="138" t="s">
        <v>1292</v>
      </c>
      <c r="K1698" s="138" t="s">
        <v>1292</v>
      </c>
      <c r="L1698" s="138" t="s">
        <v>1292</v>
      </c>
      <c r="M1698" s="28"/>
      <c r="N1698" s="83" t="s">
        <v>1292</v>
      </c>
      <c r="P1698" t="str">
        <f>VLOOKUP(B1698,PTN!A:B,2,FALSE)</f>
        <v>UNIVERSITAS BRAWIJAYA</v>
      </c>
      <c r="Q1698" t="str">
        <f t="shared" si="26"/>
        <v>UNIVERSITAS BRAWIJAYAMANAJEMEN SUMBERDAYA PERAIRAN</v>
      </c>
    </row>
    <row r="1699" spans="1:17" ht="15.75" thickBot="1" x14ac:dyDescent="0.3">
      <c r="A1699" s="7">
        <v>1698</v>
      </c>
      <c r="B1699" s="6">
        <v>49</v>
      </c>
      <c r="C1699" s="13">
        <v>3721135</v>
      </c>
      <c r="D1699" t="s">
        <v>66</v>
      </c>
      <c r="E1699" s="13">
        <v>60</v>
      </c>
      <c r="F1699" s="10" t="s">
        <v>20</v>
      </c>
      <c r="I1699" s="26"/>
      <c r="J1699" s="138">
        <v>636.24</v>
      </c>
      <c r="K1699" s="138">
        <v>646.17499999999995</v>
      </c>
      <c r="L1699" s="138">
        <v>626.30500000000006</v>
      </c>
      <c r="M1699" s="27"/>
      <c r="N1699" s="83">
        <v>636.24</v>
      </c>
      <c r="P1699" t="str">
        <f>VLOOKUP(B1699,PTN!A:B,2,FALSE)</f>
        <v>UNIVERSITAS BRAWIJAYA</v>
      </c>
      <c r="Q1699" t="str">
        <f t="shared" si="26"/>
        <v>UNIVERSITAS BRAWIJAYAMATEMATIKA</v>
      </c>
    </row>
    <row r="1700" spans="1:17" ht="15.75" thickBot="1" x14ac:dyDescent="0.3">
      <c r="A1700" s="7">
        <v>1699</v>
      </c>
      <c r="B1700" s="6">
        <v>49</v>
      </c>
      <c r="C1700" s="12">
        <v>3721143</v>
      </c>
      <c r="D1700" t="s">
        <v>83</v>
      </c>
      <c r="E1700" s="12">
        <v>54</v>
      </c>
      <c r="F1700" s="10" t="s">
        <v>20</v>
      </c>
      <c r="I1700" s="87"/>
      <c r="J1700" s="138" t="s">
        <v>1292</v>
      </c>
      <c r="K1700" s="138" t="s">
        <v>1292</v>
      </c>
      <c r="L1700" s="138" t="s">
        <v>1292</v>
      </c>
      <c r="M1700" s="28"/>
      <c r="N1700" s="83" t="s">
        <v>1292</v>
      </c>
      <c r="P1700" t="str">
        <f>VLOOKUP(B1700,PTN!A:B,2,FALSE)</f>
        <v>UNIVERSITAS BRAWIJAYA</v>
      </c>
      <c r="Q1700" t="str">
        <f t="shared" si="26"/>
        <v>UNIVERSITAS BRAWIJAYAPEMANFAATAN SUMBERDAYA PERIKANAN</v>
      </c>
    </row>
    <row r="1701" spans="1:17" ht="15.75" thickBot="1" x14ac:dyDescent="0.3">
      <c r="A1701" s="7">
        <v>1700</v>
      </c>
      <c r="B1701" s="6">
        <v>49</v>
      </c>
      <c r="C1701" s="13">
        <v>3721085</v>
      </c>
      <c r="D1701" t="s">
        <v>41</v>
      </c>
      <c r="E1701" s="13">
        <v>75</v>
      </c>
      <c r="F1701" s="10" t="s">
        <v>20</v>
      </c>
      <c r="I1701" s="26"/>
      <c r="J1701" s="138">
        <v>704.59</v>
      </c>
      <c r="K1701" s="138" t="s">
        <v>1292</v>
      </c>
      <c r="L1701" s="138" t="s">
        <v>1292</v>
      </c>
      <c r="M1701" s="27"/>
      <c r="N1701" s="83">
        <v>704.59</v>
      </c>
      <c r="P1701" t="str">
        <f>VLOOKUP(B1701,PTN!A:B,2,FALSE)</f>
        <v>UNIVERSITAS BRAWIJAYA</v>
      </c>
      <c r="Q1701" t="str">
        <f t="shared" si="26"/>
        <v>UNIVERSITAS BRAWIJAYAPENDIDIKAN DOKTER</v>
      </c>
    </row>
    <row r="1702" spans="1:17" ht="15.75" thickBot="1" x14ac:dyDescent="0.3">
      <c r="A1702" s="7">
        <v>1701</v>
      </c>
      <c r="B1702" s="6">
        <v>49</v>
      </c>
      <c r="C1702" s="12">
        <v>3721305</v>
      </c>
      <c r="D1702" t="s">
        <v>85</v>
      </c>
      <c r="E1702" s="12">
        <v>30</v>
      </c>
      <c r="F1702" s="10" t="s">
        <v>20</v>
      </c>
      <c r="I1702" s="87"/>
      <c r="J1702" s="138">
        <v>660.95</v>
      </c>
      <c r="K1702" s="138">
        <v>668.43000000000006</v>
      </c>
      <c r="L1702" s="138">
        <v>653.47</v>
      </c>
      <c r="M1702" s="28"/>
      <c r="N1702" s="83">
        <v>660.95</v>
      </c>
      <c r="P1702" t="str">
        <f>VLOOKUP(B1702,PTN!A:B,2,FALSE)</f>
        <v>UNIVERSITAS BRAWIJAYA</v>
      </c>
      <c r="Q1702" t="str">
        <f t="shared" si="26"/>
        <v>UNIVERSITAS BRAWIJAYAPENDIDIKAN DOKTER GIGI</v>
      </c>
    </row>
    <row r="1703" spans="1:17" ht="15.75" thickBot="1" x14ac:dyDescent="0.3">
      <c r="A1703" s="7">
        <v>1702</v>
      </c>
      <c r="B1703" s="6">
        <v>49</v>
      </c>
      <c r="C1703" s="13">
        <v>3721294</v>
      </c>
      <c r="D1703" t="s">
        <v>86</v>
      </c>
      <c r="E1703" s="13">
        <v>60</v>
      </c>
      <c r="F1703" s="10" t="s">
        <v>20</v>
      </c>
      <c r="I1703" s="26"/>
      <c r="J1703" s="138">
        <v>617.63</v>
      </c>
      <c r="K1703" s="138">
        <v>627.58500000000004</v>
      </c>
      <c r="L1703" s="138">
        <v>607.67499999999995</v>
      </c>
      <c r="M1703" s="27"/>
      <c r="N1703" s="83">
        <v>617.63</v>
      </c>
      <c r="P1703" t="str">
        <f>VLOOKUP(B1703,PTN!A:B,2,FALSE)</f>
        <v>UNIVERSITAS BRAWIJAYA</v>
      </c>
      <c r="Q1703" t="str">
        <f t="shared" si="26"/>
        <v>UNIVERSITAS BRAWIJAYAPENDIDIKAN DOKTER HEWAN</v>
      </c>
    </row>
    <row r="1704" spans="1:17" ht="15.75" thickBot="1" x14ac:dyDescent="0.3">
      <c r="A1704" s="7">
        <v>1703</v>
      </c>
      <c r="B1704" s="6">
        <v>49</v>
      </c>
      <c r="C1704" s="12">
        <v>3721472</v>
      </c>
      <c r="D1704" t="s">
        <v>541</v>
      </c>
      <c r="E1704" s="12">
        <v>24</v>
      </c>
      <c r="F1704" s="10" t="s">
        <v>20</v>
      </c>
      <c r="I1704" s="87"/>
      <c r="J1704" s="138" t="s">
        <v>1292</v>
      </c>
      <c r="K1704" s="138" t="s">
        <v>1292</v>
      </c>
      <c r="L1704" s="138" t="s">
        <v>1292</v>
      </c>
      <c r="M1704" s="28"/>
      <c r="N1704" s="83" t="s">
        <v>1292</v>
      </c>
      <c r="P1704" t="str">
        <f>VLOOKUP(B1704,PTN!A:B,2,FALSE)</f>
        <v>UNIVERSITAS BRAWIJAYA</v>
      </c>
      <c r="Q1704" t="str">
        <f t="shared" si="26"/>
        <v>UNIVERSITAS BRAWIJAYAPENDIDIKAN TEKNOLOGI INFORMASI</v>
      </c>
    </row>
    <row r="1705" spans="1:17" ht="15.75" thickBot="1" x14ac:dyDescent="0.3">
      <c r="A1705" s="7">
        <v>1704</v>
      </c>
      <c r="B1705" s="6">
        <v>49</v>
      </c>
      <c r="C1705" s="13">
        <v>3721197</v>
      </c>
      <c r="D1705" t="s">
        <v>542</v>
      </c>
      <c r="E1705" s="13">
        <v>53</v>
      </c>
      <c r="F1705" s="10" t="s">
        <v>20</v>
      </c>
      <c r="I1705" s="26"/>
      <c r="J1705" s="138">
        <v>625.25</v>
      </c>
      <c r="K1705" s="138">
        <v>631.1</v>
      </c>
      <c r="L1705" s="138">
        <v>619.4</v>
      </c>
      <c r="M1705" s="27"/>
      <c r="N1705" s="83">
        <v>625.25</v>
      </c>
      <c r="P1705" t="str">
        <f>VLOOKUP(B1705,PTN!A:B,2,FALSE)</f>
        <v>UNIVERSITAS BRAWIJAYA</v>
      </c>
      <c r="Q1705" t="str">
        <f t="shared" si="26"/>
        <v>UNIVERSITAS BRAWIJAYAPERENCANAAN WILAYAH &amp; KOTA</v>
      </c>
    </row>
    <row r="1706" spans="1:17" ht="15.75" thickBot="1" x14ac:dyDescent="0.3">
      <c r="A1706" s="7">
        <v>1705</v>
      </c>
      <c r="B1706" s="6">
        <v>49</v>
      </c>
      <c r="C1706" s="12">
        <v>3721286</v>
      </c>
      <c r="D1706" t="s">
        <v>88</v>
      </c>
      <c r="E1706" s="12">
        <v>198</v>
      </c>
      <c r="F1706" s="10" t="s">
        <v>20</v>
      </c>
      <c r="I1706" s="87"/>
      <c r="J1706" s="138" t="s">
        <v>1292</v>
      </c>
      <c r="K1706" s="138" t="s">
        <v>1292</v>
      </c>
      <c r="L1706" s="138" t="s">
        <v>1292</v>
      </c>
      <c r="M1706" s="28"/>
      <c r="N1706" s="83" t="s">
        <v>1292</v>
      </c>
      <c r="P1706" t="str">
        <f>VLOOKUP(B1706,PTN!A:B,2,FALSE)</f>
        <v>UNIVERSITAS BRAWIJAYA</v>
      </c>
      <c r="Q1706" t="str">
        <f t="shared" si="26"/>
        <v>UNIVERSITAS BRAWIJAYAPETERNAKAN</v>
      </c>
    </row>
    <row r="1707" spans="1:17" ht="15.75" thickBot="1" x14ac:dyDescent="0.3">
      <c r="A1707" s="7">
        <v>1706</v>
      </c>
      <c r="B1707" s="6">
        <v>49</v>
      </c>
      <c r="C1707" s="13">
        <v>3721514</v>
      </c>
      <c r="D1707" t="s">
        <v>543</v>
      </c>
      <c r="E1707" s="13">
        <v>12</v>
      </c>
      <c r="F1707" s="10" t="s">
        <v>20</v>
      </c>
      <c r="I1707" s="26"/>
      <c r="J1707" s="138" t="s">
        <v>1292</v>
      </c>
      <c r="K1707" s="138" t="s">
        <v>1292</v>
      </c>
      <c r="L1707" s="138" t="s">
        <v>1292</v>
      </c>
      <c r="M1707" s="27"/>
      <c r="N1707" s="83" t="s">
        <v>1292</v>
      </c>
      <c r="P1707" t="str">
        <f>VLOOKUP(B1707,PTN!A:B,2,FALSE)</f>
        <v>UNIVERSITAS BRAWIJAYA</v>
      </c>
      <c r="Q1707" t="str">
        <f t="shared" si="26"/>
        <v>UNIVERSITAS BRAWIJAYAPETERNAKAN (PSDKU KEDIRI)</v>
      </c>
    </row>
    <row r="1708" spans="1:17" ht="15.75" thickBot="1" x14ac:dyDescent="0.3">
      <c r="A1708" s="7">
        <v>1707</v>
      </c>
      <c r="B1708" s="6">
        <v>49</v>
      </c>
      <c r="C1708" s="12">
        <v>3721367</v>
      </c>
      <c r="D1708" t="s">
        <v>46</v>
      </c>
      <c r="E1708" s="12">
        <v>48</v>
      </c>
      <c r="F1708" s="10" t="s">
        <v>20</v>
      </c>
      <c r="I1708" s="87"/>
      <c r="J1708" s="138">
        <v>644.45000000000005</v>
      </c>
      <c r="K1708" s="138">
        <v>650.87</v>
      </c>
      <c r="L1708" s="138">
        <v>638.03000000000009</v>
      </c>
      <c r="M1708" s="28"/>
      <c r="N1708" s="83">
        <v>644.45000000000005</v>
      </c>
      <c r="P1708" t="str">
        <f>VLOOKUP(B1708,PTN!A:B,2,FALSE)</f>
        <v>UNIVERSITAS BRAWIJAYA</v>
      </c>
      <c r="Q1708" t="str">
        <f t="shared" si="26"/>
        <v>UNIVERSITAS BRAWIJAYASISTEM INFORMASI</v>
      </c>
    </row>
    <row r="1709" spans="1:17" ht="15.75" thickBot="1" x14ac:dyDescent="0.3">
      <c r="A1709" s="7">
        <v>1708</v>
      </c>
      <c r="B1709" s="6">
        <v>49</v>
      </c>
      <c r="C1709" s="13">
        <v>3721537</v>
      </c>
      <c r="D1709" t="s">
        <v>544</v>
      </c>
      <c r="E1709" s="13">
        <v>15</v>
      </c>
      <c r="F1709" s="10" t="s">
        <v>20</v>
      </c>
      <c r="I1709" s="26"/>
      <c r="J1709" s="138" t="s">
        <v>1292</v>
      </c>
      <c r="K1709" s="138" t="s">
        <v>1292</v>
      </c>
      <c r="L1709" s="138" t="s">
        <v>1292</v>
      </c>
      <c r="M1709" s="27"/>
      <c r="N1709" s="83" t="s">
        <v>1292</v>
      </c>
      <c r="P1709" t="str">
        <f>VLOOKUP(B1709,PTN!A:B,2,FALSE)</f>
        <v>UNIVERSITAS BRAWIJAYA</v>
      </c>
      <c r="Q1709" t="str">
        <f t="shared" si="26"/>
        <v>UNIVERSITAS BRAWIJAYASOSIAL EKONOMI PERIKANAN (PSDKU KEDIRI)</v>
      </c>
    </row>
    <row r="1710" spans="1:17" ht="15.75" thickBot="1" x14ac:dyDescent="0.3">
      <c r="A1710" s="7">
        <v>1709</v>
      </c>
      <c r="B1710" s="6">
        <v>49</v>
      </c>
      <c r="C1710" s="12">
        <v>3721182</v>
      </c>
      <c r="D1710" t="s">
        <v>90</v>
      </c>
      <c r="E1710" s="12">
        <v>60</v>
      </c>
      <c r="F1710" s="10" t="s">
        <v>20</v>
      </c>
      <c r="I1710" s="87"/>
      <c r="J1710" s="138">
        <v>649.74</v>
      </c>
      <c r="K1710" s="138">
        <v>658.125</v>
      </c>
      <c r="L1710" s="138">
        <v>641.35500000000002</v>
      </c>
      <c r="M1710" s="28"/>
      <c r="N1710" s="83">
        <v>649.74</v>
      </c>
      <c r="P1710" t="str">
        <f>VLOOKUP(B1710,PTN!A:B,2,FALSE)</f>
        <v>UNIVERSITAS BRAWIJAYA</v>
      </c>
      <c r="Q1710" t="str">
        <f t="shared" si="26"/>
        <v>UNIVERSITAS BRAWIJAYASTATISTIKA</v>
      </c>
    </row>
    <row r="1711" spans="1:17" ht="15.75" thickBot="1" x14ac:dyDescent="0.3">
      <c r="A1711" s="7">
        <v>1710</v>
      </c>
      <c r="B1711" s="6">
        <v>49</v>
      </c>
      <c r="C1711" s="13">
        <v>3721054</v>
      </c>
      <c r="D1711" t="s">
        <v>48</v>
      </c>
      <c r="E1711" s="13">
        <v>60</v>
      </c>
      <c r="F1711" s="10" t="s">
        <v>20</v>
      </c>
      <c r="I1711" s="26"/>
      <c r="J1711" s="138">
        <v>640.26</v>
      </c>
      <c r="K1711" s="138">
        <v>650.10500000000002</v>
      </c>
      <c r="L1711" s="138">
        <v>630.41499999999996</v>
      </c>
      <c r="M1711" s="27"/>
      <c r="N1711" s="83">
        <v>640.26</v>
      </c>
      <c r="P1711" t="str">
        <f>VLOOKUP(B1711,PTN!A:B,2,FALSE)</f>
        <v>UNIVERSITAS BRAWIJAYA</v>
      </c>
      <c r="Q1711" t="str">
        <f t="shared" si="26"/>
        <v>UNIVERSITAS BRAWIJAYATEKNIK ELEKTRO</v>
      </c>
    </row>
    <row r="1712" spans="1:17" ht="15.75" thickBot="1" x14ac:dyDescent="0.3">
      <c r="A1712" s="7">
        <v>1711</v>
      </c>
      <c r="B1712" s="6">
        <v>49</v>
      </c>
      <c r="C1712" s="12">
        <v>3721391</v>
      </c>
      <c r="D1712" t="s">
        <v>91</v>
      </c>
      <c r="E1712" s="12">
        <v>27</v>
      </c>
      <c r="F1712" s="10" t="s">
        <v>20</v>
      </c>
      <c r="I1712" s="87"/>
      <c r="J1712" s="138">
        <v>617.39</v>
      </c>
      <c r="K1712" s="138">
        <v>622.43499999999995</v>
      </c>
      <c r="L1712" s="138">
        <v>612.34500000000003</v>
      </c>
      <c r="M1712" s="28"/>
      <c r="N1712" s="83">
        <v>617.39</v>
      </c>
      <c r="P1712" t="str">
        <f>VLOOKUP(B1712,PTN!A:B,2,FALSE)</f>
        <v>UNIVERSITAS BRAWIJAYA</v>
      </c>
      <c r="Q1712" t="str">
        <f t="shared" si="26"/>
        <v>UNIVERSITAS BRAWIJAYATEKNIK GEOFISIKA</v>
      </c>
    </row>
    <row r="1713" spans="1:17" ht="15.75" thickBot="1" x14ac:dyDescent="0.3">
      <c r="A1713" s="7">
        <v>1712</v>
      </c>
      <c r="B1713" s="6">
        <v>49</v>
      </c>
      <c r="C1713" s="13">
        <v>3721247</v>
      </c>
      <c r="D1713" t="s">
        <v>49</v>
      </c>
      <c r="E1713" s="13">
        <v>60</v>
      </c>
      <c r="F1713" s="10" t="s">
        <v>20</v>
      </c>
      <c r="I1713" s="26"/>
      <c r="J1713" s="138">
        <v>650.02</v>
      </c>
      <c r="K1713" s="138">
        <v>657.8</v>
      </c>
      <c r="L1713" s="138">
        <v>642.24</v>
      </c>
      <c r="M1713" s="27"/>
      <c r="N1713" s="83">
        <v>650.02</v>
      </c>
      <c r="P1713" t="str">
        <f>VLOOKUP(B1713,PTN!A:B,2,FALSE)</f>
        <v>UNIVERSITAS BRAWIJAYA</v>
      </c>
      <c r="Q1713" t="str">
        <f t="shared" si="26"/>
        <v>UNIVERSITAS BRAWIJAYATEKNIK INDUSTRI</v>
      </c>
    </row>
    <row r="1714" spans="1:17" ht="15.75" thickBot="1" x14ac:dyDescent="0.3">
      <c r="A1714" s="7">
        <v>1713</v>
      </c>
      <c r="B1714" s="6">
        <v>49</v>
      </c>
      <c r="C1714" s="12">
        <v>3721255</v>
      </c>
      <c r="D1714" t="s">
        <v>50</v>
      </c>
      <c r="E1714" s="12">
        <v>72</v>
      </c>
      <c r="F1714" s="10" t="s">
        <v>20</v>
      </c>
      <c r="I1714" s="87"/>
      <c r="J1714" s="138">
        <v>646.77</v>
      </c>
      <c r="K1714" s="138">
        <v>654.01</v>
      </c>
      <c r="L1714" s="138">
        <v>639.53</v>
      </c>
      <c r="M1714" s="28"/>
      <c r="N1714" s="83">
        <v>646.77</v>
      </c>
      <c r="P1714" t="str">
        <f>VLOOKUP(B1714,PTN!A:B,2,FALSE)</f>
        <v>UNIVERSITAS BRAWIJAYA</v>
      </c>
      <c r="Q1714" t="str">
        <f t="shared" si="26"/>
        <v>UNIVERSITAS BRAWIJAYATEKNIK INFORMATIKA</v>
      </c>
    </row>
    <row r="1715" spans="1:17" ht="15.75" thickBot="1" x14ac:dyDescent="0.3">
      <c r="A1715" s="7">
        <v>1714</v>
      </c>
      <c r="B1715" s="6">
        <v>49</v>
      </c>
      <c r="C1715" s="13">
        <v>3721375</v>
      </c>
      <c r="D1715" t="s">
        <v>51</v>
      </c>
      <c r="E1715" s="13">
        <v>45</v>
      </c>
      <c r="F1715" s="10" t="s">
        <v>20</v>
      </c>
      <c r="I1715" s="26"/>
      <c r="J1715" s="138">
        <v>636.49</v>
      </c>
      <c r="K1715" s="138">
        <v>644.61</v>
      </c>
      <c r="L1715" s="138">
        <v>628.37</v>
      </c>
      <c r="M1715" s="27"/>
      <c r="N1715" s="83">
        <v>636.49</v>
      </c>
      <c r="P1715" t="str">
        <f>VLOOKUP(B1715,PTN!A:B,2,FALSE)</f>
        <v>UNIVERSITAS BRAWIJAYA</v>
      </c>
      <c r="Q1715" t="str">
        <f t="shared" si="26"/>
        <v>UNIVERSITAS BRAWIJAYATEKNIK KIMIA</v>
      </c>
    </row>
    <row r="1716" spans="1:17" ht="15.75" thickBot="1" x14ac:dyDescent="0.3">
      <c r="A1716" s="7">
        <v>1715</v>
      </c>
      <c r="B1716" s="6">
        <v>49</v>
      </c>
      <c r="C1716" s="12">
        <v>3721352</v>
      </c>
      <c r="D1716" t="s">
        <v>93</v>
      </c>
      <c r="E1716" s="12">
        <v>48</v>
      </c>
      <c r="F1716" s="10" t="s">
        <v>20</v>
      </c>
      <c r="I1716" s="87"/>
      <c r="J1716" s="138">
        <v>624.45000000000005</v>
      </c>
      <c r="K1716" s="138">
        <v>630.45500000000004</v>
      </c>
      <c r="L1716" s="138">
        <v>618.44500000000005</v>
      </c>
      <c r="M1716" s="28"/>
      <c r="N1716" s="83">
        <v>624.45000000000005</v>
      </c>
      <c r="P1716" t="str">
        <f>VLOOKUP(B1716,PTN!A:B,2,FALSE)</f>
        <v>UNIVERSITAS BRAWIJAYA</v>
      </c>
      <c r="Q1716" t="str">
        <f t="shared" si="26"/>
        <v>UNIVERSITAS BRAWIJAYATEKNIK KOMPUTER</v>
      </c>
    </row>
    <row r="1717" spans="1:17" ht="15.75" thickBot="1" x14ac:dyDescent="0.3">
      <c r="A1717" s="7">
        <v>1716</v>
      </c>
      <c r="B1717" s="6">
        <v>49</v>
      </c>
      <c r="C1717" s="13">
        <v>3721441</v>
      </c>
      <c r="D1717" t="s">
        <v>25</v>
      </c>
      <c r="E1717" s="13">
        <v>39</v>
      </c>
      <c r="F1717" s="10" t="s">
        <v>20</v>
      </c>
      <c r="I1717" s="26"/>
      <c r="J1717" s="138">
        <v>633.70000000000005</v>
      </c>
      <c r="K1717" s="138">
        <v>640.23500000000001</v>
      </c>
      <c r="L1717" s="138">
        <v>627.16500000000008</v>
      </c>
      <c r="M1717" s="27"/>
      <c r="N1717" s="83">
        <v>633.70000000000005</v>
      </c>
      <c r="P1717" t="str">
        <f>VLOOKUP(B1717,PTN!A:B,2,FALSE)</f>
        <v>UNIVERSITAS BRAWIJAYA</v>
      </c>
      <c r="Q1717" t="str">
        <f t="shared" si="26"/>
        <v>UNIVERSITAS BRAWIJAYATEKNIK LINGKUNGAN</v>
      </c>
    </row>
    <row r="1718" spans="1:17" ht="15.75" thickBot="1" x14ac:dyDescent="0.3">
      <c r="A1718" s="7">
        <v>1717</v>
      </c>
      <c r="B1718" s="6">
        <v>49</v>
      </c>
      <c r="C1718" s="12">
        <v>3721046</v>
      </c>
      <c r="D1718" t="s">
        <v>53</v>
      </c>
      <c r="E1718" s="12">
        <v>60</v>
      </c>
      <c r="F1718" s="10" t="s">
        <v>20</v>
      </c>
      <c r="I1718" s="87"/>
      <c r="J1718" s="138">
        <v>631.88</v>
      </c>
      <c r="K1718" s="138">
        <v>638.25</v>
      </c>
      <c r="L1718" s="138">
        <v>625.51</v>
      </c>
      <c r="M1718" s="28"/>
      <c r="N1718" s="83">
        <v>631.88</v>
      </c>
      <c r="P1718" t="str">
        <f>VLOOKUP(B1718,PTN!A:B,2,FALSE)</f>
        <v>UNIVERSITAS BRAWIJAYA</v>
      </c>
      <c r="Q1718" t="str">
        <f t="shared" si="26"/>
        <v>UNIVERSITAS BRAWIJAYATEKNIK MESIN</v>
      </c>
    </row>
    <row r="1719" spans="1:17" ht="15.75" thickBot="1" x14ac:dyDescent="0.3">
      <c r="A1719" s="7">
        <v>1718</v>
      </c>
      <c r="B1719" s="6">
        <v>49</v>
      </c>
      <c r="C1719" s="13">
        <v>3721077</v>
      </c>
      <c r="D1719" t="s">
        <v>545</v>
      </c>
      <c r="E1719" s="13">
        <v>53</v>
      </c>
      <c r="F1719" s="10" t="s">
        <v>20</v>
      </c>
      <c r="I1719" s="26"/>
      <c r="J1719" s="138">
        <v>619.36</v>
      </c>
      <c r="K1719" s="138">
        <v>624.07000000000005</v>
      </c>
      <c r="L1719" s="138">
        <v>614.65</v>
      </c>
      <c r="M1719" s="27"/>
      <c r="N1719" s="83">
        <v>619.36</v>
      </c>
      <c r="P1719" t="str">
        <f>VLOOKUP(B1719,PTN!A:B,2,FALSE)</f>
        <v>UNIVERSITAS BRAWIJAYA</v>
      </c>
      <c r="Q1719" t="str">
        <f t="shared" si="26"/>
        <v>UNIVERSITAS BRAWIJAYATEKNIK PENGAIRAN</v>
      </c>
    </row>
    <row r="1720" spans="1:17" ht="15.75" thickBot="1" x14ac:dyDescent="0.3">
      <c r="A1720" s="7">
        <v>1719</v>
      </c>
      <c r="B1720" s="6">
        <v>49</v>
      </c>
      <c r="C1720" s="12">
        <v>3721031</v>
      </c>
      <c r="D1720" t="s">
        <v>54</v>
      </c>
      <c r="E1720" s="12">
        <v>53</v>
      </c>
      <c r="F1720" s="10" t="s">
        <v>20</v>
      </c>
      <c r="I1720" s="87"/>
      <c r="J1720" s="138">
        <v>648.08000000000004</v>
      </c>
      <c r="K1720" s="138">
        <v>656.7700000000001</v>
      </c>
      <c r="L1720" s="138">
        <v>639.39</v>
      </c>
      <c r="M1720" s="28"/>
      <c r="N1720" s="83">
        <v>648.08000000000004</v>
      </c>
      <c r="P1720" t="str">
        <f>VLOOKUP(B1720,PTN!A:B,2,FALSE)</f>
        <v>UNIVERSITAS BRAWIJAYA</v>
      </c>
      <c r="Q1720" t="str">
        <f t="shared" si="26"/>
        <v>UNIVERSITAS BRAWIJAYATEKNIK SIPIL</v>
      </c>
    </row>
    <row r="1721" spans="1:17" ht="15.75" thickBot="1" x14ac:dyDescent="0.3">
      <c r="A1721" s="7">
        <v>1720</v>
      </c>
      <c r="B1721" s="6">
        <v>49</v>
      </c>
      <c r="C1721" s="13">
        <v>3721433</v>
      </c>
      <c r="D1721" t="s">
        <v>296</v>
      </c>
      <c r="E1721" s="13">
        <v>27</v>
      </c>
      <c r="F1721" s="10" t="s">
        <v>20</v>
      </c>
      <c r="I1721" s="26"/>
      <c r="J1721" s="138">
        <v>610.21</v>
      </c>
      <c r="K1721" s="138">
        <v>615.42000000000007</v>
      </c>
      <c r="L1721" s="138">
        <v>605</v>
      </c>
      <c r="M1721" s="27"/>
      <c r="N1721" s="83">
        <v>610.21</v>
      </c>
      <c r="P1721" t="str">
        <f>VLOOKUP(B1721,PTN!A:B,2,FALSE)</f>
        <v>UNIVERSITAS BRAWIJAYA</v>
      </c>
      <c r="Q1721" t="str">
        <f t="shared" si="26"/>
        <v>UNIVERSITAS BRAWIJAYATEKNOLOGI BIOPROSES</v>
      </c>
    </row>
    <row r="1722" spans="1:17" ht="15.75" thickBot="1" x14ac:dyDescent="0.3">
      <c r="A1722" s="7">
        <v>1721</v>
      </c>
      <c r="B1722" s="6">
        <v>49</v>
      </c>
      <c r="C1722" s="12">
        <v>3721151</v>
      </c>
      <c r="D1722" t="s">
        <v>222</v>
      </c>
      <c r="E1722" s="12">
        <v>54</v>
      </c>
      <c r="F1722" s="10" t="s">
        <v>20</v>
      </c>
      <c r="I1722" s="87"/>
      <c r="J1722" s="138" t="s">
        <v>1292</v>
      </c>
      <c r="K1722" s="138" t="s">
        <v>1292</v>
      </c>
      <c r="L1722" s="138" t="s">
        <v>1292</v>
      </c>
      <c r="M1722" s="28"/>
      <c r="N1722" s="83" t="s">
        <v>1292</v>
      </c>
      <c r="P1722" t="str">
        <f>VLOOKUP(B1722,PTN!A:B,2,FALSE)</f>
        <v>UNIVERSITAS BRAWIJAYA</v>
      </c>
      <c r="Q1722" t="str">
        <f t="shared" si="26"/>
        <v>UNIVERSITAS BRAWIJAYATEKNOLOGI HASIL PERIKANAN</v>
      </c>
    </row>
    <row r="1723" spans="1:17" ht="15.75" thickBot="1" x14ac:dyDescent="0.3">
      <c r="A1723" s="7">
        <v>1722</v>
      </c>
      <c r="B1723" s="6">
        <v>49</v>
      </c>
      <c r="C1723" s="13">
        <v>3721201</v>
      </c>
      <c r="D1723" t="s">
        <v>166</v>
      </c>
      <c r="E1723" s="13">
        <v>75</v>
      </c>
      <c r="F1723" s="10" t="s">
        <v>20</v>
      </c>
      <c r="I1723" s="26"/>
      <c r="J1723" s="138">
        <v>616.67999999999995</v>
      </c>
      <c r="K1723" s="138">
        <v>624.25</v>
      </c>
      <c r="L1723" s="138">
        <v>609.1099999999999</v>
      </c>
      <c r="M1723" s="27"/>
      <c r="N1723" s="83">
        <v>616.67999999999995</v>
      </c>
      <c r="P1723" t="str">
        <f>VLOOKUP(B1723,PTN!A:B,2,FALSE)</f>
        <v>UNIVERSITAS BRAWIJAYA</v>
      </c>
      <c r="Q1723" t="str">
        <f t="shared" si="26"/>
        <v>UNIVERSITAS BRAWIJAYATEKNOLOGI INDUSTRI PERTANIAN</v>
      </c>
    </row>
    <row r="1724" spans="1:17" ht="15.75" thickBot="1" x14ac:dyDescent="0.3">
      <c r="A1724" s="7">
        <v>1723</v>
      </c>
      <c r="B1724" s="6">
        <v>49</v>
      </c>
      <c r="C1724" s="14">
        <v>3721487</v>
      </c>
      <c r="D1724" t="s">
        <v>26</v>
      </c>
      <c r="E1724" s="14">
        <v>24</v>
      </c>
      <c r="F1724" s="10" t="s">
        <v>20</v>
      </c>
      <c r="I1724" s="87"/>
      <c r="J1724" s="138">
        <v>623.07000000000005</v>
      </c>
      <c r="K1724" s="138">
        <v>631.22</v>
      </c>
      <c r="L1724" s="138">
        <v>614.92000000000007</v>
      </c>
      <c r="M1724" s="28"/>
      <c r="N1724" s="83">
        <v>623.07000000000005</v>
      </c>
      <c r="P1724" t="str">
        <f>VLOOKUP(B1724,PTN!A:B,2,FALSE)</f>
        <v>UNIVERSITAS BRAWIJAYA</v>
      </c>
      <c r="Q1724" t="str">
        <f t="shared" si="26"/>
        <v>UNIVERSITAS BRAWIJAYATEKNOLOGI INFORMASI</v>
      </c>
    </row>
    <row r="1725" spans="1:17" ht="16.5" thickTop="1" thickBot="1" x14ac:dyDescent="0.3">
      <c r="A1725" s="7">
        <v>1724</v>
      </c>
      <c r="B1725" s="6">
        <v>49</v>
      </c>
      <c r="C1725" s="12">
        <v>3722324</v>
      </c>
      <c r="D1725" t="s">
        <v>183</v>
      </c>
      <c r="E1725" s="12">
        <v>24</v>
      </c>
      <c r="F1725" s="10" t="s">
        <v>13</v>
      </c>
      <c r="I1725" s="20"/>
      <c r="J1725" s="138">
        <v>578.15</v>
      </c>
      <c r="K1725" s="138">
        <v>586.28773000000001</v>
      </c>
      <c r="L1725" s="138">
        <v>570.01226999999994</v>
      </c>
      <c r="M1725" s="21"/>
      <c r="N1725" s="83">
        <v>578.15</v>
      </c>
      <c r="P1725" t="str">
        <f>VLOOKUP(B1725,PTN!A:B,2,FALSE)</f>
        <v>UNIVERSITAS BRAWIJAYA</v>
      </c>
      <c r="Q1725" t="str">
        <f t="shared" si="26"/>
        <v>UNIVERSITAS BRAWIJAYAADMINISTRASI PENDIDIKAN</v>
      </c>
    </row>
    <row r="1726" spans="1:17" ht="15.75" thickBot="1" x14ac:dyDescent="0.3">
      <c r="A1726" s="7">
        <v>1725</v>
      </c>
      <c r="B1726" s="6">
        <v>49</v>
      </c>
      <c r="C1726" s="13">
        <v>3722193</v>
      </c>
      <c r="D1726" t="s">
        <v>546</v>
      </c>
      <c r="E1726" s="13">
        <v>48</v>
      </c>
      <c r="F1726" s="10" t="s">
        <v>13</v>
      </c>
      <c r="I1726" s="22"/>
      <c r="J1726" s="138">
        <v>619.69000000000005</v>
      </c>
      <c r="K1726" s="138">
        <v>627.82773000000009</v>
      </c>
      <c r="L1726" s="138">
        <v>611.55227000000002</v>
      </c>
      <c r="M1726" s="21"/>
      <c r="N1726" s="83">
        <v>619.69000000000005</v>
      </c>
      <c r="P1726" t="str">
        <f>VLOOKUP(B1726,PTN!A:B,2,FALSE)</f>
        <v>UNIVERSITAS BRAWIJAYA</v>
      </c>
      <c r="Q1726" t="str">
        <f t="shared" si="26"/>
        <v>UNIVERSITAS BRAWIJAYAADMINISTRASI PERPAJAKAN</v>
      </c>
    </row>
    <row r="1727" spans="1:17" ht="16.5" thickTop="1" thickBot="1" x14ac:dyDescent="0.3">
      <c r="A1727" s="7">
        <v>1726</v>
      </c>
      <c r="B1727" s="6">
        <v>49</v>
      </c>
      <c r="C1727" s="12">
        <v>3722065</v>
      </c>
      <c r="D1727" t="s">
        <v>55</v>
      </c>
      <c r="E1727" s="12">
        <v>84</v>
      </c>
      <c r="F1727" s="10" t="s">
        <v>13</v>
      </c>
      <c r="I1727" s="23"/>
      <c r="J1727" s="138">
        <v>640.9</v>
      </c>
      <c r="K1727" s="138">
        <v>649.03773000000001</v>
      </c>
      <c r="L1727" s="138">
        <v>632.76226999999994</v>
      </c>
      <c r="M1727" s="25"/>
      <c r="N1727" s="83">
        <v>640.9</v>
      </c>
      <c r="P1727" t="str">
        <f>VLOOKUP(B1727,PTN!A:B,2,FALSE)</f>
        <v>UNIVERSITAS BRAWIJAYA</v>
      </c>
      <c r="Q1727" t="str">
        <f t="shared" si="26"/>
        <v>UNIVERSITAS BRAWIJAYAAKUNTANSI</v>
      </c>
    </row>
    <row r="1728" spans="1:17" ht="16.5" thickTop="1" thickBot="1" x14ac:dyDescent="0.3">
      <c r="A1728" s="7">
        <v>1727</v>
      </c>
      <c r="B1728" s="6">
        <v>49</v>
      </c>
      <c r="C1728" s="13">
        <v>3722355</v>
      </c>
      <c r="D1728" t="s">
        <v>144</v>
      </c>
      <c r="E1728" s="13">
        <v>21</v>
      </c>
      <c r="F1728" s="10" t="s">
        <v>13</v>
      </c>
      <c r="I1728" s="26"/>
      <c r="J1728" s="138">
        <v>596.24</v>
      </c>
      <c r="K1728" s="138">
        <v>604.37773000000004</v>
      </c>
      <c r="L1728" s="138">
        <v>588.10226999999998</v>
      </c>
      <c r="M1728" s="27"/>
      <c r="N1728" s="83">
        <v>596.24</v>
      </c>
      <c r="P1728" t="str">
        <f>VLOOKUP(B1728,PTN!A:B,2,FALSE)</f>
        <v>UNIVERSITAS BRAWIJAYA</v>
      </c>
      <c r="Q1728" t="str">
        <f t="shared" si="26"/>
        <v>UNIVERSITAS BRAWIJAYAANTROPOLOGI SOSIAL</v>
      </c>
    </row>
    <row r="1729" spans="1:17" ht="15.75" thickBot="1" x14ac:dyDescent="0.3">
      <c r="A1729" s="7">
        <v>1728</v>
      </c>
      <c r="B1729" s="6">
        <v>49</v>
      </c>
      <c r="C1729" s="12">
        <v>3722131</v>
      </c>
      <c r="D1729" t="s">
        <v>547</v>
      </c>
      <c r="E1729" s="12">
        <v>21</v>
      </c>
      <c r="F1729" s="10" t="s">
        <v>13</v>
      </c>
      <c r="I1729" s="87"/>
      <c r="J1729" s="138">
        <v>598.25</v>
      </c>
      <c r="K1729" s="138">
        <v>606.38773000000003</v>
      </c>
      <c r="L1729" s="138">
        <v>590.11226999999997</v>
      </c>
      <c r="M1729" s="28"/>
      <c r="N1729" s="83">
        <v>598.25</v>
      </c>
      <c r="P1729" t="str">
        <f>VLOOKUP(B1729,PTN!A:B,2,FALSE)</f>
        <v>UNIVERSITAS BRAWIJAYA</v>
      </c>
      <c r="Q1729" t="str">
        <f t="shared" si="26"/>
        <v>UNIVERSITAS BRAWIJAYABAHASA DAN SASTRA PERANCIS</v>
      </c>
    </row>
    <row r="1730" spans="1:17" ht="15.75" thickBot="1" x14ac:dyDescent="0.3">
      <c r="A1730" s="7">
        <v>1729</v>
      </c>
      <c r="B1730" s="6">
        <v>49</v>
      </c>
      <c r="C1730" s="13">
        <v>3722227</v>
      </c>
      <c r="D1730" t="s">
        <v>57</v>
      </c>
      <c r="E1730" s="13">
        <v>39</v>
      </c>
      <c r="F1730" s="10" t="s">
        <v>13</v>
      </c>
      <c r="I1730" s="26"/>
      <c r="J1730" s="138">
        <v>621.04</v>
      </c>
      <c r="K1730" s="138">
        <v>629.17773</v>
      </c>
      <c r="L1730" s="138">
        <v>612.90226999999993</v>
      </c>
      <c r="M1730" s="27"/>
      <c r="N1730" s="83">
        <v>621.04</v>
      </c>
      <c r="P1730" t="str">
        <f>VLOOKUP(B1730,PTN!A:B,2,FALSE)</f>
        <v>UNIVERSITAS BRAWIJAYA</v>
      </c>
      <c r="Q1730" t="str">
        <f t="shared" si="26"/>
        <v>UNIVERSITAS BRAWIJAYAEKONOMI ISLAM</v>
      </c>
    </row>
    <row r="1731" spans="1:17" ht="15.75" thickBot="1" x14ac:dyDescent="0.3">
      <c r="A1731" s="7">
        <v>1730</v>
      </c>
      <c r="B1731" s="6">
        <v>49</v>
      </c>
      <c r="C1731" s="12">
        <v>3722235</v>
      </c>
      <c r="D1731" t="s">
        <v>548</v>
      </c>
      <c r="E1731" s="12">
        <v>48</v>
      </c>
      <c r="F1731" s="10" t="s">
        <v>13</v>
      </c>
      <c r="I1731" s="87"/>
      <c r="J1731" s="138">
        <v>616.46</v>
      </c>
      <c r="K1731" s="138">
        <v>624.59773000000007</v>
      </c>
      <c r="L1731" s="138">
        <v>608.32227</v>
      </c>
      <c r="M1731" s="28"/>
      <c r="N1731" s="83">
        <v>616.46</v>
      </c>
      <c r="P1731" t="str">
        <f>VLOOKUP(B1731,PTN!A:B,2,FALSE)</f>
        <v>UNIVERSITAS BRAWIJAYA</v>
      </c>
      <c r="Q1731" t="str">
        <f t="shared" ref="Q1731:Q1794" si="27">P1731&amp;D1731</f>
        <v>UNIVERSITAS BRAWIJAYAEKONOMI, KEUANGAN DAN PERBANKAN</v>
      </c>
    </row>
    <row r="1732" spans="1:17" ht="15.75" thickBot="1" x14ac:dyDescent="0.3">
      <c r="A1732" s="7">
        <v>1731</v>
      </c>
      <c r="B1732" s="6">
        <v>49</v>
      </c>
      <c r="C1732" s="13">
        <v>3722026</v>
      </c>
      <c r="D1732" t="s">
        <v>69</v>
      </c>
      <c r="E1732" s="13">
        <v>39</v>
      </c>
      <c r="F1732" s="10" t="s">
        <v>13</v>
      </c>
      <c r="I1732" s="26"/>
      <c r="J1732" s="138">
        <v>620.99</v>
      </c>
      <c r="K1732" s="138">
        <v>629.12773000000004</v>
      </c>
      <c r="L1732" s="138">
        <v>612.85226999999998</v>
      </c>
      <c r="M1732" s="27"/>
      <c r="N1732" s="83">
        <v>620.99</v>
      </c>
      <c r="P1732" t="str">
        <f>VLOOKUP(B1732,PTN!A:B,2,FALSE)</f>
        <v>UNIVERSITAS BRAWIJAYA</v>
      </c>
      <c r="Q1732" t="str">
        <f t="shared" si="27"/>
        <v>UNIVERSITAS BRAWIJAYAEKONOMI PEMBANGUNAN</v>
      </c>
    </row>
    <row r="1733" spans="1:17" ht="15.75" thickBot="1" x14ac:dyDescent="0.3">
      <c r="A1733" s="7">
        <v>1732</v>
      </c>
      <c r="B1733" s="6">
        <v>49</v>
      </c>
      <c r="C1733" s="12">
        <v>3722107</v>
      </c>
      <c r="D1733" t="s">
        <v>223</v>
      </c>
      <c r="E1733" s="12">
        <v>51</v>
      </c>
      <c r="F1733" s="10" t="s">
        <v>13</v>
      </c>
      <c r="I1733" s="87"/>
      <c r="J1733" s="138">
        <v>640.41</v>
      </c>
      <c r="K1733" s="138">
        <v>648.54773</v>
      </c>
      <c r="L1733" s="138">
        <v>632.27226999999993</v>
      </c>
      <c r="M1733" s="28"/>
      <c r="N1733" s="83">
        <v>640.41</v>
      </c>
      <c r="P1733" t="str">
        <f>VLOOKUP(B1733,PTN!A:B,2,FALSE)</f>
        <v>UNIVERSITAS BRAWIJAYA</v>
      </c>
      <c r="Q1733" t="str">
        <f t="shared" si="27"/>
        <v>UNIVERSITAS BRAWIJAYAHUBUNGAN INTERNASIONAL</v>
      </c>
    </row>
    <row r="1734" spans="1:17" ht="15.75" thickBot="1" x14ac:dyDescent="0.3">
      <c r="A1734" s="7">
        <v>1733</v>
      </c>
      <c r="B1734" s="6">
        <v>49</v>
      </c>
      <c r="C1734" s="13">
        <v>3722042</v>
      </c>
      <c r="D1734" t="s">
        <v>389</v>
      </c>
      <c r="E1734" s="13">
        <v>117</v>
      </c>
      <c r="F1734" s="10" t="s">
        <v>13</v>
      </c>
      <c r="I1734" s="26"/>
      <c r="J1734" s="138">
        <v>619.69000000000005</v>
      </c>
      <c r="K1734" s="138">
        <v>627.82773000000009</v>
      </c>
      <c r="L1734" s="138">
        <v>611.55227000000002</v>
      </c>
      <c r="M1734" s="27"/>
      <c r="N1734" s="83">
        <v>619.69000000000005</v>
      </c>
      <c r="P1734" t="str">
        <f>VLOOKUP(B1734,PTN!A:B,2,FALSE)</f>
        <v>UNIVERSITAS BRAWIJAYA</v>
      </c>
      <c r="Q1734" t="str">
        <f t="shared" si="27"/>
        <v>UNIVERSITAS BRAWIJAYAILMU ADMINISTRASI BISNIS</v>
      </c>
    </row>
    <row r="1735" spans="1:17" ht="15.75" thickBot="1" x14ac:dyDescent="0.3">
      <c r="A1735" s="7">
        <v>1734</v>
      </c>
      <c r="B1735" s="6">
        <v>49</v>
      </c>
      <c r="C1735" s="12">
        <v>3722034</v>
      </c>
      <c r="D1735" t="s">
        <v>549</v>
      </c>
      <c r="E1735" s="12">
        <v>102</v>
      </c>
      <c r="F1735" s="10" t="s">
        <v>13</v>
      </c>
      <c r="I1735" s="87"/>
      <c r="J1735" s="138">
        <v>608.25</v>
      </c>
      <c r="K1735" s="138">
        <v>616.38773000000003</v>
      </c>
      <c r="L1735" s="138">
        <v>600.11226999999997</v>
      </c>
      <c r="M1735" s="28"/>
      <c r="N1735" s="83">
        <v>608.25</v>
      </c>
      <c r="P1735" t="str">
        <f>VLOOKUP(B1735,PTN!A:B,2,FALSE)</f>
        <v>UNIVERSITAS BRAWIJAYA</v>
      </c>
      <c r="Q1735" t="str">
        <f t="shared" si="27"/>
        <v>UNIVERSITAS BRAWIJAYAILMU ADMINISTRASI PUBLIK</v>
      </c>
    </row>
    <row r="1736" spans="1:17" ht="15.75" thickBot="1" x14ac:dyDescent="0.3">
      <c r="A1736" s="7">
        <v>1735</v>
      </c>
      <c r="B1736" s="6">
        <v>49</v>
      </c>
      <c r="C1736" s="13">
        <v>3722011</v>
      </c>
      <c r="D1736" t="s">
        <v>31</v>
      </c>
      <c r="E1736" s="13">
        <v>195</v>
      </c>
      <c r="F1736" s="10" t="s">
        <v>13</v>
      </c>
      <c r="I1736" s="26"/>
      <c r="J1736" s="138">
        <v>618.39</v>
      </c>
      <c r="K1736" s="138">
        <v>626.52773000000002</v>
      </c>
      <c r="L1736" s="138">
        <v>610.25226999999995</v>
      </c>
      <c r="M1736" s="27"/>
      <c r="N1736" s="83">
        <v>618.39</v>
      </c>
      <c r="P1736" t="str">
        <f>VLOOKUP(B1736,PTN!A:B,2,FALSE)</f>
        <v>UNIVERSITAS BRAWIJAYA</v>
      </c>
      <c r="Q1736" t="str">
        <f t="shared" si="27"/>
        <v>UNIVERSITAS BRAWIJAYAILMU HUKUM</v>
      </c>
    </row>
    <row r="1737" spans="1:17" ht="15.75" thickBot="1" x14ac:dyDescent="0.3">
      <c r="A1737" s="7">
        <v>1736</v>
      </c>
      <c r="B1737" s="6">
        <v>49</v>
      </c>
      <c r="C1737" s="12">
        <v>3722081</v>
      </c>
      <c r="D1737" t="s">
        <v>60</v>
      </c>
      <c r="E1737" s="12">
        <v>63</v>
      </c>
      <c r="F1737" s="10" t="s">
        <v>13</v>
      </c>
      <c r="I1737" s="87"/>
      <c r="J1737" s="138">
        <v>624.67999999999995</v>
      </c>
      <c r="K1737" s="138">
        <v>632.81772999999998</v>
      </c>
      <c r="L1737" s="138">
        <v>616.54226999999992</v>
      </c>
      <c r="M1737" s="28"/>
      <c r="N1737" s="83">
        <v>624.67999999999995</v>
      </c>
      <c r="P1737" t="str">
        <f>VLOOKUP(B1737,PTN!A:B,2,FALSE)</f>
        <v>UNIVERSITAS BRAWIJAYA</v>
      </c>
      <c r="Q1737" t="str">
        <f t="shared" si="27"/>
        <v>UNIVERSITAS BRAWIJAYAILMU KOMUNIKASI</v>
      </c>
    </row>
    <row r="1738" spans="1:17" ht="15.75" thickBot="1" x14ac:dyDescent="0.3">
      <c r="A1738" s="7">
        <v>1737</v>
      </c>
      <c r="B1738" s="6">
        <v>49</v>
      </c>
      <c r="C1738" s="13">
        <v>3722177</v>
      </c>
      <c r="D1738" t="s">
        <v>97</v>
      </c>
      <c r="E1738" s="13">
        <v>51</v>
      </c>
      <c r="F1738" s="10" t="s">
        <v>13</v>
      </c>
      <c r="I1738" s="26"/>
      <c r="J1738" s="138">
        <v>600.55999999999995</v>
      </c>
      <c r="K1738" s="138">
        <v>608.69772999999998</v>
      </c>
      <c r="L1738" s="138">
        <v>592.42226999999991</v>
      </c>
      <c r="M1738" s="27"/>
      <c r="N1738" s="83">
        <v>600.55999999999995</v>
      </c>
      <c r="P1738" t="str">
        <f>VLOOKUP(B1738,PTN!A:B,2,FALSE)</f>
        <v>UNIVERSITAS BRAWIJAYA</v>
      </c>
      <c r="Q1738" t="str">
        <f t="shared" si="27"/>
        <v>UNIVERSITAS BRAWIJAYAILMU PEMERINTAHAN</v>
      </c>
    </row>
    <row r="1739" spans="1:17" ht="15.75" thickBot="1" x14ac:dyDescent="0.3">
      <c r="A1739" s="7">
        <v>1738</v>
      </c>
      <c r="B1739" s="6">
        <v>49</v>
      </c>
      <c r="C1739" s="12">
        <v>3722243</v>
      </c>
      <c r="D1739" t="s">
        <v>32</v>
      </c>
      <c r="E1739" s="12">
        <v>27</v>
      </c>
      <c r="F1739" s="10" t="s">
        <v>13</v>
      </c>
      <c r="I1739" s="87"/>
      <c r="J1739" s="138">
        <v>591.67999999999995</v>
      </c>
      <c r="K1739" s="138">
        <v>599.81772999999998</v>
      </c>
      <c r="L1739" s="138">
        <v>583.54226999999992</v>
      </c>
      <c r="M1739" s="28"/>
      <c r="N1739" s="83">
        <v>591.67999999999995</v>
      </c>
      <c r="P1739" t="str">
        <f>VLOOKUP(B1739,PTN!A:B,2,FALSE)</f>
        <v>UNIVERSITAS BRAWIJAYA</v>
      </c>
      <c r="Q1739" t="str">
        <f t="shared" si="27"/>
        <v>UNIVERSITAS BRAWIJAYAILMU PERPUSTAKAAN</v>
      </c>
    </row>
    <row r="1740" spans="1:17" ht="15.75" thickBot="1" x14ac:dyDescent="0.3">
      <c r="A1740" s="7">
        <v>1739</v>
      </c>
      <c r="B1740" s="6">
        <v>49</v>
      </c>
      <c r="C1740" s="13">
        <v>3722146</v>
      </c>
      <c r="D1740" t="s">
        <v>33</v>
      </c>
      <c r="E1740" s="13">
        <v>49</v>
      </c>
      <c r="F1740" s="10" t="s">
        <v>13</v>
      </c>
      <c r="I1740" s="26"/>
      <c r="J1740" s="138">
        <v>602.88</v>
      </c>
      <c r="K1740" s="138">
        <v>611.01773000000003</v>
      </c>
      <c r="L1740" s="138">
        <v>594.74226999999996</v>
      </c>
      <c r="M1740" s="27"/>
      <c r="N1740" s="83">
        <v>602.88</v>
      </c>
      <c r="P1740" t="str">
        <f>VLOOKUP(B1740,PTN!A:B,2,FALSE)</f>
        <v>UNIVERSITAS BRAWIJAYA</v>
      </c>
      <c r="Q1740" t="str">
        <f t="shared" si="27"/>
        <v>UNIVERSITAS BRAWIJAYAILMU POLITIK</v>
      </c>
    </row>
    <row r="1741" spans="1:17" ht="15.75" thickBot="1" x14ac:dyDescent="0.3">
      <c r="A1741" s="7">
        <v>1740</v>
      </c>
      <c r="B1741" s="6">
        <v>49</v>
      </c>
      <c r="C1741" s="12">
        <v>3722363</v>
      </c>
      <c r="D1741" t="s">
        <v>550</v>
      </c>
      <c r="E1741" s="12">
        <v>21</v>
      </c>
      <c r="F1741" s="10" t="s">
        <v>13</v>
      </c>
      <c r="I1741" s="87"/>
      <c r="J1741" s="138">
        <v>614.17999999999995</v>
      </c>
      <c r="K1741" s="138">
        <v>622.31772999999998</v>
      </c>
      <c r="L1741" s="138">
        <v>606.04226999999992</v>
      </c>
      <c r="M1741" s="28"/>
      <c r="N1741" s="83">
        <v>614.17999999999995</v>
      </c>
      <c r="P1741" t="str">
        <f>VLOOKUP(B1741,PTN!A:B,2,FALSE)</f>
        <v>UNIVERSITAS BRAWIJAYA</v>
      </c>
      <c r="Q1741" t="str">
        <f t="shared" si="27"/>
        <v>UNIVERSITAS BRAWIJAYAKEWIRAUSAHAAN</v>
      </c>
    </row>
    <row r="1742" spans="1:17" ht="15.75" thickBot="1" x14ac:dyDescent="0.3">
      <c r="A1742" s="7">
        <v>1741</v>
      </c>
      <c r="B1742" s="6">
        <v>49</v>
      </c>
      <c r="C1742" s="13">
        <v>3722057</v>
      </c>
      <c r="D1742" t="s">
        <v>61</v>
      </c>
      <c r="E1742" s="13">
        <v>84</v>
      </c>
      <c r="F1742" s="10" t="s">
        <v>13</v>
      </c>
      <c r="I1742" s="26"/>
      <c r="J1742" s="138">
        <v>634.65</v>
      </c>
      <c r="K1742" s="138">
        <v>642.78773000000001</v>
      </c>
      <c r="L1742" s="138">
        <v>626.51226999999994</v>
      </c>
      <c r="M1742" s="27"/>
      <c r="N1742" s="83">
        <v>634.65</v>
      </c>
      <c r="P1742" t="str">
        <f>VLOOKUP(B1742,PTN!A:B,2,FALSE)</f>
        <v>UNIVERSITAS BRAWIJAYA</v>
      </c>
      <c r="Q1742" t="str">
        <f t="shared" si="27"/>
        <v>UNIVERSITAS BRAWIJAYAMANAJEMEN</v>
      </c>
    </row>
    <row r="1743" spans="1:17" ht="15.75" thickBot="1" x14ac:dyDescent="0.3">
      <c r="A1743" s="7">
        <v>1742</v>
      </c>
      <c r="B1743" s="6">
        <v>49</v>
      </c>
      <c r="C1743" s="12">
        <v>3722251</v>
      </c>
      <c r="D1743" t="s">
        <v>224</v>
      </c>
      <c r="E1743" s="12">
        <v>42</v>
      </c>
      <c r="F1743" s="10" t="s">
        <v>13</v>
      </c>
      <c r="I1743" s="87"/>
      <c r="J1743" s="138">
        <v>598.33000000000004</v>
      </c>
      <c r="K1743" s="138">
        <v>606.46773000000007</v>
      </c>
      <c r="L1743" s="138">
        <v>590.19227000000001</v>
      </c>
      <c r="M1743" s="28"/>
      <c r="N1743" s="83">
        <v>598.33000000000004</v>
      </c>
      <c r="P1743" t="str">
        <f>VLOOKUP(B1743,PTN!A:B,2,FALSE)</f>
        <v>UNIVERSITAS BRAWIJAYA</v>
      </c>
      <c r="Q1743" t="str">
        <f t="shared" si="27"/>
        <v>UNIVERSITAS BRAWIJAYAPARIWISATA</v>
      </c>
    </row>
    <row r="1744" spans="1:17" ht="15.75" thickBot="1" x14ac:dyDescent="0.3">
      <c r="A1744" s="7">
        <v>1743</v>
      </c>
      <c r="B1744" s="6">
        <v>49</v>
      </c>
      <c r="C1744" s="13">
        <v>3722297</v>
      </c>
      <c r="D1744" t="s">
        <v>551</v>
      </c>
      <c r="E1744" s="13">
        <v>30</v>
      </c>
      <c r="F1744" s="10" t="s">
        <v>13</v>
      </c>
      <c r="I1744" s="26"/>
      <c r="J1744" s="138">
        <v>575.15</v>
      </c>
      <c r="K1744" s="138">
        <v>583.28773000000001</v>
      </c>
      <c r="L1744" s="138">
        <v>567.01226999999994</v>
      </c>
      <c r="M1744" s="27"/>
      <c r="N1744" s="83">
        <v>575.15</v>
      </c>
      <c r="P1744" t="str">
        <f>VLOOKUP(B1744,PTN!A:B,2,FALSE)</f>
        <v>UNIVERSITAS BRAWIJAYA</v>
      </c>
      <c r="Q1744" t="str">
        <f t="shared" si="27"/>
        <v>UNIVERSITAS BRAWIJAYAPENDIDIKAN BHS &amp; SASTRA INDONESIA</v>
      </c>
    </row>
    <row r="1745" spans="1:17" ht="15.75" thickBot="1" x14ac:dyDescent="0.3">
      <c r="A1745" s="7">
        <v>1744</v>
      </c>
      <c r="B1745" s="6">
        <v>49</v>
      </c>
      <c r="C1745" s="12">
        <v>3722274</v>
      </c>
      <c r="D1745" t="s">
        <v>552</v>
      </c>
      <c r="E1745" s="12">
        <v>42</v>
      </c>
      <c r="F1745" s="10" t="s">
        <v>13</v>
      </c>
      <c r="I1745" s="87"/>
      <c r="J1745" s="138">
        <v>587.89</v>
      </c>
      <c r="K1745" s="138">
        <v>596.02773000000002</v>
      </c>
      <c r="L1745" s="138">
        <v>579.75226999999995</v>
      </c>
      <c r="M1745" s="28"/>
      <c r="N1745" s="83">
        <v>587.89</v>
      </c>
      <c r="P1745" t="str">
        <f>VLOOKUP(B1745,PTN!A:B,2,FALSE)</f>
        <v>UNIVERSITAS BRAWIJAYA</v>
      </c>
      <c r="Q1745" t="str">
        <f t="shared" si="27"/>
        <v>UNIVERSITAS BRAWIJAYAPENDIDIKAN BHS &amp; SASTRA INGGRIS</v>
      </c>
    </row>
    <row r="1746" spans="1:17" ht="15.75" thickBot="1" x14ac:dyDescent="0.3">
      <c r="A1746" s="7">
        <v>1745</v>
      </c>
      <c r="B1746" s="6">
        <v>49</v>
      </c>
      <c r="C1746" s="13">
        <v>3722282</v>
      </c>
      <c r="D1746" t="s">
        <v>553</v>
      </c>
      <c r="E1746" s="13">
        <v>21</v>
      </c>
      <c r="F1746" s="10" t="s">
        <v>13</v>
      </c>
      <c r="I1746" s="26"/>
      <c r="J1746" s="138">
        <v>587.82000000000005</v>
      </c>
      <c r="K1746" s="138">
        <v>595.95773000000008</v>
      </c>
      <c r="L1746" s="138">
        <v>579.68227000000002</v>
      </c>
      <c r="M1746" s="27"/>
      <c r="N1746" s="83">
        <v>587.82000000000005</v>
      </c>
      <c r="P1746" t="str">
        <f>VLOOKUP(B1746,PTN!A:B,2,FALSE)</f>
        <v>UNIVERSITAS BRAWIJAYA</v>
      </c>
      <c r="Q1746" t="str">
        <f t="shared" si="27"/>
        <v>UNIVERSITAS BRAWIJAYAPENDIDIKAN BHS &amp; SASTRA JEPANG</v>
      </c>
    </row>
    <row r="1747" spans="1:17" ht="15.75" thickBot="1" x14ac:dyDescent="0.3">
      <c r="A1747" s="7">
        <v>1746</v>
      </c>
      <c r="B1747" s="6">
        <v>49</v>
      </c>
      <c r="C1747" s="12">
        <v>3722096</v>
      </c>
      <c r="D1747" t="s">
        <v>36</v>
      </c>
      <c r="E1747" s="12">
        <v>66</v>
      </c>
      <c r="F1747" s="10" t="s">
        <v>13</v>
      </c>
      <c r="I1747" s="87"/>
      <c r="J1747" s="138">
        <v>625.73</v>
      </c>
      <c r="K1747" s="138">
        <v>633.86773000000005</v>
      </c>
      <c r="L1747" s="138">
        <v>617.59226999999998</v>
      </c>
      <c r="M1747" s="28"/>
      <c r="N1747" s="83">
        <v>625.73</v>
      </c>
      <c r="P1747" t="str">
        <f>VLOOKUP(B1747,PTN!A:B,2,FALSE)</f>
        <v>UNIVERSITAS BRAWIJAYA</v>
      </c>
      <c r="Q1747" t="str">
        <f t="shared" si="27"/>
        <v>UNIVERSITAS BRAWIJAYAPSIKOLOGI</v>
      </c>
    </row>
    <row r="1748" spans="1:17" ht="15.75" thickBot="1" x14ac:dyDescent="0.3">
      <c r="A1748" s="7">
        <v>1747</v>
      </c>
      <c r="B1748" s="6">
        <v>49</v>
      </c>
      <c r="C1748" s="13">
        <v>3722347</v>
      </c>
      <c r="D1748" t="s">
        <v>150</v>
      </c>
      <c r="E1748" s="13">
        <v>24</v>
      </c>
      <c r="F1748" s="10" t="s">
        <v>13</v>
      </c>
      <c r="I1748" s="26"/>
      <c r="J1748" s="138">
        <v>597.07000000000005</v>
      </c>
      <c r="K1748" s="138">
        <v>605.20773000000008</v>
      </c>
      <c r="L1748" s="138">
        <v>588.93227000000002</v>
      </c>
      <c r="M1748" s="27"/>
      <c r="N1748" s="83">
        <v>597.07000000000005</v>
      </c>
      <c r="P1748" t="str">
        <f>VLOOKUP(B1748,PTN!A:B,2,FALSE)</f>
        <v>UNIVERSITAS BRAWIJAYA</v>
      </c>
      <c r="Q1748" t="str">
        <f t="shared" si="27"/>
        <v>UNIVERSITAS BRAWIJAYASASTRA CINA</v>
      </c>
    </row>
    <row r="1749" spans="1:17" ht="15.75" thickBot="1" x14ac:dyDescent="0.3">
      <c r="A1749" s="7">
        <v>1748</v>
      </c>
      <c r="B1749" s="6">
        <v>49</v>
      </c>
      <c r="C1749" s="12">
        <v>3722115</v>
      </c>
      <c r="D1749" t="s">
        <v>139</v>
      </c>
      <c r="E1749" s="12">
        <v>42</v>
      </c>
      <c r="F1749" s="10" t="s">
        <v>13</v>
      </c>
      <c r="I1749" s="87"/>
      <c r="J1749" s="138">
        <v>614.96</v>
      </c>
      <c r="K1749" s="138">
        <v>623.09773000000007</v>
      </c>
      <c r="L1749" s="138">
        <v>606.82227</v>
      </c>
      <c r="M1749" s="28"/>
      <c r="N1749" s="83">
        <v>614.96</v>
      </c>
      <c r="P1749" t="str">
        <f>VLOOKUP(B1749,PTN!A:B,2,FALSE)</f>
        <v>UNIVERSITAS BRAWIJAYA</v>
      </c>
      <c r="Q1749" t="str">
        <f t="shared" si="27"/>
        <v>UNIVERSITAS BRAWIJAYASASTRA INGGRIS</v>
      </c>
    </row>
    <row r="1750" spans="1:17" ht="15.75" thickBot="1" x14ac:dyDescent="0.3">
      <c r="A1750" s="7">
        <v>1749</v>
      </c>
      <c r="B1750" s="6">
        <v>49</v>
      </c>
      <c r="C1750" s="13">
        <v>3722123</v>
      </c>
      <c r="D1750" t="s">
        <v>153</v>
      </c>
      <c r="E1750" s="13">
        <v>36</v>
      </c>
      <c r="F1750" s="10" t="s">
        <v>13</v>
      </c>
      <c r="I1750" s="26"/>
      <c r="J1750" s="138">
        <v>614.76</v>
      </c>
      <c r="K1750" s="138">
        <v>622.89773000000002</v>
      </c>
      <c r="L1750" s="138">
        <v>606.62226999999996</v>
      </c>
      <c r="M1750" s="27"/>
      <c r="N1750" s="83">
        <v>614.76</v>
      </c>
      <c r="P1750" t="str">
        <f>VLOOKUP(B1750,PTN!A:B,2,FALSE)</f>
        <v>UNIVERSITAS BRAWIJAYA</v>
      </c>
      <c r="Q1750" t="str">
        <f t="shared" si="27"/>
        <v>UNIVERSITAS BRAWIJAYASASTRA JEPANG</v>
      </c>
    </row>
    <row r="1751" spans="1:17" ht="15.75" thickBot="1" x14ac:dyDescent="0.3">
      <c r="A1751" s="7">
        <v>1750</v>
      </c>
      <c r="B1751" s="6">
        <v>49</v>
      </c>
      <c r="C1751" s="12">
        <v>3722332</v>
      </c>
      <c r="D1751" t="s">
        <v>16</v>
      </c>
      <c r="E1751" s="12">
        <v>18</v>
      </c>
      <c r="F1751" s="10" t="s">
        <v>13</v>
      </c>
      <c r="I1751" s="87"/>
      <c r="J1751" s="138" t="s">
        <v>1292</v>
      </c>
      <c r="K1751" s="138" t="s">
        <v>1292</v>
      </c>
      <c r="L1751" s="138" t="s">
        <v>1292</v>
      </c>
      <c r="M1751" s="28"/>
      <c r="N1751" s="83" t="s">
        <v>1292</v>
      </c>
      <c r="P1751" t="str">
        <f>VLOOKUP(B1751,PTN!A:B,2,FALSE)</f>
        <v>UNIVERSITAS BRAWIJAYA</v>
      </c>
      <c r="Q1751" t="str">
        <f t="shared" si="27"/>
        <v>UNIVERSITAS BRAWIJAYASENI RUPA MURNI</v>
      </c>
    </row>
    <row r="1752" spans="1:17" ht="15.75" thickBot="1" x14ac:dyDescent="0.3">
      <c r="A1752" s="7">
        <v>1751</v>
      </c>
      <c r="B1752" s="6">
        <v>49</v>
      </c>
      <c r="C1752" s="16">
        <v>3722073</v>
      </c>
      <c r="D1752" t="s">
        <v>63</v>
      </c>
      <c r="E1752" s="16">
        <v>52</v>
      </c>
      <c r="F1752" s="10" t="s">
        <v>13</v>
      </c>
      <c r="I1752" s="26"/>
      <c r="J1752" s="138">
        <v>598.58000000000004</v>
      </c>
      <c r="K1752" s="138">
        <v>606.71773000000007</v>
      </c>
      <c r="L1752" s="138">
        <v>590.44227000000001</v>
      </c>
      <c r="M1752" s="27"/>
      <c r="N1752" s="83">
        <v>598.58000000000004</v>
      </c>
      <c r="P1752" t="str">
        <f>VLOOKUP(B1752,PTN!A:B,2,FALSE)</f>
        <v>UNIVERSITAS BRAWIJAYA</v>
      </c>
      <c r="Q1752" t="str">
        <f t="shared" si="27"/>
        <v>UNIVERSITAS BRAWIJAYASOSIOLOGI</v>
      </c>
    </row>
    <row r="1753" spans="1:17" ht="16.5" thickTop="1" thickBot="1" x14ac:dyDescent="0.3">
      <c r="A1753" s="7">
        <v>1752</v>
      </c>
      <c r="B1753" s="6">
        <v>51</v>
      </c>
      <c r="C1753" s="17">
        <v>3741027</v>
      </c>
      <c r="D1753" t="s">
        <v>21</v>
      </c>
      <c r="E1753" s="17">
        <v>40</v>
      </c>
      <c r="F1753" s="10" t="s">
        <v>20</v>
      </c>
      <c r="I1753" s="20"/>
      <c r="J1753" s="138" t="s">
        <v>1292</v>
      </c>
      <c r="K1753" s="138" t="s">
        <v>1292</v>
      </c>
      <c r="L1753" s="138" t="s">
        <v>1292</v>
      </c>
      <c r="M1753" s="21"/>
      <c r="N1753" s="83" t="s">
        <v>1292</v>
      </c>
      <c r="P1753" t="str">
        <f>VLOOKUP(B1753,PTN!A:B,2,FALSE)</f>
        <v>UIN MALIK IBRAHIM MALANG</v>
      </c>
      <c r="Q1753" t="str">
        <f t="shared" si="27"/>
        <v>UIN MALIK IBRAHIM MALANGBIOLOGI</v>
      </c>
    </row>
    <row r="1754" spans="1:17" ht="15.75" thickBot="1" x14ac:dyDescent="0.3">
      <c r="A1754" s="7">
        <v>1753</v>
      </c>
      <c r="B1754" s="6">
        <v>51</v>
      </c>
      <c r="C1754" s="18">
        <v>3741074</v>
      </c>
      <c r="D1754" t="s">
        <v>77</v>
      </c>
      <c r="E1754" s="18">
        <v>40</v>
      </c>
      <c r="F1754" s="10" t="s">
        <v>20</v>
      </c>
      <c r="I1754" s="22"/>
      <c r="J1754" s="138">
        <v>613.55999999999995</v>
      </c>
      <c r="K1754" s="138">
        <v>621.6099999999999</v>
      </c>
      <c r="L1754" s="138">
        <v>605.51</v>
      </c>
      <c r="M1754" s="21"/>
      <c r="N1754" s="83">
        <v>613.55999999999995</v>
      </c>
      <c r="P1754" t="str">
        <f>VLOOKUP(B1754,PTN!A:B,2,FALSE)</f>
        <v>UIN MALIK IBRAHIM MALANG</v>
      </c>
      <c r="Q1754" t="str">
        <f t="shared" si="27"/>
        <v>UIN MALIK IBRAHIM MALANGFARMASI</v>
      </c>
    </row>
    <row r="1755" spans="1:17" ht="16.5" thickTop="1" thickBot="1" x14ac:dyDescent="0.3">
      <c r="A1755" s="7">
        <v>1754</v>
      </c>
      <c r="B1755" s="6">
        <v>51</v>
      </c>
      <c r="C1755" s="17">
        <v>3741043</v>
      </c>
      <c r="D1755" t="s">
        <v>65</v>
      </c>
      <c r="E1755" s="17">
        <v>30</v>
      </c>
      <c r="F1755" s="10" t="s">
        <v>20</v>
      </c>
      <c r="I1755" s="36"/>
      <c r="J1755" s="138" t="s">
        <v>1292</v>
      </c>
      <c r="K1755" s="138" t="s">
        <v>1292</v>
      </c>
      <c r="L1755" s="138" t="s">
        <v>1292</v>
      </c>
      <c r="M1755" s="31"/>
      <c r="N1755" s="83" t="s">
        <v>1292</v>
      </c>
      <c r="P1755" t="str">
        <f>VLOOKUP(B1755,PTN!A:B,2,FALSE)</f>
        <v>UIN MALIK IBRAHIM MALANG</v>
      </c>
      <c r="Q1755" t="str">
        <f t="shared" si="27"/>
        <v>UIN MALIK IBRAHIM MALANGFISIKA</v>
      </c>
    </row>
    <row r="1756" spans="1:17" ht="16.5" thickTop="1" thickBot="1" x14ac:dyDescent="0.3">
      <c r="A1756" s="7">
        <v>1755</v>
      </c>
      <c r="B1756" s="6">
        <v>51</v>
      </c>
      <c r="C1756" s="18">
        <v>3741035</v>
      </c>
      <c r="D1756" t="s">
        <v>22</v>
      </c>
      <c r="E1756" s="18">
        <v>40</v>
      </c>
      <c r="F1756" s="10" t="s">
        <v>20</v>
      </c>
      <c r="I1756" s="38"/>
      <c r="J1756" s="138" t="s">
        <v>1292</v>
      </c>
      <c r="K1756" s="138" t="s">
        <v>1292</v>
      </c>
      <c r="L1756" s="138" t="s">
        <v>1292</v>
      </c>
      <c r="M1756" s="32"/>
      <c r="N1756" s="83" t="s">
        <v>1292</v>
      </c>
      <c r="P1756" t="str">
        <f>VLOOKUP(B1756,PTN!A:B,2,FALSE)</f>
        <v>UIN MALIK IBRAHIM MALANG</v>
      </c>
      <c r="Q1756" t="str">
        <f t="shared" si="27"/>
        <v>UIN MALIK IBRAHIM MALANGKIMIA</v>
      </c>
    </row>
    <row r="1757" spans="1:17" ht="15.75" thickBot="1" x14ac:dyDescent="0.3">
      <c r="A1757" s="7">
        <v>1756</v>
      </c>
      <c r="B1757" s="6">
        <v>51</v>
      </c>
      <c r="C1757" s="17">
        <v>3741012</v>
      </c>
      <c r="D1757" t="s">
        <v>66</v>
      </c>
      <c r="E1757" s="17">
        <v>40</v>
      </c>
      <c r="F1757" s="10" t="s">
        <v>20</v>
      </c>
      <c r="I1757" s="39"/>
      <c r="J1757" s="138" t="s">
        <v>1292</v>
      </c>
      <c r="K1757" s="138" t="s">
        <v>1292</v>
      </c>
      <c r="L1757" s="138" t="s">
        <v>1292</v>
      </c>
      <c r="M1757" s="33"/>
      <c r="N1757" s="83" t="s">
        <v>1292</v>
      </c>
      <c r="P1757" t="str">
        <f>VLOOKUP(B1757,PTN!A:B,2,FALSE)</f>
        <v>UIN MALIK IBRAHIM MALANG</v>
      </c>
      <c r="Q1757" t="str">
        <f t="shared" si="27"/>
        <v>UIN MALIK IBRAHIM MALANGMATEMATIKA</v>
      </c>
    </row>
    <row r="1758" spans="1:17" ht="15.75" thickBot="1" x14ac:dyDescent="0.3">
      <c r="A1758" s="7">
        <v>1757</v>
      </c>
      <c r="B1758" s="6">
        <v>51</v>
      </c>
      <c r="C1758" s="18">
        <v>3741124</v>
      </c>
      <c r="D1758" t="s">
        <v>41</v>
      </c>
      <c r="E1758" s="18">
        <v>15</v>
      </c>
      <c r="F1758" s="10" t="s">
        <v>20</v>
      </c>
      <c r="I1758" s="38"/>
      <c r="J1758" s="138">
        <v>671.65</v>
      </c>
      <c r="K1758" s="138">
        <v>676.14499999999998</v>
      </c>
      <c r="L1758" s="138">
        <v>667.15499999999997</v>
      </c>
      <c r="M1758" s="32"/>
      <c r="N1758" s="83">
        <v>671.65</v>
      </c>
      <c r="P1758" t="str">
        <f>VLOOKUP(B1758,PTN!A:B,2,FALSE)</f>
        <v>UIN MALIK IBRAHIM MALANG</v>
      </c>
      <c r="Q1758" t="str">
        <f t="shared" si="27"/>
        <v>UIN MALIK IBRAHIM MALANGPENDIDIKAN DOKTER</v>
      </c>
    </row>
    <row r="1759" spans="1:17" ht="15.75" thickBot="1" x14ac:dyDescent="0.3">
      <c r="A1759" s="7">
        <v>1758</v>
      </c>
      <c r="B1759" s="6">
        <v>51</v>
      </c>
      <c r="C1759" s="17">
        <v>3741066</v>
      </c>
      <c r="D1759" t="s">
        <v>47</v>
      </c>
      <c r="E1759" s="17">
        <v>41</v>
      </c>
      <c r="F1759" s="10" t="s">
        <v>20</v>
      </c>
      <c r="I1759" s="39"/>
      <c r="J1759" s="138" t="s">
        <v>1292</v>
      </c>
      <c r="K1759" s="138" t="s">
        <v>1292</v>
      </c>
      <c r="L1759" s="138" t="s">
        <v>1292</v>
      </c>
      <c r="M1759" s="33"/>
      <c r="N1759" s="83" t="s">
        <v>1292</v>
      </c>
      <c r="P1759" t="str">
        <f>VLOOKUP(B1759,PTN!A:B,2,FALSE)</f>
        <v>UIN MALIK IBRAHIM MALANG</v>
      </c>
      <c r="Q1759" t="str">
        <f t="shared" si="27"/>
        <v>UIN MALIK IBRAHIM MALANGTEKNIK ARSITEKTUR</v>
      </c>
    </row>
    <row r="1760" spans="1:17" ht="15.75" thickBot="1" x14ac:dyDescent="0.3">
      <c r="A1760" s="7">
        <v>1759</v>
      </c>
      <c r="B1760" s="6">
        <v>51</v>
      </c>
      <c r="C1760" s="35">
        <v>3741051</v>
      </c>
      <c r="D1760" t="s">
        <v>50</v>
      </c>
      <c r="E1760" s="35">
        <v>54</v>
      </c>
      <c r="F1760" s="10" t="s">
        <v>20</v>
      </c>
      <c r="I1760" s="20"/>
      <c r="J1760" s="138" t="s">
        <v>1292</v>
      </c>
      <c r="K1760" s="138" t="s">
        <v>1292</v>
      </c>
      <c r="L1760" s="138" t="s">
        <v>1292</v>
      </c>
      <c r="M1760" s="21"/>
      <c r="N1760" s="83" t="s">
        <v>1292</v>
      </c>
      <c r="P1760" t="str">
        <f>VLOOKUP(B1760,PTN!A:B,2,FALSE)</f>
        <v>UIN MALIK IBRAHIM MALANG</v>
      </c>
      <c r="Q1760" t="str">
        <f t="shared" si="27"/>
        <v>UIN MALIK IBRAHIM MALANGTEKNIK INFORMATIKA</v>
      </c>
    </row>
    <row r="1761" spans="1:17" ht="16.5" thickTop="1" thickBot="1" x14ac:dyDescent="0.3">
      <c r="A1761" s="7">
        <v>1760</v>
      </c>
      <c r="B1761" s="6">
        <v>51</v>
      </c>
      <c r="C1761" s="12">
        <v>3742112</v>
      </c>
      <c r="D1761" t="s">
        <v>55</v>
      </c>
      <c r="E1761" s="12">
        <v>40</v>
      </c>
      <c r="F1761" s="10" t="s">
        <v>13</v>
      </c>
      <c r="I1761" s="22"/>
      <c r="J1761" s="138">
        <v>567.45000000000005</v>
      </c>
      <c r="K1761" s="138">
        <v>575.58773000000008</v>
      </c>
      <c r="L1761" s="138">
        <v>559.31227000000001</v>
      </c>
      <c r="M1761" s="21"/>
      <c r="N1761" s="83">
        <v>567.45000000000005</v>
      </c>
      <c r="P1761" t="str">
        <f>VLOOKUP(B1761,PTN!A:B,2,FALSE)</f>
        <v>UIN MALIK IBRAHIM MALANG</v>
      </c>
      <c r="Q1761" t="str">
        <f t="shared" si="27"/>
        <v>UIN MALIK IBRAHIM MALANGAKUNTANSI</v>
      </c>
    </row>
    <row r="1762" spans="1:17" ht="16.5" thickTop="1" thickBot="1" x14ac:dyDescent="0.3">
      <c r="A1762" s="7">
        <v>1761</v>
      </c>
      <c r="B1762" s="6">
        <v>51</v>
      </c>
      <c r="C1762" s="13">
        <v>3742077</v>
      </c>
      <c r="D1762" t="s">
        <v>311</v>
      </c>
      <c r="E1762" s="13">
        <v>79</v>
      </c>
      <c r="F1762" s="10" t="s">
        <v>13</v>
      </c>
      <c r="I1762" s="23"/>
      <c r="J1762" s="138" t="s">
        <v>1292</v>
      </c>
      <c r="K1762" s="138" t="s">
        <v>1292</v>
      </c>
      <c r="L1762" s="138" t="s">
        <v>1292</v>
      </c>
      <c r="M1762" s="25"/>
      <c r="N1762" s="83" t="s">
        <v>1292</v>
      </c>
      <c r="P1762" t="str">
        <f>VLOOKUP(B1762,PTN!A:B,2,FALSE)</f>
        <v>UIN MALIK IBRAHIM MALANG</v>
      </c>
      <c r="Q1762" t="str">
        <f t="shared" si="27"/>
        <v>UIN MALIK IBRAHIM MALANGBAHASA DAN SASTRA INGGRIS</v>
      </c>
    </row>
    <row r="1763" spans="1:17" ht="16.5" thickTop="1" thickBot="1" x14ac:dyDescent="0.3">
      <c r="A1763" s="7">
        <v>1762</v>
      </c>
      <c r="B1763" s="6">
        <v>51</v>
      </c>
      <c r="C1763" s="12">
        <v>3742104</v>
      </c>
      <c r="D1763" t="s">
        <v>61</v>
      </c>
      <c r="E1763" s="12">
        <v>80</v>
      </c>
      <c r="F1763" s="10" t="s">
        <v>13</v>
      </c>
      <c r="I1763" s="26"/>
      <c r="J1763" s="138" t="s">
        <v>1292</v>
      </c>
      <c r="K1763" s="138" t="s">
        <v>1292</v>
      </c>
      <c r="L1763" s="138" t="s">
        <v>1292</v>
      </c>
      <c r="M1763" s="27"/>
      <c r="N1763" s="83" t="s">
        <v>1292</v>
      </c>
      <c r="P1763" t="str">
        <f>VLOOKUP(B1763,PTN!A:B,2,FALSE)</f>
        <v>UIN MALIK IBRAHIM MALANG</v>
      </c>
      <c r="Q1763" t="str">
        <f t="shared" si="27"/>
        <v>UIN MALIK IBRAHIM MALANGMANAJEMEN</v>
      </c>
    </row>
    <row r="1764" spans="1:17" ht="15.75" thickBot="1" x14ac:dyDescent="0.3">
      <c r="A1764" s="7">
        <v>1763</v>
      </c>
      <c r="B1764" s="6">
        <v>51</v>
      </c>
      <c r="C1764" s="13">
        <v>3742023</v>
      </c>
      <c r="D1764" t="s">
        <v>409</v>
      </c>
      <c r="E1764" s="13">
        <v>40</v>
      </c>
      <c r="F1764" s="10" t="s">
        <v>13</v>
      </c>
      <c r="I1764" s="87"/>
      <c r="J1764" s="138" t="s">
        <v>1292</v>
      </c>
      <c r="K1764" s="138" t="s">
        <v>1292</v>
      </c>
      <c r="L1764" s="138" t="s">
        <v>1292</v>
      </c>
      <c r="M1764" s="28"/>
      <c r="N1764" s="83" t="s">
        <v>1292</v>
      </c>
      <c r="P1764" t="str">
        <f>VLOOKUP(B1764,PTN!A:B,2,FALSE)</f>
        <v>UIN MALIK IBRAHIM MALANG</v>
      </c>
      <c r="Q1764" t="str">
        <f t="shared" si="27"/>
        <v>UIN MALIK IBRAHIM MALANGPENDIDIKAN IPS</v>
      </c>
    </row>
    <row r="1765" spans="1:17" ht="15.75" thickBot="1" x14ac:dyDescent="0.3">
      <c r="A1765" s="7">
        <v>1764</v>
      </c>
      <c r="B1765" s="6">
        <v>51</v>
      </c>
      <c r="C1765" s="12">
        <v>3742135</v>
      </c>
      <c r="D1765" t="s">
        <v>207</v>
      </c>
      <c r="E1765" s="12">
        <v>26</v>
      </c>
      <c r="F1765" s="10" t="s">
        <v>13</v>
      </c>
      <c r="I1765" s="26"/>
      <c r="J1765" s="138" t="s">
        <v>1292</v>
      </c>
      <c r="K1765" s="138" t="s">
        <v>1292</v>
      </c>
      <c r="L1765" s="138" t="s">
        <v>1292</v>
      </c>
      <c r="M1765" s="27"/>
      <c r="N1765" s="83" t="s">
        <v>1292</v>
      </c>
      <c r="P1765" t="str">
        <f>VLOOKUP(B1765,PTN!A:B,2,FALSE)</f>
        <v>UIN MALIK IBRAHIM MALANG</v>
      </c>
      <c r="Q1765" t="str">
        <f t="shared" si="27"/>
        <v>UIN MALIK IBRAHIM MALANGPERPUSTAKAAN DAN ILMU INFORMASI</v>
      </c>
    </row>
    <row r="1766" spans="1:17" ht="15.75" thickBot="1" x14ac:dyDescent="0.3">
      <c r="A1766" s="7">
        <v>1765</v>
      </c>
      <c r="B1766" s="6">
        <v>51</v>
      </c>
      <c r="C1766" s="16">
        <v>3742093</v>
      </c>
      <c r="D1766" t="s">
        <v>36</v>
      </c>
      <c r="E1766" s="16">
        <v>80</v>
      </c>
      <c r="F1766" s="10" t="s">
        <v>13</v>
      </c>
      <c r="I1766" s="20"/>
      <c r="J1766" s="138" t="s">
        <v>1292</v>
      </c>
      <c r="K1766" s="138" t="s">
        <v>1292</v>
      </c>
      <c r="L1766" s="138" t="s">
        <v>1292</v>
      </c>
      <c r="M1766" s="21"/>
      <c r="N1766" s="83" t="s">
        <v>1292</v>
      </c>
      <c r="P1766" t="str">
        <f>VLOOKUP(B1766,PTN!A:B,2,FALSE)</f>
        <v>UIN MALIK IBRAHIM MALANG</v>
      </c>
      <c r="Q1766" t="str">
        <f t="shared" si="27"/>
        <v>UIN MALIK IBRAHIM MALANGPSIKOLOGI</v>
      </c>
    </row>
    <row r="1767" spans="1:17" ht="16.5" thickTop="1" thickBot="1" x14ac:dyDescent="0.3">
      <c r="A1767" s="7">
        <v>1766</v>
      </c>
      <c r="B1767" s="6">
        <v>57</v>
      </c>
      <c r="C1767" s="12">
        <v>3861033</v>
      </c>
      <c r="D1767" t="s">
        <v>19</v>
      </c>
      <c r="E1767" s="12">
        <v>21</v>
      </c>
      <c r="F1767" s="10" t="s">
        <v>20</v>
      </c>
      <c r="I1767" s="22"/>
      <c r="J1767" s="138" t="s">
        <v>1292</v>
      </c>
      <c r="K1767" s="138" t="s">
        <v>1292</v>
      </c>
      <c r="L1767" s="138" t="s">
        <v>1292</v>
      </c>
      <c r="M1767" s="21"/>
      <c r="N1767" s="83" t="s">
        <v>1292</v>
      </c>
      <c r="P1767" t="str">
        <f>VLOOKUP(B1767,PTN!A:B,2,FALSE)</f>
        <v>UIN SUNAN AMPEL SURABAYA</v>
      </c>
      <c r="Q1767" t="str">
        <f t="shared" si="27"/>
        <v>UIN SUNAN AMPEL SURABAYAARSITEKTUR</v>
      </c>
    </row>
    <row r="1768" spans="1:17" ht="16.5" thickTop="1" thickBot="1" x14ac:dyDescent="0.3">
      <c r="A1768" s="7">
        <v>1767</v>
      </c>
      <c r="B1768" s="6">
        <v>57</v>
      </c>
      <c r="C1768" s="13">
        <v>3861064</v>
      </c>
      <c r="D1768" t="s">
        <v>21</v>
      </c>
      <c r="E1768" s="13">
        <v>21</v>
      </c>
      <c r="F1768" s="10" t="s">
        <v>20</v>
      </c>
      <c r="I1768" s="23"/>
      <c r="J1768" s="138" t="s">
        <v>1292</v>
      </c>
      <c r="K1768" s="138" t="s">
        <v>1292</v>
      </c>
      <c r="L1768" s="138" t="s">
        <v>1292</v>
      </c>
      <c r="M1768" s="25"/>
      <c r="N1768" s="83" t="s">
        <v>1292</v>
      </c>
      <c r="P1768" t="str">
        <f>VLOOKUP(B1768,PTN!A:B,2,FALSE)</f>
        <v>UIN SUNAN AMPEL SURABAYA</v>
      </c>
      <c r="Q1768" t="str">
        <f t="shared" si="27"/>
        <v>UIN SUNAN AMPEL SURABAYABIOLOGI</v>
      </c>
    </row>
    <row r="1769" spans="1:17" ht="16.5" thickTop="1" thickBot="1" x14ac:dyDescent="0.3">
      <c r="A1769" s="7">
        <v>1768</v>
      </c>
      <c r="B1769" s="6">
        <v>57</v>
      </c>
      <c r="C1769" s="12">
        <v>3861056</v>
      </c>
      <c r="D1769" t="s">
        <v>40</v>
      </c>
      <c r="E1769" s="12">
        <v>21</v>
      </c>
      <c r="F1769" s="10" t="s">
        <v>20</v>
      </c>
      <c r="I1769" s="26"/>
      <c r="J1769" s="138" t="s">
        <v>1292</v>
      </c>
      <c r="K1769" s="138" t="s">
        <v>1292</v>
      </c>
      <c r="L1769" s="138" t="s">
        <v>1292</v>
      </c>
      <c r="M1769" s="27"/>
      <c r="N1769" s="83" t="s">
        <v>1292</v>
      </c>
      <c r="P1769" t="str">
        <f>VLOOKUP(B1769,PTN!A:B,2,FALSE)</f>
        <v>UIN SUNAN AMPEL SURABAYA</v>
      </c>
      <c r="Q1769" t="str">
        <f t="shared" si="27"/>
        <v>UIN SUNAN AMPEL SURABAYAILMU KELAUTAN</v>
      </c>
    </row>
    <row r="1770" spans="1:17" ht="15.75" thickBot="1" x14ac:dyDescent="0.3">
      <c r="A1770" s="7">
        <v>1769</v>
      </c>
      <c r="B1770" s="6">
        <v>57</v>
      </c>
      <c r="C1770" s="13">
        <v>3861072</v>
      </c>
      <c r="D1770" t="s">
        <v>66</v>
      </c>
      <c r="E1770" s="13">
        <v>21</v>
      </c>
      <c r="F1770" s="10" t="s">
        <v>20</v>
      </c>
      <c r="I1770" s="87"/>
      <c r="J1770" s="138" t="s">
        <v>1292</v>
      </c>
      <c r="K1770" s="138" t="s">
        <v>1292</v>
      </c>
      <c r="L1770" s="138" t="s">
        <v>1292</v>
      </c>
      <c r="M1770" s="28"/>
      <c r="N1770" s="83" t="s">
        <v>1292</v>
      </c>
      <c r="P1770" t="str">
        <f>VLOOKUP(B1770,PTN!A:B,2,FALSE)</f>
        <v>UIN SUNAN AMPEL SURABAYA</v>
      </c>
      <c r="Q1770" t="str">
        <f t="shared" si="27"/>
        <v>UIN SUNAN AMPEL SURABAYAMATEMATIKA</v>
      </c>
    </row>
    <row r="1771" spans="1:17" ht="15.75" thickBot="1" x14ac:dyDescent="0.3">
      <c r="A1771" s="7">
        <v>1770</v>
      </c>
      <c r="B1771" s="6">
        <v>57</v>
      </c>
      <c r="C1771" s="12">
        <v>3861087</v>
      </c>
      <c r="D1771" t="s">
        <v>176</v>
      </c>
      <c r="E1771" s="12">
        <v>9</v>
      </c>
      <c r="F1771" s="10" t="s">
        <v>20</v>
      </c>
      <c r="I1771" s="26"/>
      <c r="J1771" s="138" t="s">
        <v>1292</v>
      </c>
      <c r="K1771" s="138" t="s">
        <v>1292</v>
      </c>
      <c r="L1771" s="138" t="s">
        <v>1292</v>
      </c>
      <c r="M1771" s="27"/>
      <c r="N1771" s="83" t="s">
        <v>1292</v>
      </c>
      <c r="P1771" t="str">
        <f>VLOOKUP(B1771,PTN!A:B,2,FALSE)</f>
        <v>UIN SUNAN AMPEL SURABAYA</v>
      </c>
      <c r="Q1771" t="str">
        <f t="shared" si="27"/>
        <v>UIN SUNAN AMPEL SURABAYAPENDIDIKAN ILMU PENGETAHUAN ALAM</v>
      </c>
    </row>
    <row r="1772" spans="1:17" ht="15.75" thickBot="1" x14ac:dyDescent="0.3">
      <c r="A1772" s="7">
        <v>1771</v>
      </c>
      <c r="B1772" s="6">
        <v>57</v>
      </c>
      <c r="C1772" s="13">
        <v>3861017</v>
      </c>
      <c r="D1772" t="s">
        <v>44</v>
      </c>
      <c r="E1772" s="13">
        <v>24</v>
      </c>
      <c r="F1772" s="10" t="s">
        <v>20</v>
      </c>
      <c r="I1772" s="87"/>
      <c r="J1772" s="138" t="s">
        <v>1292</v>
      </c>
      <c r="K1772" s="138" t="s">
        <v>1292</v>
      </c>
      <c r="L1772" s="138" t="s">
        <v>1292</v>
      </c>
      <c r="M1772" s="28"/>
      <c r="N1772" s="83" t="s">
        <v>1292</v>
      </c>
      <c r="P1772" t="str">
        <f>VLOOKUP(B1772,PTN!A:B,2,FALSE)</f>
        <v>UIN SUNAN AMPEL SURABAYA</v>
      </c>
      <c r="Q1772" t="str">
        <f t="shared" si="27"/>
        <v>UIN SUNAN AMPEL SURABAYAPENDIDIKAN MATEMATIKA</v>
      </c>
    </row>
    <row r="1773" spans="1:17" ht="15.75" thickBot="1" x14ac:dyDescent="0.3">
      <c r="A1773" s="7">
        <v>1772</v>
      </c>
      <c r="B1773" s="6">
        <v>57</v>
      </c>
      <c r="C1773" s="12">
        <v>3861041</v>
      </c>
      <c r="D1773" t="s">
        <v>46</v>
      </c>
      <c r="E1773" s="12">
        <v>21</v>
      </c>
      <c r="F1773" s="10" t="s">
        <v>20</v>
      </c>
      <c r="I1773" s="26"/>
      <c r="J1773" s="138" t="s">
        <v>1292</v>
      </c>
      <c r="K1773" s="138" t="s">
        <v>1292</v>
      </c>
      <c r="L1773" s="138" t="s">
        <v>1292</v>
      </c>
      <c r="M1773" s="27"/>
      <c r="N1773" s="83" t="s">
        <v>1292</v>
      </c>
      <c r="P1773" t="str">
        <f>VLOOKUP(B1773,PTN!A:B,2,FALSE)</f>
        <v>UIN SUNAN AMPEL SURABAYA</v>
      </c>
      <c r="Q1773" t="str">
        <f t="shared" si="27"/>
        <v>UIN SUNAN AMPEL SURABAYASISTEM INFORMASI</v>
      </c>
    </row>
    <row r="1774" spans="1:17" ht="15.75" thickBot="1" x14ac:dyDescent="0.3">
      <c r="A1774" s="7">
        <v>1773</v>
      </c>
      <c r="B1774" s="6">
        <v>57</v>
      </c>
      <c r="C1774" s="16">
        <v>3861025</v>
      </c>
      <c r="D1774" t="s">
        <v>25</v>
      </c>
      <c r="E1774" s="16">
        <v>21</v>
      </c>
      <c r="F1774" s="10" t="s">
        <v>20</v>
      </c>
      <c r="I1774" s="87"/>
      <c r="J1774" s="138" t="s">
        <v>1292</v>
      </c>
      <c r="K1774" s="138" t="s">
        <v>1292</v>
      </c>
      <c r="L1774" s="138" t="s">
        <v>1292</v>
      </c>
      <c r="M1774" s="28"/>
      <c r="N1774" s="83" t="s">
        <v>1292</v>
      </c>
      <c r="P1774" t="str">
        <f>VLOOKUP(B1774,PTN!A:B,2,FALSE)</f>
        <v>UIN SUNAN AMPEL SURABAYA</v>
      </c>
      <c r="Q1774" t="str">
        <f t="shared" si="27"/>
        <v>UIN SUNAN AMPEL SURABAYATEKNIK LINGKUNGAN</v>
      </c>
    </row>
    <row r="1775" spans="1:17" ht="16.5" thickTop="1" thickBot="1" x14ac:dyDescent="0.3">
      <c r="A1775" s="7">
        <v>1774</v>
      </c>
      <c r="B1775" s="6">
        <v>57</v>
      </c>
      <c r="C1775" s="12">
        <v>3862253</v>
      </c>
      <c r="D1775" t="s">
        <v>55</v>
      </c>
      <c r="E1775" s="12">
        <v>42</v>
      </c>
      <c r="F1775" s="10" t="s">
        <v>13</v>
      </c>
      <c r="I1775" s="20"/>
      <c r="J1775" s="138" t="s">
        <v>1292</v>
      </c>
      <c r="K1775" s="138" t="s">
        <v>1292</v>
      </c>
      <c r="L1775" s="138" t="s">
        <v>1292</v>
      </c>
      <c r="M1775" s="21"/>
      <c r="N1775" s="83" t="s">
        <v>1292</v>
      </c>
      <c r="P1775" t="str">
        <f>VLOOKUP(B1775,PTN!A:B,2,FALSE)</f>
        <v>UIN SUNAN AMPEL SURABAYA</v>
      </c>
      <c r="Q1775" t="str">
        <f t="shared" si="27"/>
        <v>UIN SUNAN AMPEL SURABAYAAKUNTANSI</v>
      </c>
    </row>
    <row r="1776" spans="1:17" ht="15.75" thickBot="1" x14ac:dyDescent="0.3">
      <c r="A1776" s="7">
        <v>1775</v>
      </c>
      <c r="B1776" s="6">
        <v>57</v>
      </c>
      <c r="C1776" s="13">
        <v>3862284</v>
      </c>
      <c r="D1776" t="s">
        <v>223</v>
      </c>
      <c r="E1776" s="13">
        <v>33</v>
      </c>
      <c r="F1776" s="10" t="s">
        <v>13</v>
      </c>
      <c r="I1776" s="22"/>
      <c r="J1776" s="138" t="s">
        <v>1292</v>
      </c>
      <c r="K1776" s="138" t="s">
        <v>1292</v>
      </c>
      <c r="L1776" s="138" t="s">
        <v>1292</v>
      </c>
      <c r="M1776" s="21"/>
      <c r="N1776" s="83" t="s">
        <v>1292</v>
      </c>
      <c r="P1776" t="str">
        <f>VLOOKUP(B1776,PTN!A:B,2,FALSE)</f>
        <v>UIN SUNAN AMPEL SURABAYA</v>
      </c>
      <c r="Q1776" t="str">
        <f t="shared" si="27"/>
        <v>UIN SUNAN AMPEL SURABAYAHUBUNGAN INTERNASIONAL</v>
      </c>
    </row>
    <row r="1777" spans="1:17" ht="16.5" thickTop="1" thickBot="1" x14ac:dyDescent="0.3">
      <c r="A1777" s="7">
        <v>1776</v>
      </c>
      <c r="B1777" s="6">
        <v>57</v>
      </c>
      <c r="C1777" s="12">
        <v>3862326</v>
      </c>
      <c r="D1777" t="s">
        <v>112</v>
      </c>
      <c r="E1777" s="12">
        <v>12</v>
      </c>
      <c r="F1777" s="10" t="s">
        <v>13</v>
      </c>
      <c r="I1777" s="23"/>
      <c r="J1777" s="138" t="s">
        <v>1292</v>
      </c>
      <c r="K1777" s="138" t="s">
        <v>1292</v>
      </c>
      <c r="L1777" s="138" t="s">
        <v>1292</v>
      </c>
      <c r="M1777" s="25"/>
      <c r="N1777" s="83" t="s">
        <v>1292</v>
      </c>
      <c r="P1777" t="str">
        <f>VLOOKUP(B1777,PTN!A:B,2,FALSE)</f>
        <v>UIN SUNAN AMPEL SURABAYA</v>
      </c>
      <c r="Q1777" t="str">
        <f t="shared" si="27"/>
        <v>UIN SUNAN AMPEL SURABAYAHUKUM</v>
      </c>
    </row>
    <row r="1778" spans="1:17" ht="16.5" thickTop="1" thickBot="1" x14ac:dyDescent="0.3">
      <c r="A1778" s="7">
        <v>1777</v>
      </c>
      <c r="B1778" s="6">
        <v>57</v>
      </c>
      <c r="C1778" s="13">
        <v>3862245</v>
      </c>
      <c r="D1778" t="s">
        <v>30</v>
      </c>
      <c r="E1778" s="13">
        <v>31</v>
      </c>
      <c r="F1778" s="10" t="s">
        <v>13</v>
      </c>
      <c r="I1778" s="26"/>
      <c r="J1778" s="138" t="s">
        <v>1292</v>
      </c>
      <c r="K1778" s="138" t="s">
        <v>1292</v>
      </c>
      <c r="L1778" s="138" t="s">
        <v>1292</v>
      </c>
      <c r="M1778" s="27"/>
      <c r="N1778" s="83" t="s">
        <v>1292</v>
      </c>
      <c r="P1778" t="str">
        <f>VLOOKUP(B1778,PTN!A:B,2,FALSE)</f>
        <v>UIN SUNAN AMPEL SURABAYA</v>
      </c>
      <c r="Q1778" t="str">
        <f t="shared" si="27"/>
        <v>UIN SUNAN AMPEL SURABAYAILMU EKONOMI</v>
      </c>
    </row>
    <row r="1779" spans="1:17" ht="15.75" thickBot="1" x14ac:dyDescent="0.3">
      <c r="A1779" s="7">
        <v>1778</v>
      </c>
      <c r="B1779" s="6">
        <v>57</v>
      </c>
      <c r="C1779" s="12">
        <v>3862067</v>
      </c>
      <c r="D1779" t="s">
        <v>60</v>
      </c>
      <c r="E1779" s="12">
        <v>42</v>
      </c>
      <c r="F1779" s="10" t="s">
        <v>13</v>
      </c>
      <c r="I1779" s="87"/>
      <c r="J1779" s="138" t="s">
        <v>1292</v>
      </c>
      <c r="K1779" s="138" t="s">
        <v>1292</v>
      </c>
      <c r="L1779" s="138" t="s">
        <v>1292</v>
      </c>
      <c r="M1779" s="28"/>
      <c r="N1779" s="83" t="s">
        <v>1292</v>
      </c>
      <c r="P1779" t="str">
        <f>VLOOKUP(B1779,PTN!A:B,2,FALSE)</f>
        <v>UIN SUNAN AMPEL SURABAYA</v>
      </c>
      <c r="Q1779" t="str">
        <f t="shared" si="27"/>
        <v>UIN SUNAN AMPEL SURABAYAILMU KOMUNIKASI</v>
      </c>
    </row>
    <row r="1780" spans="1:17" ht="15.75" thickBot="1" x14ac:dyDescent="0.3">
      <c r="A1780" s="7">
        <v>1779</v>
      </c>
      <c r="B1780" s="6">
        <v>57</v>
      </c>
      <c r="C1780" s="13">
        <v>3862276</v>
      </c>
      <c r="D1780" t="s">
        <v>33</v>
      </c>
      <c r="E1780" s="13">
        <v>33</v>
      </c>
      <c r="F1780" s="10" t="s">
        <v>13</v>
      </c>
      <c r="I1780" s="26"/>
      <c r="J1780" s="138" t="s">
        <v>1292</v>
      </c>
      <c r="K1780" s="138" t="s">
        <v>1292</v>
      </c>
      <c r="L1780" s="138" t="s">
        <v>1292</v>
      </c>
      <c r="M1780" s="27"/>
      <c r="N1780" s="83" t="s">
        <v>1292</v>
      </c>
      <c r="P1780" t="str">
        <f>VLOOKUP(B1780,PTN!A:B,2,FALSE)</f>
        <v>UIN SUNAN AMPEL SURABAYA</v>
      </c>
      <c r="Q1780" t="str">
        <f t="shared" si="27"/>
        <v>UIN SUNAN AMPEL SURABAYAILMU POLITIK</v>
      </c>
    </row>
    <row r="1781" spans="1:17" ht="15.75" thickBot="1" x14ac:dyDescent="0.3">
      <c r="A1781" s="7">
        <v>1780</v>
      </c>
      <c r="B1781" s="6">
        <v>57</v>
      </c>
      <c r="C1781" s="12">
        <v>3862261</v>
      </c>
      <c r="D1781" t="s">
        <v>61</v>
      </c>
      <c r="E1781" s="12">
        <v>31</v>
      </c>
      <c r="F1781" s="10" t="s">
        <v>13</v>
      </c>
      <c r="I1781" s="87"/>
      <c r="J1781" s="138" t="s">
        <v>1292</v>
      </c>
      <c r="K1781" s="138" t="s">
        <v>1292</v>
      </c>
      <c r="L1781" s="138" t="s">
        <v>1292</v>
      </c>
      <c r="M1781" s="28"/>
      <c r="N1781" s="83" t="s">
        <v>1292</v>
      </c>
      <c r="P1781" t="str">
        <f>VLOOKUP(B1781,PTN!A:B,2,FALSE)</f>
        <v>UIN SUNAN AMPEL SURABAYA</v>
      </c>
      <c r="Q1781" t="str">
        <f t="shared" si="27"/>
        <v>UIN SUNAN AMPEL SURABAYAMANAJEMEN</v>
      </c>
    </row>
    <row r="1782" spans="1:17" ht="15.75" thickBot="1" x14ac:dyDescent="0.3">
      <c r="A1782" s="7">
        <v>1781</v>
      </c>
      <c r="B1782" s="6">
        <v>57</v>
      </c>
      <c r="C1782" s="13">
        <v>3862013</v>
      </c>
      <c r="D1782" t="s">
        <v>71</v>
      </c>
      <c r="E1782" s="13">
        <v>27</v>
      </c>
      <c r="F1782" s="10" t="s">
        <v>13</v>
      </c>
      <c r="I1782" s="26"/>
      <c r="J1782" s="138" t="s">
        <v>1292</v>
      </c>
      <c r="K1782" s="138" t="s">
        <v>1292</v>
      </c>
      <c r="L1782" s="138" t="s">
        <v>1292</v>
      </c>
      <c r="M1782" s="27"/>
      <c r="N1782" s="83" t="s">
        <v>1292</v>
      </c>
      <c r="P1782" t="str">
        <f>VLOOKUP(B1782,PTN!A:B,2,FALSE)</f>
        <v>UIN SUNAN AMPEL SURABAYA</v>
      </c>
      <c r="Q1782" t="str">
        <f t="shared" si="27"/>
        <v>UIN SUNAN AMPEL SURABAYAPENDIDIKAN BAHASA INGGRIS</v>
      </c>
    </row>
    <row r="1783" spans="1:17" ht="15.75" thickBot="1" x14ac:dyDescent="0.3">
      <c r="A1783" s="7">
        <v>1782</v>
      </c>
      <c r="B1783" s="6">
        <v>57</v>
      </c>
      <c r="C1783" s="12">
        <v>3862075</v>
      </c>
      <c r="D1783" t="s">
        <v>36</v>
      </c>
      <c r="E1783" s="12">
        <v>42</v>
      </c>
      <c r="F1783" s="10" t="s">
        <v>13</v>
      </c>
      <c r="I1783" s="87"/>
      <c r="J1783" s="138" t="s">
        <v>1292</v>
      </c>
      <c r="K1783" s="138" t="s">
        <v>1292</v>
      </c>
      <c r="L1783" s="138" t="s">
        <v>1292</v>
      </c>
      <c r="M1783" s="28"/>
      <c r="N1783" s="83" t="s">
        <v>1292</v>
      </c>
      <c r="P1783" t="str">
        <f>VLOOKUP(B1783,PTN!A:B,2,FALSE)</f>
        <v>UIN SUNAN AMPEL SURABAYA</v>
      </c>
      <c r="Q1783" t="str">
        <f t="shared" si="27"/>
        <v>UIN SUNAN AMPEL SURABAYAPSIKOLOGI</v>
      </c>
    </row>
    <row r="1784" spans="1:17" ht="15.75" thickBot="1" x14ac:dyDescent="0.3">
      <c r="A1784" s="7">
        <v>1783</v>
      </c>
      <c r="B1784" s="6">
        <v>57</v>
      </c>
      <c r="C1784" s="13">
        <v>3862311</v>
      </c>
      <c r="D1784" t="s">
        <v>62</v>
      </c>
      <c r="E1784" s="13">
        <v>21</v>
      </c>
      <c r="F1784" s="10" t="s">
        <v>13</v>
      </c>
      <c r="I1784" s="26"/>
      <c r="J1784" s="138" t="s">
        <v>1292</v>
      </c>
      <c r="K1784" s="138" t="s">
        <v>1292</v>
      </c>
      <c r="L1784" s="138" t="s">
        <v>1292</v>
      </c>
      <c r="M1784" s="27"/>
      <c r="N1784" s="83" t="s">
        <v>1292</v>
      </c>
      <c r="P1784" t="str">
        <f>VLOOKUP(B1784,PTN!A:B,2,FALSE)</f>
        <v>UIN SUNAN AMPEL SURABAYA</v>
      </c>
      <c r="Q1784" t="str">
        <f t="shared" si="27"/>
        <v>UIN SUNAN AMPEL SURABAYASASTRA INDONESIA</v>
      </c>
    </row>
    <row r="1785" spans="1:17" ht="15.75" thickBot="1" x14ac:dyDescent="0.3">
      <c r="A1785" s="7">
        <v>1784</v>
      </c>
      <c r="B1785" s="6">
        <v>57</v>
      </c>
      <c r="C1785" s="12">
        <v>3862237</v>
      </c>
      <c r="D1785" t="s">
        <v>139</v>
      </c>
      <c r="E1785" s="12">
        <v>39</v>
      </c>
      <c r="F1785" s="10" t="s">
        <v>13</v>
      </c>
      <c r="I1785" s="87"/>
      <c r="J1785" s="138" t="s">
        <v>1292</v>
      </c>
      <c r="K1785" s="138" t="s">
        <v>1292</v>
      </c>
      <c r="L1785" s="138" t="s">
        <v>1292</v>
      </c>
      <c r="M1785" s="28"/>
      <c r="N1785" s="83" t="s">
        <v>1292</v>
      </c>
      <c r="P1785" t="str">
        <f>VLOOKUP(B1785,PTN!A:B,2,FALSE)</f>
        <v>UIN SUNAN AMPEL SURABAYA</v>
      </c>
      <c r="Q1785" t="str">
        <f t="shared" si="27"/>
        <v>UIN SUNAN AMPEL SURABAYASASTRA INGGRIS</v>
      </c>
    </row>
    <row r="1786" spans="1:17" ht="15.75" thickBot="1" x14ac:dyDescent="0.3">
      <c r="A1786" s="7">
        <v>1785</v>
      </c>
      <c r="B1786" s="6">
        <v>57</v>
      </c>
      <c r="C1786" s="16">
        <v>3862052</v>
      </c>
      <c r="D1786" t="s">
        <v>63</v>
      </c>
      <c r="E1786" s="16">
        <v>33</v>
      </c>
      <c r="F1786" s="10" t="s">
        <v>13</v>
      </c>
      <c r="I1786" s="26"/>
      <c r="J1786" s="138" t="s">
        <v>1292</v>
      </c>
      <c r="K1786" s="138" t="s">
        <v>1292</v>
      </c>
      <c r="L1786" s="138" t="s">
        <v>1292</v>
      </c>
      <c r="M1786" s="27"/>
      <c r="N1786" s="83" t="s">
        <v>1292</v>
      </c>
      <c r="P1786" t="str">
        <f>VLOOKUP(B1786,PTN!A:B,2,FALSE)</f>
        <v>UIN SUNAN AMPEL SURABAYA</v>
      </c>
      <c r="Q1786" t="str">
        <f t="shared" si="27"/>
        <v>UIN SUNAN AMPEL SURABAYASOSIOLOGI</v>
      </c>
    </row>
    <row r="1787" spans="1:17" ht="16.5" thickTop="1" thickBot="1" x14ac:dyDescent="0.3">
      <c r="A1787" s="7">
        <v>1786</v>
      </c>
      <c r="B1787" s="6">
        <v>48</v>
      </c>
      <c r="C1787" s="12">
        <v>3711021</v>
      </c>
      <c r="D1787" t="s">
        <v>37</v>
      </c>
      <c r="E1787" s="12">
        <v>45</v>
      </c>
      <c r="F1787" s="10" t="s">
        <v>20</v>
      </c>
      <c r="I1787" s="20"/>
      <c r="J1787" s="138" t="s">
        <v>1292</v>
      </c>
      <c r="K1787" s="138" t="s">
        <v>1292</v>
      </c>
      <c r="L1787" s="138" t="s">
        <v>1292</v>
      </c>
      <c r="M1787" s="21"/>
      <c r="N1787" s="83" t="s">
        <v>1292</v>
      </c>
      <c r="P1787" t="str">
        <f>VLOOKUP(B1787,PTN!A:B,2,FALSE)</f>
        <v>UNIVERSITAS JEMBER</v>
      </c>
      <c r="Q1787" t="str">
        <f t="shared" si="27"/>
        <v>UNIVERSITAS JEMBERAGRIBISNIS</v>
      </c>
    </row>
    <row r="1788" spans="1:17" ht="15.75" thickBot="1" x14ac:dyDescent="0.3">
      <c r="A1788" s="7">
        <v>1787</v>
      </c>
      <c r="B1788" s="6">
        <v>48</v>
      </c>
      <c r="C1788" s="13">
        <v>3711311</v>
      </c>
      <c r="D1788" t="s">
        <v>250</v>
      </c>
      <c r="E1788" s="13">
        <v>15</v>
      </c>
      <c r="F1788" s="10" t="s">
        <v>20</v>
      </c>
      <c r="I1788" s="22"/>
      <c r="J1788" s="138" t="s">
        <v>1292</v>
      </c>
      <c r="K1788" s="138" t="s">
        <v>1292</v>
      </c>
      <c r="L1788" s="138" t="s">
        <v>1292</v>
      </c>
      <c r="M1788" s="21"/>
      <c r="N1788" s="83" t="s">
        <v>1292</v>
      </c>
      <c r="P1788" t="str">
        <f>VLOOKUP(B1788,PTN!A:B,2,FALSE)</f>
        <v>UNIVERSITAS JEMBER</v>
      </c>
      <c r="Q1788" t="str">
        <f t="shared" si="27"/>
        <v>UNIVERSITAS JEMBERAGRONOMI</v>
      </c>
    </row>
    <row r="1789" spans="1:17" ht="16.5" thickTop="1" thickBot="1" x14ac:dyDescent="0.3">
      <c r="A1789" s="7">
        <v>1788</v>
      </c>
      <c r="B1789" s="6">
        <v>48</v>
      </c>
      <c r="C1789" s="12">
        <v>3711013</v>
      </c>
      <c r="D1789" t="s">
        <v>463</v>
      </c>
      <c r="E1789" s="12">
        <v>45</v>
      </c>
      <c r="F1789" s="10" t="s">
        <v>20</v>
      </c>
      <c r="I1789" s="23"/>
      <c r="J1789" s="138" t="s">
        <v>1292</v>
      </c>
      <c r="K1789" s="138" t="s">
        <v>1292</v>
      </c>
      <c r="L1789" s="138" t="s">
        <v>1292</v>
      </c>
      <c r="M1789" s="25"/>
      <c r="N1789" s="83" t="s">
        <v>1292</v>
      </c>
      <c r="P1789" t="str">
        <f>VLOOKUP(B1789,PTN!A:B,2,FALSE)</f>
        <v>UNIVERSITAS JEMBER</v>
      </c>
      <c r="Q1789" t="str">
        <f t="shared" si="27"/>
        <v>UNIVERSITAS JEMBERAGROTEKNOLOGI / AGROEKOTEKNOLOGI</v>
      </c>
    </row>
    <row r="1790" spans="1:17" ht="16.5" thickTop="1" thickBot="1" x14ac:dyDescent="0.3">
      <c r="A1790" s="7">
        <v>1789</v>
      </c>
      <c r="B1790" s="6">
        <v>48</v>
      </c>
      <c r="C1790" s="13">
        <v>3711125</v>
      </c>
      <c r="D1790" t="s">
        <v>21</v>
      </c>
      <c r="E1790" s="13">
        <v>27</v>
      </c>
      <c r="F1790" s="10" t="s">
        <v>20</v>
      </c>
      <c r="I1790" s="26"/>
      <c r="J1790" s="138" t="s">
        <v>1292</v>
      </c>
      <c r="K1790" s="138" t="s">
        <v>1292</v>
      </c>
      <c r="L1790" s="138" t="s">
        <v>1292</v>
      </c>
      <c r="M1790" s="27"/>
      <c r="N1790" s="83" t="s">
        <v>1292</v>
      </c>
      <c r="P1790" t="str">
        <f>VLOOKUP(B1790,PTN!A:B,2,FALSE)</f>
        <v>UNIVERSITAS JEMBER</v>
      </c>
      <c r="Q1790" t="str">
        <f t="shared" si="27"/>
        <v>UNIVERSITAS JEMBERBIOLOGI</v>
      </c>
    </row>
    <row r="1791" spans="1:17" ht="15.75" thickBot="1" x14ac:dyDescent="0.3">
      <c r="A1791" s="7">
        <v>1790</v>
      </c>
      <c r="B1791" s="6">
        <v>48</v>
      </c>
      <c r="C1791" s="12">
        <v>3711187</v>
      </c>
      <c r="D1791" t="s">
        <v>77</v>
      </c>
      <c r="E1791" s="12">
        <v>48</v>
      </c>
      <c r="F1791" s="10" t="s">
        <v>20</v>
      </c>
      <c r="I1791" s="87"/>
      <c r="J1791" s="138">
        <v>634.76</v>
      </c>
      <c r="K1791" s="138">
        <v>645.51</v>
      </c>
      <c r="L1791" s="138">
        <v>624.01</v>
      </c>
      <c r="M1791" s="28"/>
      <c r="N1791" s="83">
        <v>634.76</v>
      </c>
      <c r="P1791" t="str">
        <f>VLOOKUP(B1791,PTN!A:B,2,FALSE)</f>
        <v>UNIVERSITAS JEMBER</v>
      </c>
      <c r="Q1791" t="str">
        <f t="shared" si="27"/>
        <v>UNIVERSITAS JEMBERFARMASI</v>
      </c>
    </row>
    <row r="1792" spans="1:17" ht="15.75" thickBot="1" x14ac:dyDescent="0.3">
      <c r="A1792" s="7">
        <v>1791</v>
      </c>
      <c r="B1792" s="6">
        <v>48</v>
      </c>
      <c r="C1792" s="13">
        <v>3711102</v>
      </c>
      <c r="D1792" t="s">
        <v>65</v>
      </c>
      <c r="E1792" s="13">
        <v>27</v>
      </c>
      <c r="F1792" s="10" t="s">
        <v>20</v>
      </c>
      <c r="I1792" s="26"/>
      <c r="J1792" s="138" t="s">
        <v>1292</v>
      </c>
      <c r="K1792" s="138" t="s">
        <v>1292</v>
      </c>
      <c r="L1792" s="138" t="s">
        <v>1292</v>
      </c>
      <c r="M1792" s="27"/>
      <c r="N1792" s="83" t="s">
        <v>1292</v>
      </c>
      <c r="P1792" t="str">
        <f>VLOOKUP(B1792,PTN!A:B,2,FALSE)</f>
        <v>UNIVERSITAS JEMBER</v>
      </c>
      <c r="Q1792" t="str">
        <f t="shared" si="27"/>
        <v>UNIVERSITAS JEMBERFISIKA</v>
      </c>
    </row>
    <row r="1793" spans="1:17" ht="15.75" thickBot="1" x14ac:dyDescent="0.3">
      <c r="A1793" s="7">
        <v>1792</v>
      </c>
      <c r="B1793" s="6">
        <v>48</v>
      </c>
      <c r="C1793" s="12">
        <v>3711381</v>
      </c>
      <c r="D1793" t="s">
        <v>113</v>
      </c>
      <c r="E1793" s="12">
        <v>15</v>
      </c>
      <c r="F1793" s="10" t="s">
        <v>20</v>
      </c>
      <c r="I1793" s="87"/>
      <c r="J1793" s="138" t="s">
        <v>1292</v>
      </c>
      <c r="K1793" s="138" t="s">
        <v>1292</v>
      </c>
      <c r="L1793" s="138" t="s">
        <v>1292</v>
      </c>
      <c r="M1793" s="28"/>
      <c r="N1793" s="83" t="s">
        <v>1292</v>
      </c>
      <c r="P1793" t="str">
        <f>VLOOKUP(B1793,PTN!A:B,2,FALSE)</f>
        <v>UNIVERSITAS JEMBER</v>
      </c>
      <c r="Q1793" t="str">
        <f t="shared" si="27"/>
        <v>UNIVERSITAS JEMBERGIZI</v>
      </c>
    </row>
    <row r="1794" spans="1:17" ht="15.75" thickBot="1" x14ac:dyDescent="0.3">
      <c r="A1794" s="7">
        <v>1793</v>
      </c>
      <c r="B1794" s="6">
        <v>48</v>
      </c>
      <c r="C1794" s="13">
        <v>3711195</v>
      </c>
      <c r="D1794" t="s">
        <v>78</v>
      </c>
      <c r="E1794" s="13">
        <v>60</v>
      </c>
      <c r="F1794" s="10" t="s">
        <v>20</v>
      </c>
      <c r="I1794" s="26"/>
      <c r="J1794" s="138" t="s">
        <v>1292</v>
      </c>
      <c r="K1794" s="138" t="s">
        <v>1292</v>
      </c>
      <c r="L1794" s="138" t="s">
        <v>1292</v>
      </c>
      <c r="M1794" s="27"/>
      <c r="N1794" s="83" t="s">
        <v>1292</v>
      </c>
      <c r="P1794" t="str">
        <f>VLOOKUP(B1794,PTN!A:B,2,FALSE)</f>
        <v>UNIVERSITAS JEMBER</v>
      </c>
      <c r="Q1794" t="str">
        <f t="shared" si="27"/>
        <v>UNIVERSITAS JEMBERILMU KEPERAWATAN</v>
      </c>
    </row>
    <row r="1795" spans="1:17" ht="15.75" thickBot="1" x14ac:dyDescent="0.3">
      <c r="A1795" s="7">
        <v>1794</v>
      </c>
      <c r="B1795" s="6">
        <v>48</v>
      </c>
      <c r="C1795" s="12">
        <v>3711326</v>
      </c>
      <c r="D1795" t="s">
        <v>554</v>
      </c>
      <c r="E1795" s="12">
        <v>15</v>
      </c>
      <c r="F1795" s="10" t="s">
        <v>20</v>
      </c>
      <c r="I1795" s="87"/>
      <c r="J1795" s="138" t="s">
        <v>1292</v>
      </c>
      <c r="K1795" s="138" t="s">
        <v>1292</v>
      </c>
      <c r="L1795" s="138" t="s">
        <v>1292</v>
      </c>
      <c r="M1795" s="28"/>
      <c r="N1795" s="83" t="s">
        <v>1292</v>
      </c>
      <c r="P1795" t="str">
        <f>VLOOKUP(B1795,PTN!A:B,2,FALSE)</f>
        <v>UNIVERSITAS JEMBER</v>
      </c>
      <c r="Q1795" t="str">
        <f t="shared" ref="Q1795:Q1858" si="28">P1795&amp;D1795</f>
        <v>UNIVERSITAS JEMBERILMU PERTANIAN</v>
      </c>
    </row>
    <row r="1796" spans="1:17" ht="15.75" thickBot="1" x14ac:dyDescent="0.3">
      <c r="A1796" s="7">
        <v>1795</v>
      </c>
      <c r="B1796" s="6">
        <v>48</v>
      </c>
      <c r="C1796" s="13">
        <v>3711253</v>
      </c>
      <c r="D1796" t="s">
        <v>79</v>
      </c>
      <c r="E1796" s="13">
        <v>15</v>
      </c>
      <c r="F1796" s="10" t="s">
        <v>20</v>
      </c>
      <c r="I1796" s="26"/>
      <c r="J1796" s="138" t="s">
        <v>1292</v>
      </c>
      <c r="K1796" s="138" t="s">
        <v>1292</v>
      </c>
      <c r="L1796" s="138" t="s">
        <v>1292</v>
      </c>
      <c r="M1796" s="27"/>
      <c r="N1796" s="83" t="s">
        <v>1292</v>
      </c>
      <c r="P1796" t="str">
        <f>VLOOKUP(B1796,PTN!A:B,2,FALSE)</f>
        <v>UNIVERSITAS JEMBER</v>
      </c>
      <c r="Q1796" t="str">
        <f t="shared" si="28"/>
        <v>UNIVERSITAS JEMBERILMU TANAH</v>
      </c>
    </row>
    <row r="1797" spans="1:17" ht="15.75" thickBot="1" x14ac:dyDescent="0.3">
      <c r="A1797" s="7">
        <v>1796</v>
      </c>
      <c r="B1797" s="6">
        <v>48</v>
      </c>
      <c r="C1797" s="12">
        <v>3711334</v>
      </c>
      <c r="D1797" t="s">
        <v>80</v>
      </c>
      <c r="E1797" s="12">
        <v>30</v>
      </c>
      <c r="F1797" s="10" t="s">
        <v>20</v>
      </c>
      <c r="I1797" s="87"/>
      <c r="J1797" s="138" t="s">
        <v>1292</v>
      </c>
      <c r="K1797" s="138" t="s">
        <v>1292</v>
      </c>
      <c r="L1797" s="138" t="s">
        <v>1292</v>
      </c>
      <c r="M1797" s="28"/>
      <c r="N1797" s="83" t="s">
        <v>1292</v>
      </c>
      <c r="P1797" t="str">
        <f>VLOOKUP(B1797,PTN!A:B,2,FALSE)</f>
        <v>UNIVERSITAS JEMBER</v>
      </c>
      <c r="Q1797" t="str">
        <f t="shared" si="28"/>
        <v>UNIVERSITAS JEMBERINFORMATIKA</v>
      </c>
    </row>
    <row r="1798" spans="1:17" ht="15.75" thickBot="1" x14ac:dyDescent="0.3">
      <c r="A1798" s="7">
        <v>1797</v>
      </c>
      <c r="B1798" s="6">
        <v>48</v>
      </c>
      <c r="C1798" s="13">
        <v>3711141</v>
      </c>
      <c r="D1798" t="s">
        <v>107</v>
      </c>
      <c r="E1798" s="13">
        <v>60</v>
      </c>
      <c r="F1798" s="10" t="s">
        <v>20</v>
      </c>
      <c r="I1798" s="26"/>
      <c r="J1798" s="138">
        <v>603.08000000000004</v>
      </c>
      <c r="K1798" s="138">
        <v>611.55000000000007</v>
      </c>
      <c r="L1798" s="138">
        <v>594.61</v>
      </c>
      <c r="M1798" s="27"/>
      <c r="N1798" s="83">
        <v>603.08000000000004</v>
      </c>
      <c r="P1798" t="str">
        <f>VLOOKUP(B1798,PTN!A:B,2,FALSE)</f>
        <v>UNIVERSITAS JEMBER</v>
      </c>
      <c r="Q1798" t="str">
        <f t="shared" si="28"/>
        <v>UNIVERSITAS JEMBERKESEHATAN MASYARAKAT</v>
      </c>
    </row>
    <row r="1799" spans="1:17" ht="15.75" thickBot="1" x14ac:dyDescent="0.3">
      <c r="A1799" s="7">
        <v>1798</v>
      </c>
      <c r="B1799" s="6">
        <v>48</v>
      </c>
      <c r="C1799" s="12">
        <v>3711117</v>
      </c>
      <c r="D1799" t="s">
        <v>22</v>
      </c>
      <c r="E1799" s="12">
        <v>24</v>
      </c>
      <c r="F1799" s="10" t="s">
        <v>20</v>
      </c>
      <c r="I1799" s="87"/>
      <c r="J1799" s="138" t="s">
        <v>1292</v>
      </c>
      <c r="K1799" s="138" t="s">
        <v>1292</v>
      </c>
      <c r="L1799" s="138" t="s">
        <v>1292</v>
      </c>
      <c r="M1799" s="28"/>
      <c r="N1799" s="83" t="s">
        <v>1292</v>
      </c>
      <c r="P1799" t="str">
        <f>VLOOKUP(B1799,PTN!A:B,2,FALSE)</f>
        <v>UNIVERSITAS JEMBER</v>
      </c>
      <c r="Q1799" t="str">
        <f t="shared" si="28"/>
        <v>UNIVERSITAS JEMBERKIMIA</v>
      </c>
    </row>
    <row r="1800" spans="1:17" ht="15.75" thickBot="1" x14ac:dyDescent="0.3">
      <c r="A1800" s="7">
        <v>1799</v>
      </c>
      <c r="B1800" s="6">
        <v>48</v>
      </c>
      <c r="C1800" s="13">
        <v>3711091</v>
      </c>
      <c r="D1800" t="s">
        <v>66</v>
      </c>
      <c r="E1800" s="13">
        <v>36</v>
      </c>
      <c r="F1800" s="10" t="s">
        <v>20</v>
      </c>
      <c r="I1800" s="26"/>
      <c r="J1800" s="138" t="s">
        <v>1292</v>
      </c>
      <c r="K1800" s="138" t="s">
        <v>1292</v>
      </c>
      <c r="L1800" s="138" t="s">
        <v>1292</v>
      </c>
      <c r="M1800" s="27"/>
      <c r="N1800" s="83" t="s">
        <v>1292</v>
      </c>
      <c r="P1800" t="str">
        <f>VLOOKUP(B1800,PTN!A:B,2,FALSE)</f>
        <v>UNIVERSITAS JEMBER</v>
      </c>
      <c r="Q1800" t="str">
        <f t="shared" si="28"/>
        <v>UNIVERSITAS JEMBERMATEMATIKA</v>
      </c>
    </row>
    <row r="1801" spans="1:17" ht="15.75" thickBot="1" x14ac:dyDescent="0.3">
      <c r="A1801" s="7">
        <v>1800</v>
      </c>
      <c r="B1801" s="6">
        <v>48</v>
      </c>
      <c r="C1801" s="12">
        <v>3711052</v>
      </c>
      <c r="D1801" t="s">
        <v>67</v>
      </c>
      <c r="E1801" s="12">
        <v>42</v>
      </c>
      <c r="F1801" s="10" t="s">
        <v>20</v>
      </c>
      <c r="I1801" s="87"/>
      <c r="J1801" s="138" t="s">
        <v>1292</v>
      </c>
      <c r="K1801" s="138" t="s">
        <v>1292</v>
      </c>
      <c r="L1801" s="138" t="s">
        <v>1292</v>
      </c>
      <c r="M1801" s="28"/>
      <c r="N1801" s="83" t="s">
        <v>1292</v>
      </c>
      <c r="P1801" t="str">
        <f>VLOOKUP(B1801,PTN!A:B,2,FALSE)</f>
        <v>UNIVERSITAS JEMBER</v>
      </c>
      <c r="Q1801" t="str">
        <f t="shared" si="28"/>
        <v>UNIVERSITAS JEMBERPENDIDIKAN BIOLOGI</v>
      </c>
    </row>
    <row r="1802" spans="1:17" ht="15.75" thickBot="1" x14ac:dyDescent="0.3">
      <c r="A1802" s="7">
        <v>1801</v>
      </c>
      <c r="B1802" s="6">
        <v>48</v>
      </c>
      <c r="C1802" s="13">
        <v>3711133</v>
      </c>
      <c r="D1802" t="s">
        <v>41</v>
      </c>
      <c r="E1802" s="13">
        <v>42</v>
      </c>
      <c r="F1802" s="10" t="s">
        <v>20</v>
      </c>
      <c r="I1802" s="26"/>
      <c r="J1802" s="138">
        <v>688.27</v>
      </c>
      <c r="K1802" s="138">
        <v>694.76</v>
      </c>
      <c r="L1802" s="138">
        <v>681.78</v>
      </c>
      <c r="M1802" s="27"/>
      <c r="N1802" s="83">
        <v>688.27</v>
      </c>
      <c r="P1802" t="str">
        <f>VLOOKUP(B1802,PTN!A:B,2,FALSE)</f>
        <v>UNIVERSITAS JEMBER</v>
      </c>
      <c r="Q1802" t="str">
        <f t="shared" si="28"/>
        <v>UNIVERSITAS JEMBERPENDIDIKAN DOKTER</v>
      </c>
    </row>
    <row r="1803" spans="1:17" ht="15.75" thickBot="1" x14ac:dyDescent="0.3">
      <c r="A1803" s="7">
        <v>1802</v>
      </c>
      <c r="B1803" s="6">
        <v>48</v>
      </c>
      <c r="C1803" s="12">
        <v>3711083</v>
      </c>
      <c r="D1803" t="s">
        <v>85</v>
      </c>
      <c r="E1803" s="12">
        <v>42</v>
      </c>
      <c r="F1803" s="10" t="s">
        <v>20</v>
      </c>
      <c r="I1803" s="87"/>
      <c r="J1803" s="138">
        <v>660.04</v>
      </c>
      <c r="K1803" s="138">
        <v>666.57999999999993</v>
      </c>
      <c r="L1803" s="138">
        <v>653.5</v>
      </c>
      <c r="M1803" s="28"/>
      <c r="N1803" s="83">
        <v>660.04</v>
      </c>
      <c r="P1803" t="str">
        <f>VLOOKUP(B1803,PTN!A:B,2,FALSE)</f>
        <v>UNIVERSITAS JEMBER</v>
      </c>
      <c r="Q1803" t="str">
        <f t="shared" si="28"/>
        <v>UNIVERSITAS JEMBERPENDIDIKAN DOKTER GIGI</v>
      </c>
    </row>
    <row r="1804" spans="1:17" ht="15.75" thickBot="1" x14ac:dyDescent="0.3">
      <c r="A1804" s="7">
        <v>1803</v>
      </c>
      <c r="B1804" s="6">
        <v>48</v>
      </c>
      <c r="C1804" s="13">
        <v>3711044</v>
      </c>
      <c r="D1804" t="s">
        <v>42</v>
      </c>
      <c r="E1804" s="13">
        <v>39</v>
      </c>
      <c r="F1804" s="10" t="s">
        <v>20</v>
      </c>
      <c r="I1804" s="26"/>
      <c r="J1804" s="138" t="s">
        <v>1292</v>
      </c>
      <c r="K1804" s="138" t="s">
        <v>1292</v>
      </c>
      <c r="L1804" s="138" t="s">
        <v>1292</v>
      </c>
      <c r="M1804" s="27"/>
      <c r="N1804" s="83" t="s">
        <v>1292</v>
      </c>
      <c r="P1804" t="str">
        <f>VLOOKUP(B1804,PTN!A:B,2,FALSE)</f>
        <v>UNIVERSITAS JEMBER</v>
      </c>
      <c r="Q1804" t="str">
        <f t="shared" si="28"/>
        <v>UNIVERSITAS JEMBERPENDIDIKAN FISIKA</v>
      </c>
    </row>
    <row r="1805" spans="1:17" ht="15.75" thickBot="1" x14ac:dyDescent="0.3">
      <c r="A1805" s="7">
        <v>1804</v>
      </c>
      <c r="B1805" s="6">
        <v>48</v>
      </c>
      <c r="C1805" s="12">
        <v>3711284</v>
      </c>
      <c r="D1805" t="s">
        <v>115</v>
      </c>
      <c r="E1805" s="12">
        <v>38</v>
      </c>
      <c r="F1805" s="10" t="s">
        <v>20</v>
      </c>
      <c r="I1805" s="87"/>
      <c r="J1805" s="138" t="s">
        <v>1292</v>
      </c>
      <c r="K1805" s="138" t="s">
        <v>1292</v>
      </c>
      <c r="L1805" s="138" t="s">
        <v>1292</v>
      </c>
      <c r="M1805" s="28"/>
      <c r="N1805" s="83" t="s">
        <v>1292</v>
      </c>
      <c r="P1805" t="str">
        <f>VLOOKUP(B1805,PTN!A:B,2,FALSE)</f>
        <v>UNIVERSITAS JEMBER</v>
      </c>
      <c r="Q1805" t="str">
        <f t="shared" si="28"/>
        <v>UNIVERSITAS JEMBERPENDIDIKAN IPA</v>
      </c>
    </row>
    <row r="1806" spans="1:17" ht="15.75" thickBot="1" x14ac:dyDescent="0.3">
      <c r="A1806" s="7">
        <v>1805</v>
      </c>
      <c r="B1806" s="6">
        <v>48</v>
      </c>
      <c r="C1806" s="13">
        <v>3711036</v>
      </c>
      <c r="D1806" t="s">
        <v>44</v>
      </c>
      <c r="E1806" s="13">
        <v>44</v>
      </c>
      <c r="F1806" s="10" t="s">
        <v>20</v>
      </c>
      <c r="I1806" s="26"/>
      <c r="J1806" s="138" t="s">
        <v>1292</v>
      </c>
      <c r="K1806" s="138" t="s">
        <v>1292</v>
      </c>
      <c r="L1806" s="138" t="s">
        <v>1292</v>
      </c>
      <c r="M1806" s="27"/>
      <c r="N1806" s="83" t="s">
        <v>1292</v>
      </c>
      <c r="P1806" t="str">
        <f>VLOOKUP(B1806,PTN!A:B,2,FALSE)</f>
        <v>UNIVERSITAS JEMBER</v>
      </c>
      <c r="Q1806" t="str">
        <f t="shared" si="28"/>
        <v>UNIVERSITAS JEMBERPENDIDIKAN MATEMATIKA</v>
      </c>
    </row>
    <row r="1807" spans="1:17" ht="15.75" thickBot="1" x14ac:dyDescent="0.3">
      <c r="A1807" s="7">
        <v>1806</v>
      </c>
      <c r="B1807" s="6">
        <v>48</v>
      </c>
      <c r="C1807" s="12">
        <v>3711342</v>
      </c>
      <c r="D1807" t="s">
        <v>163</v>
      </c>
      <c r="E1807" s="12">
        <v>15</v>
      </c>
      <c r="F1807" s="10" t="s">
        <v>20</v>
      </c>
      <c r="I1807" s="87"/>
      <c r="J1807" s="138" t="s">
        <v>1292</v>
      </c>
      <c r="K1807" s="138" t="s">
        <v>1292</v>
      </c>
      <c r="L1807" s="138" t="s">
        <v>1292</v>
      </c>
      <c r="M1807" s="28"/>
      <c r="N1807" s="83" t="s">
        <v>1292</v>
      </c>
      <c r="P1807" t="str">
        <f>VLOOKUP(B1807,PTN!A:B,2,FALSE)</f>
        <v>UNIVERSITAS JEMBER</v>
      </c>
      <c r="Q1807" t="str">
        <f t="shared" si="28"/>
        <v>UNIVERSITAS JEMBERPENYULUHAN PERTANIAN</v>
      </c>
    </row>
    <row r="1808" spans="1:17" ht="15.75" thickBot="1" x14ac:dyDescent="0.3">
      <c r="A1808" s="7">
        <v>1807</v>
      </c>
      <c r="B1808" s="6">
        <v>48</v>
      </c>
      <c r="C1808" s="13">
        <v>3711292</v>
      </c>
      <c r="D1808" t="s">
        <v>87</v>
      </c>
      <c r="E1808" s="13">
        <v>24</v>
      </c>
      <c r="F1808" s="10" t="s">
        <v>20</v>
      </c>
      <c r="I1808" s="26"/>
      <c r="J1808" s="138" t="s">
        <v>1292</v>
      </c>
      <c r="K1808" s="138" t="s">
        <v>1292</v>
      </c>
      <c r="L1808" s="138" t="s">
        <v>1292</v>
      </c>
      <c r="M1808" s="27"/>
      <c r="N1808" s="83" t="s">
        <v>1292</v>
      </c>
      <c r="P1808" t="str">
        <f>VLOOKUP(B1808,PTN!A:B,2,FALSE)</f>
        <v>UNIVERSITAS JEMBER</v>
      </c>
      <c r="Q1808" t="str">
        <f t="shared" si="28"/>
        <v>UNIVERSITAS JEMBERPERENCANAAN WILAYAH DAN KOTA</v>
      </c>
    </row>
    <row r="1809" spans="1:17" ht="15.75" thickBot="1" x14ac:dyDescent="0.3">
      <c r="A1809" s="7">
        <v>1808</v>
      </c>
      <c r="B1809" s="6">
        <v>48</v>
      </c>
      <c r="C1809" s="12">
        <v>3711373</v>
      </c>
      <c r="D1809" t="s">
        <v>88</v>
      </c>
      <c r="E1809" s="12">
        <v>15</v>
      </c>
      <c r="F1809" s="10" t="s">
        <v>20</v>
      </c>
      <c r="I1809" s="87"/>
      <c r="J1809" s="138" t="s">
        <v>1292</v>
      </c>
      <c r="K1809" s="138" t="s">
        <v>1292</v>
      </c>
      <c r="L1809" s="138" t="s">
        <v>1292</v>
      </c>
      <c r="M1809" s="28"/>
      <c r="N1809" s="83" t="s">
        <v>1292</v>
      </c>
      <c r="P1809" t="str">
        <f>VLOOKUP(B1809,PTN!A:B,2,FALSE)</f>
        <v>UNIVERSITAS JEMBER</v>
      </c>
      <c r="Q1809" t="str">
        <f t="shared" si="28"/>
        <v>UNIVERSITAS JEMBERPETERNAKAN</v>
      </c>
    </row>
    <row r="1810" spans="1:17" ht="15.75" thickBot="1" x14ac:dyDescent="0.3">
      <c r="A1810" s="7">
        <v>1809</v>
      </c>
      <c r="B1810" s="6">
        <v>48</v>
      </c>
      <c r="C1810" s="13">
        <v>3711261</v>
      </c>
      <c r="D1810" t="s">
        <v>89</v>
      </c>
      <c r="E1810" s="13">
        <v>15</v>
      </c>
      <c r="F1810" s="10" t="s">
        <v>20</v>
      </c>
      <c r="I1810" s="26"/>
      <c r="J1810" s="138" t="s">
        <v>1292</v>
      </c>
      <c r="K1810" s="138" t="s">
        <v>1292</v>
      </c>
      <c r="L1810" s="138" t="s">
        <v>1292</v>
      </c>
      <c r="M1810" s="27"/>
      <c r="N1810" s="83" t="s">
        <v>1292</v>
      </c>
      <c r="P1810" t="str">
        <f>VLOOKUP(B1810,PTN!A:B,2,FALSE)</f>
        <v>UNIVERSITAS JEMBER</v>
      </c>
      <c r="Q1810" t="str">
        <f t="shared" si="28"/>
        <v>UNIVERSITAS JEMBERPROTEKSI TANAMAN</v>
      </c>
    </row>
    <row r="1811" spans="1:17" ht="15.75" thickBot="1" x14ac:dyDescent="0.3">
      <c r="A1811" s="7">
        <v>1810</v>
      </c>
      <c r="B1811" s="6">
        <v>48</v>
      </c>
      <c r="C1811" s="12">
        <v>3711206</v>
      </c>
      <c r="D1811" t="s">
        <v>46</v>
      </c>
      <c r="E1811" s="12">
        <v>45</v>
      </c>
      <c r="F1811" s="10" t="s">
        <v>20</v>
      </c>
      <c r="I1811" s="87"/>
      <c r="J1811" s="138">
        <v>606.66</v>
      </c>
      <c r="K1811" s="138">
        <v>616.71999999999991</v>
      </c>
      <c r="L1811" s="138">
        <v>596.6</v>
      </c>
      <c r="M1811" s="28"/>
      <c r="N1811" s="83">
        <v>606.66</v>
      </c>
      <c r="P1811" t="str">
        <f>VLOOKUP(B1811,PTN!A:B,2,FALSE)</f>
        <v>UNIVERSITAS JEMBER</v>
      </c>
      <c r="Q1811" t="str">
        <f t="shared" si="28"/>
        <v>UNIVERSITAS JEMBERSISTEM INFORMASI</v>
      </c>
    </row>
    <row r="1812" spans="1:17" ht="15.75" thickBot="1" x14ac:dyDescent="0.3">
      <c r="A1812" s="7">
        <v>1811</v>
      </c>
      <c r="B1812" s="6">
        <v>48</v>
      </c>
      <c r="C1812" s="13">
        <v>3711164</v>
      </c>
      <c r="D1812" t="s">
        <v>48</v>
      </c>
      <c r="E1812" s="13">
        <v>36</v>
      </c>
      <c r="F1812" s="10" t="s">
        <v>20</v>
      </c>
      <c r="I1812" s="26"/>
      <c r="J1812" s="138" t="s">
        <v>1292</v>
      </c>
      <c r="K1812" s="138" t="s">
        <v>1292</v>
      </c>
      <c r="L1812" s="138" t="s">
        <v>1292</v>
      </c>
      <c r="M1812" s="27"/>
      <c r="N1812" s="83" t="s">
        <v>1292</v>
      </c>
      <c r="P1812" t="str">
        <f>VLOOKUP(B1812,PTN!A:B,2,FALSE)</f>
        <v>UNIVERSITAS JEMBER</v>
      </c>
      <c r="Q1812" t="str">
        <f t="shared" si="28"/>
        <v>UNIVERSITAS JEMBERTEKNIK ELEKTRO</v>
      </c>
    </row>
    <row r="1813" spans="1:17" ht="15.75" thickBot="1" x14ac:dyDescent="0.3">
      <c r="A1813" s="7">
        <v>1812</v>
      </c>
      <c r="B1813" s="6">
        <v>48</v>
      </c>
      <c r="C1813" s="12">
        <v>3711303</v>
      </c>
      <c r="D1813" t="s">
        <v>51</v>
      </c>
      <c r="E1813" s="12">
        <v>36</v>
      </c>
      <c r="F1813" s="10" t="s">
        <v>20</v>
      </c>
      <c r="I1813" s="87"/>
      <c r="J1813" s="138" t="s">
        <v>1292</v>
      </c>
      <c r="K1813" s="138" t="s">
        <v>1292</v>
      </c>
      <c r="L1813" s="138" t="s">
        <v>1292</v>
      </c>
      <c r="M1813" s="28"/>
      <c r="N1813" s="83" t="s">
        <v>1292</v>
      </c>
      <c r="P1813" t="str">
        <f>VLOOKUP(B1813,PTN!A:B,2,FALSE)</f>
        <v>UNIVERSITAS JEMBER</v>
      </c>
      <c r="Q1813" t="str">
        <f t="shared" si="28"/>
        <v>UNIVERSITAS JEMBERTEKNIK KIMIA</v>
      </c>
    </row>
    <row r="1814" spans="1:17" ht="15.75" thickBot="1" x14ac:dyDescent="0.3">
      <c r="A1814" s="7">
        <v>1813</v>
      </c>
      <c r="B1814" s="6">
        <v>48</v>
      </c>
      <c r="C1814" s="13">
        <v>3711365</v>
      </c>
      <c r="D1814" t="s">
        <v>555</v>
      </c>
      <c r="E1814" s="13">
        <v>18</v>
      </c>
      <c r="F1814" s="10" t="s">
        <v>20</v>
      </c>
      <c r="I1814" s="26"/>
      <c r="J1814" s="138" t="s">
        <v>1292</v>
      </c>
      <c r="K1814" s="138" t="s">
        <v>1292</v>
      </c>
      <c r="L1814" s="138" t="s">
        <v>1292</v>
      </c>
      <c r="M1814" s="27"/>
      <c r="N1814" s="83" t="s">
        <v>1292</v>
      </c>
      <c r="P1814" t="str">
        <f>VLOOKUP(B1814,PTN!A:B,2,FALSE)</f>
        <v>UNIVERSITAS JEMBER</v>
      </c>
      <c r="Q1814" t="str">
        <f t="shared" si="28"/>
        <v>UNIVERSITAS JEMBERTEKNIK KONSTRUKSI PERKAPALAN</v>
      </c>
    </row>
    <row r="1815" spans="1:17" ht="15.75" thickBot="1" x14ac:dyDescent="0.3">
      <c r="A1815" s="7">
        <v>1814</v>
      </c>
      <c r="B1815" s="6">
        <v>48</v>
      </c>
      <c r="C1815" s="12">
        <v>3711357</v>
      </c>
      <c r="D1815" t="s">
        <v>25</v>
      </c>
      <c r="E1815" s="12">
        <v>24</v>
      </c>
      <c r="F1815" s="10" t="s">
        <v>20</v>
      </c>
      <c r="I1815" s="87"/>
      <c r="J1815" s="138" t="s">
        <v>1292</v>
      </c>
      <c r="K1815" s="138" t="s">
        <v>1292</v>
      </c>
      <c r="L1815" s="138" t="s">
        <v>1292</v>
      </c>
      <c r="M1815" s="28"/>
      <c r="N1815" s="83" t="s">
        <v>1292</v>
      </c>
      <c r="P1815" t="str">
        <f>VLOOKUP(B1815,PTN!A:B,2,FALSE)</f>
        <v>UNIVERSITAS JEMBER</v>
      </c>
      <c r="Q1815" t="str">
        <f t="shared" si="28"/>
        <v>UNIVERSITAS JEMBERTEKNIK LINGKUNGAN</v>
      </c>
    </row>
    <row r="1816" spans="1:17" ht="15.75" thickBot="1" x14ac:dyDescent="0.3">
      <c r="A1816" s="7">
        <v>1815</v>
      </c>
      <c r="B1816" s="6">
        <v>48</v>
      </c>
      <c r="C1816" s="13">
        <v>3711156</v>
      </c>
      <c r="D1816" t="s">
        <v>53</v>
      </c>
      <c r="E1816" s="13">
        <v>36</v>
      </c>
      <c r="F1816" s="10" t="s">
        <v>20</v>
      </c>
      <c r="I1816" s="26"/>
      <c r="J1816" s="138" t="s">
        <v>1292</v>
      </c>
      <c r="K1816" s="138" t="s">
        <v>1292</v>
      </c>
      <c r="L1816" s="138" t="s">
        <v>1292</v>
      </c>
      <c r="M1816" s="27"/>
      <c r="N1816" s="83" t="s">
        <v>1292</v>
      </c>
      <c r="P1816" t="str">
        <f>VLOOKUP(B1816,PTN!A:B,2,FALSE)</f>
        <v>UNIVERSITAS JEMBER</v>
      </c>
      <c r="Q1816" t="str">
        <f t="shared" si="28"/>
        <v>UNIVERSITAS JEMBERTEKNIK MESIN</v>
      </c>
    </row>
    <row r="1817" spans="1:17" ht="15.75" thickBot="1" x14ac:dyDescent="0.3">
      <c r="A1817" s="7">
        <v>1816</v>
      </c>
      <c r="B1817" s="6">
        <v>48</v>
      </c>
      <c r="C1817" s="12">
        <v>3711407</v>
      </c>
      <c r="D1817" t="s">
        <v>514</v>
      </c>
      <c r="E1817" s="12">
        <v>12</v>
      </c>
      <c r="F1817" s="10" t="s">
        <v>20</v>
      </c>
      <c r="I1817" s="87"/>
      <c r="J1817" s="138" t="s">
        <v>1292</v>
      </c>
      <c r="K1817" s="138" t="s">
        <v>1292</v>
      </c>
      <c r="L1817" s="138" t="s">
        <v>1292</v>
      </c>
      <c r="M1817" s="28"/>
      <c r="N1817" s="83" t="s">
        <v>1292</v>
      </c>
      <c r="P1817" t="str">
        <f>VLOOKUP(B1817,PTN!A:B,2,FALSE)</f>
        <v>UNIVERSITAS JEMBER</v>
      </c>
      <c r="Q1817" t="str">
        <f t="shared" si="28"/>
        <v>UNIVERSITAS JEMBERTEKNIK PERMINYAKAN</v>
      </c>
    </row>
    <row r="1818" spans="1:17" ht="15.75" thickBot="1" x14ac:dyDescent="0.3">
      <c r="A1818" s="7">
        <v>1817</v>
      </c>
      <c r="B1818" s="6">
        <v>48</v>
      </c>
      <c r="C1818" s="13">
        <v>3711396</v>
      </c>
      <c r="D1818" t="s">
        <v>239</v>
      </c>
      <c r="E1818" s="13">
        <v>12</v>
      </c>
      <c r="F1818" s="10" t="s">
        <v>20</v>
      </c>
      <c r="I1818" s="26"/>
      <c r="J1818" s="138" t="s">
        <v>1292</v>
      </c>
      <c r="K1818" s="138" t="s">
        <v>1292</v>
      </c>
      <c r="L1818" s="138" t="s">
        <v>1292</v>
      </c>
      <c r="M1818" s="27"/>
      <c r="N1818" s="83" t="s">
        <v>1292</v>
      </c>
      <c r="P1818" t="str">
        <f>VLOOKUP(B1818,PTN!A:B,2,FALSE)</f>
        <v>UNIVERSITAS JEMBER</v>
      </c>
      <c r="Q1818" t="str">
        <f t="shared" si="28"/>
        <v>UNIVERSITAS JEMBERTEKNIK PERTAMBANGAN</v>
      </c>
    </row>
    <row r="1819" spans="1:17" ht="15.75" thickBot="1" x14ac:dyDescent="0.3">
      <c r="A1819" s="7">
        <v>1818</v>
      </c>
      <c r="B1819" s="6">
        <v>48</v>
      </c>
      <c r="C1819" s="12">
        <v>3711075</v>
      </c>
      <c r="D1819" t="s">
        <v>95</v>
      </c>
      <c r="E1819" s="12">
        <v>33</v>
      </c>
      <c r="F1819" s="10" t="s">
        <v>20</v>
      </c>
      <c r="I1819" s="87"/>
      <c r="J1819" s="138" t="s">
        <v>1292</v>
      </c>
      <c r="K1819" s="138" t="s">
        <v>1292</v>
      </c>
      <c r="L1819" s="138" t="s">
        <v>1292</v>
      </c>
      <c r="M1819" s="28"/>
      <c r="N1819" s="83" t="s">
        <v>1292</v>
      </c>
      <c r="P1819" t="str">
        <f>VLOOKUP(B1819,PTN!A:B,2,FALSE)</f>
        <v>UNIVERSITAS JEMBER</v>
      </c>
      <c r="Q1819" t="str">
        <f t="shared" si="28"/>
        <v>UNIVERSITAS JEMBERTEKNIK PERTANIAN</v>
      </c>
    </row>
    <row r="1820" spans="1:17" ht="15.75" thickBot="1" x14ac:dyDescent="0.3">
      <c r="A1820" s="7">
        <v>1819</v>
      </c>
      <c r="B1820" s="6">
        <v>48</v>
      </c>
      <c r="C1820" s="13">
        <v>3711172</v>
      </c>
      <c r="D1820" t="s">
        <v>54</v>
      </c>
      <c r="E1820" s="13">
        <v>44</v>
      </c>
      <c r="F1820" s="10" t="s">
        <v>20</v>
      </c>
      <c r="I1820" s="26"/>
      <c r="J1820" s="138">
        <v>617.52</v>
      </c>
      <c r="K1820" s="138">
        <v>626.09</v>
      </c>
      <c r="L1820" s="138">
        <v>608.94999999999993</v>
      </c>
      <c r="M1820" s="27"/>
      <c r="N1820" s="83">
        <v>617.52</v>
      </c>
      <c r="P1820" t="str">
        <f>VLOOKUP(B1820,PTN!A:B,2,FALSE)</f>
        <v>UNIVERSITAS JEMBER</v>
      </c>
      <c r="Q1820" t="str">
        <f t="shared" si="28"/>
        <v>UNIVERSITAS JEMBERTEKNIK SIPIL</v>
      </c>
    </row>
    <row r="1821" spans="1:17" ht="15.75" thickBot="1" x14ac:dyDescent="0.3">
      <c r="A1821" s="7">
        <v>1820</v>
      </c>
      <c r="B1821" s="6">
        <v>48</v>
      </c>
      <c r="C1821" s="12">
        <v>3711067</v>
      </c>
      <c r="D1821" t="s">
        <v>96</v>
      </c>
      <c r="E1821" s="12">
        <v>38</v>
      </c>
      <c r="F1821" s="10" t="s">
        <v>20</v>
      </c>
      <c r="I1821" s="87"/>
      <c r="J1821" s="138" t="s">
        <v>1292</v>
      </c>
      <c r="K1821" s="138" t="s">
        <v>1292</v>
      </c>
      <c r="L1821" s="138" t="s">
        <v>1292</v>
      </c>
      <c r="M1821" s="28"/>
      <c r="N1821" s="83" t="s">
        <v>1292</v>
      </c>
      <c r="P1821" t="str">
        <f>VLOOKUP(B1821,PTN!A:B,2,FALSE)</f>
        <v>UNIVERSITAS JEMBER</v>
      </c>
      <c r="Q1821" t="str">
        <f t="shared" si="28"/>
        <v>UNIVERSITAS JEMBERTEKNOLOGI HASIL PERTANIAN</v>
      </c>
    </row>
    <row r="1822" spans="1:17" ht="15.75" thickBot="1" x14ac:dyDescent="0.3">
      <c r="A1822" s="7">
        <v>1821</v>
      </c>
      <c r="B1822" s="6">
        <v>48</v>
      </c>
      <c r="C1822" s="13">
        <v>3711245</v>
      </c>
      <c r="D1822" t="s">
        <v>166</v>
      </c>
      <c r="E1822" s="13">
        <v>24</v>
      </c>
      <c r="F1822" s="10" t="s">
        <v>20</v>
      </c>
      <c r="I1822" s="26"/>
      <c r="J1822" s="138" t="s">
        <v>1292</v>
      </c>
      <c r="K1822" s="138" t="s">
        <v>1292</v>
      </c>
      <c r="L1822" s="138" t="s">
        <v>1292</v>
      </c>
      <c r="M1822" s="27"/>
      <c r="N1822" s="83" t="s">
        <v>1292</v>
      </c>
      <c r="P1822" t="str">
        <f>VLOOKUP(B1822,PTN!A:B,2,FALSE)</f>
        <v>UNIVERSITAS JEMBER</v>
      </c>
      <c r="Q1822" t="str">
        <f t="shared" si="28"/>
        <v>UNIVERSITAS JEMBERTEKNOLOGI INDUSTRI PERTANIAN</v>
      </c>
    </row>
    <row r="1823" spans="1:17" ht="15.75" thickBot="1" x14ac:dyDescent="0.3">
      <c r="A1823" s="7">
        <v>1822</v>
      </c>
      <c r="B1823" s="6">
        <v>48</v>
      </c>
      <c r="C1823" s="14">
        <v>3711276</v>
      </c>
      <c r="D1823" t="s">
        <v>26</v>
      </c>
      <c r="E1823" s="14">
        <v>30</v>
      </c>
      <c r="F1823" s="10" t="s">
        <v>20</v>
      </c>
      <c r="I1823" s="87"/>
      <c r="J1823" s="138" t="s">
        <v>1292</v>
      </c>
      <c r="K1823" s="138" t="s">
        <v>1292</v>
      </c>
      <c r="L1823" s="138" t="s">
        <v>1292</v>
      </c>
      <c r="M1823" s="28"/>
      <c r="N1823" s="83" t="s">
        <v>1292</v>
      </c>
      <c r="P1823" t="str">
        <f>VLOOKUP(B1823,PTN!A:B,2,FALSE)</f>
        <v>UNIVERSITAS JEMBER</v>
      </c>
      <c r="Q1823" t="str">
        <f t="shared" si="28"/>
        <v>UNIVERSITAS JEMBERTEKNOLOGI INFORMASI</v>
      </c>
    </row>
    <row r="1824" spans="1:17" ht="16.5" thickTop="1" thickBot="1" x14ac:dyDescent="0.3">
      <c r="A1824" s="7">
        <v>1823</v>
      </c>
      <c r="B1824" s="6">
        <v>48</v>
      </c>
      <c r="C1824" s="17">
        <v>3712094</v>
      </c>
      <c r="D1824" t="s">
        <v>55</v>
      </c>
      <c r="E1824" s="17">
        <v>68</v>
      </c>
      <c r="F1824" s="10" t="s">
        <v>13</v>
      </c>
      <c r="I1824" s="20"/>
      <c r="J1824" s="138">
        <v>594.34</v>
      </c>
      <c r="K1824" s="138">
        <v>602.47773000000007</v>
      </c>
      <c r="L1824" s="138">
        <v>586.20227</v>
      </c>
      <c r="M1824" s="21"/>
      <c r="N1824" s="83">
        <v>594.34</v>
      </c>
      <c r="P1824" t="str">
        <f>VLOOKUP(B1824,PTN!A:B,2,FALSE)</f>
        <v>UNIVERSITAS JEMBER</v>
      </c>
      <c r="Q1824" t="str">
        <f t="shared" si="28"/>
        <v>UNIVERSITAS JEMBERAKUNTANSI</v>
      </c>
    </row>
    <row r="1825" spans="1:17" ht="15.75" thickBot="1" x14ac:dyDescent="0.3">
      <c r="A1825" s="7">
        <v>1824</v>
      </c>
      <c r="B1825" s="6">
        <v>48</v>
      </c>
      <c r="C1825" s="18">
        <v>3712071</v>
      </c>
      <c r="D1825" t="s">
        <v>69</v>
      </c>
      <c r="E1825" s="18">
        <v>48</v>
      </c>
      <c r="F1825" s="10" t="s">
        <v>13</v>
      </c>
      <c r="I1825" s="22"/>
      <c r="J1825" s="138">
        <v>576.51</v>
      </c>
      <c r="K1825" s="138">
        <v>584.64773000000002</v>
      </c>
      <c r="L1825" s="138">
        <v>568.37226999999996</v>
      </c>
      <c r="M1825" s="21"/>
      <c r="N1825" s="83">
        <v>576.51</v>
      </c>
      <c r="P1825" t="str">
        <f>VLOOKUP(B1825,PTN!A:B,2,FALSE)</f>
        <v>UNIVERSITAS JEMBER</v>
      </c>
      <c r="Q1825" t="str">
        <f t="shared" si="28"/>
        <v>UNIVERSITAS JEMBEREKONOMI PEMBANGUNAN</v>
      </c>
    </row>
    <row r="1826" spans="1:17" ht="16.5" thickTop="1" thickBot="1" x14ac:dyDescent="0.3">
      <c r="A1826" s="7">
        <v>1825</v>
      </c>
      <c r="B1826" s="6">
        <v>48</v>
      </c>
      <c r="C1826" s="17">
        <v>3712217</v>
      </c>
      <c r="D1826" t="s">
        <v>28</v>
      </c>
      <c r="E1826" s="17">
        <v>18</v>
      </c>
      <c r="F1826" s="10" t="s">
        <v>13</v>
      </c>
      <c r="I1826" s="36"/>
      <c r="J1826" s="138" t="s">
        <v>1292</v>
      </c>
      <c r="K1826" s="138" t="s">
        <v>1292</v>
      </c>
      <c r="L1826" s="138" t="s">
        <v>1292</v>
      </c>
      <c r="M1826" s="31"/>
      <c r="N1826" s="83" t="s">
        <v>1292</v>
      </c>
      <c r="P1826" t="str">
        <f>VLOOKUP(B1826,PTN!A:B,2,FALSE)</f>
        <v>UNIVERSITAS JEMBER</v>
      </c>
      <c r="Q1826" t="str">
        <f t="shared" si="28"/>
        <v>UNIVERSITAS JEMBEREKONOMI SYARIAH</v>
      </c>
    </row>
    <row r="1827" spans="1:17" ht="16.5" thickTop="1" thickBot="1" x14ac:dyDescent="0.3">
      <c r="A1827" s="7">
        <v>1826</v>
      </c>
      <c r="B1827" s="6">
        <v>48</v>
      </c>
      <c r="C1827" s="18">
        <v>3712233</v>
      </c>
      <c r="D1827" t="s">
        <v>556</v>
      </c>
      <c r="E1827" s="18">
        <v>21</v>
      </c>
      <c r="F1827" s="10" t="s">
        <v>13</v>
      </c>
      <c r="I1827" s="38"/>
      <c r="J1827" s="138" t="s">
        <v>1292</v>
      </c>
      <c r="K1827" s="138" t="s">
        <v>1292</v>
      </c>
      <c r="L1827" s="138" t="s">
        <v>1292</v>
      </c>
      <c r="M1827" s="32"/>
      <c r="N1827" s="83" t="s">
        <v>1292</v>
      </c>
      <c r="P1827" t="str">
        <f>VLOOKUP(B1827,PTN!A:B,2,FALSE)</f>
        <v>UNIVERSITAS JEMBER</v>
      </c>
      <c r="Q1827" t="str">
        <f t="shared" si="28"/>
        <v>UNIVERSITAS JEMBEREKONOMI SYARIAH KAMPUS BONDOWOSO</v>
      </c>
    </row>
    <row r="1828" spans="1:17" ht="15.75" thickBot="1" x14ac:dyDescent="0.3">
      <c r="A1828" s="7">
        <v>1827</v>
      </c>
      <c r="B1828" s="6">
        <v>48</v>
      </c>
      <c r="C1828" s="17">
        <v>3712024</v>
      </c>
      <c r="D1828" t="s">
        <v>223</v>
      </c>
      <c r="E1828" s="17">
        <v>45</v>
      </c>
      <c r="F1828" s="10" t="s">
        <v>13</v>
      </c>
      <c r="I1828" s="39"/>
      <c r="J1828" s="138">
        <v>608.33000000000004</v>
      </c>
      <c r="K1828" s="138">
        <v>616.46773000000007</v>
      </c>
      <c r="L1828" s="138">
        <v>600.19227000000001</v>
      </c>
      <c r="M1828" s="33"/>
      <c r="N1828" s="83">
        <v>608.33000000000004</v>
      </c>
      <c r="P1828" t="str">
        <f>VLOOKUP(B1828,PTN!A:B,2,FALSE)</f>
        <v>UNIVERSITAS JEMBER</v>
      </c>
      <c r="Q1828" t="str">
        <f t="shared" si="28"/>
        <v>UNIVERSITAS JEMBERHUBUNGAN INTERNASIONAL</v>
      </c>
    </row>
    <row r="1829" spans="1:17" ht="15.75" thickBot="1" x14ac:dyDescent="0.3">
      <c r="A1829" s="7">
        <v>1828</v>
      </c>
      <c r="B1829" s="6">
        <v>48</v>
      </c>
      <c r="C1829" s="18">
        <v>3712047</v>
      </c>
      <c r="D1829" t="s">
        <v>389</v>
      </c>
      <c r="E1829" s="18">
        <v>45</v>
      </c>
      <c r="F1829" s="10" t="s">
        <v>13</v>
      </c>
      <c r="I1829" s="38"/>
      <c r="J1829" s="138">
        <v>575.09</v>
      </c>
      <c r="K1829" s="138">
        <v>583.22773000000007</v>
      </c>
      <c r="L1829" s="138">
        <v>566.95227</v>
      </c>
      <c r="M1829" s="32"/>
      <c r="N1829" s="83">
        <v>575.09</v>
      </c>
      <c r="P1829" t="str">
        <f>VLOOKUP(B1829,PTN!A:B,2,FALSE)</f>
        <v>UNIVERSITAS JEMBER</v>
      </c>
      <c r="Q1829" t="str">
        <f t="shared" si="28"/>
        <v>UNIVERSITAS JEMBERILMU ADMINISTRASI BISNIS</v>
      </c>
    </row>
    <row r="1830" spans="1:17" ht="15.75" thickBot="1" x14ac:dyDescent="0.3">
      <c r="A1830" s="7">
        <v>1829</v>
      </c>
      <c r="B1830" s="6">
        <v>48</v>
      </c>
      <c r="C1830" s="17">
        <v>3712032</v>
      </c>
      <c r="D1830" t="s">
        <v>29</v>
      </c>
      <c r="E1830" s="17">
        <v>45</v>
      </c>
      <c r="F1830" s="10" t="s">
        <v>13</v>
      </c>
      <c r="I1830" s="39"/>
      <c r="J1830" s="138">
        <v>579.41</v>
      </c>
      <c r="K1830" s="138">
        <v>587.54773</v>
      </c>
      <c r="L1830" s="138">
        <v>571.27226999999993</v>
      </c>
      <c r="M1830" s="33"/>
      <c r="N1830" s="83">
        <v>579.41</v>
      </c>
      <c r="P1830" t="str">
        <f>VLOOKUP(B1830,PTN!A:B,2,FALSE)</f>
        <v>UNIVERSITAS JEMBER</v>
      </c>
      <c r="Q1830" t="str">
        <f t="shared" si="28"/>
        <v>UNIVERSITAS JEMBERILMU ADMINISTRASI NEGARA</v>
      </c>
    </row>
    <row r="1831" spans="1:17" ht="15.75" thickBot="1" x14ac:dyDescent="0.3">
      <c r="A1831" s="7">
        <v>1830</v>
      </c>
      <c r="B1831" s="6">
        <v>48</v>
      </c>
      <c r="C1831" s="18">
        <v>3712016</v>
      </c>
      <c r="D1831" t="s">
        <v>31</v>
      </c>
      <c r="E1831" s="18">
        <v>150</v>
      </c>
      <c r="F1831" s="10" t="s">
        <v>13</v>
      </c>
      <c r="I1831" s="38"/>
      <c r="J1831" s="138">
        <v>576.91999999999996</v>
      </c>
      <c r="K1831" s="138">
        <v>585.05772999999999</v>
      </c>
      <c r="L1831" s="138">
        <v>568.78226999999993</v>
      </c>
      <c r="M1831" s="32"/>
      <c r="N1831" s="83">
        <v>576.91999999999996</v>
      </c>
      <c r="P1831" t="str">
        <f>VLOOKUP(B1831,PTN!A:B,2,FALSE)</f>
        <v>UNIVERSITAS JEMBER</v>
      </c>
      <c r="Q1831" t="str">
        <f t="shared" si="28"/>
        <v>UNIVERSITAS JEMBERILMU HUKUM</v>
      </c>
    </row>
    <row r="1832" spans="1:17" ht="15.75" thickBot="1" x14ac:dyDescent="0.3">
      <c r="A1832" s="7">
        <v>1831</v>
      </c>
      <c r="B1832" s="6">
        <v>48</v>
      </c>
      <c r="C1832" s="17">
        <v>3712055</v>
      </c>
      <c r="D1832" t="s">
        <v>147</v>
      </c>
      <c r="E1832" s="17">
        <v>45</v>
      </c>
      <c r="F1832" s="10" t="s">
        <v>13</v>
      </c>
      <c r="I1832" s="39"/>
      <c r="J1832" s="138" t="s">
        <v>1292</v>
      </c>
      <c r="K1832" s="138" t="s">
        <v>1292</v>
      </c>
      <c r="L1832" s="138" t="s">
        <v>1292</v>
      </c>
      <c r="M1832" s="33"/>
      <c r="N1832" s="83" t="s">
        <v>1292</v>
      </c>
      <c r="P1832" t="str">
        <f>VLOOKUP(B1832,PTN!A:B,2,FALSE)</f>
        <v>UNIVERSITAS JEMBER</v>
      </c>
      <c r="Q1832" t="str">
        <f t="shared" si="28"/>
        <v>UNIVERSITAS JEMBERILMU KESEJAHTERAAN SOSIAL</v>
      </c>
    </row>
    <row r="1833" spans="1:17" ht="15.75" thickBot="1" x14ac:dyDescent="0.3">
      <c r="A1833" s="7">
        <v>1832</v>
      </c>
      <c r="B1833" s="6">
        <v>48</v>
      </c>
      <c r="C1833" s="18">
        <v>3712183</v>
      </c>
      <c r="D1833" t="s">
        <v>148</v>
      </c>
      <c r="E1833" s="18">
        <v>30</v>
      </c>
      <c r="F1833" s="10" t="s">
        <v>13</v>
      </c>
      <c r="I1833" s="38"/>
      <c r="J1833" s="138" t="s">
        <v>1292</v>
      </c>
      <c r="K1833" s="138" t="s">
        <v>1292</v>
      </c>
      <c r="L1833" s="138" t="s">
        <v>1292</v>
      </c>
      <c r="M1833" s="32"/>
      <c r="N1833" s="83" t="s">
        <v>1292</v>
      </c>
      <c r="P1833" t="str">
        <f>VLOOKUP(B1833,PTN!A:B,2,FALSE)</f>
        <v>UNIVERSITAS JEMBER</v>
      </c>
      <c r="Q1833" t="str">
        <f t="shared" si="28"/>
        <v>UNIVERSITAS JEMBERILMU SEJARAH</v>
      </c>
    </row>
    <row r="1834" spans="1:17" ht="15.75" thickBot="1" x14ac:dyDescent="0.3">
      <c r="A1834" s="7">
        <v>1833</v>
      </c>
      <c r="B1834" s="6">
        <v>48</v>
      </c>
      <c r="C1834" s="17">
        <v>3712086</v>
      </c>
      <c r="D1834" t="s">
        <v>61</v>
      </c>
      <c r="E1834" s="17">
        <v>68</v>
      </c>
      <c r="F1834" s="10" t="s">
        <v>13</v>
      </c>
      <c r="I1834" s="39"/>
      <c r="J1834" s="138">
        <v>585.51</v>
      </c>
      <c r="K1834" s="138">
        <v>593.64773000000002</v>
      </c>
      <c r="L1834" s="138">
        <v>577.37226999999996</v>
      </c>
      <c r="M1834" s="33"/>
      <c r="N1834" s="83">
        <v>585.51</v>
      </c>
      <c r="P1834" t="str">
        <f>VLOOKUP(B1834,PTN!A:B,2,FALSE)</f>
        <v>UNIVERSITAS JEMBER</v>
      </c>
      <c r="Q1834" t="str">
        <f t="shared" si="28"/>
        <v>UNIVERSITAS JEMBERMANAJEMEN</v>
      </c>
    </row>
    <row r="1835" spans="1:17" ht="15.75" thickBot="1" x14ac:dyDescent="0.3">
      <c r="A1835" s="7">
        <v>1834</v>
      </c>
      <c r="B1835" s="6">
        <v>48</v>
      </c>
      <c r="C1835" s="18">
        <v>3712241</v>
      </c>
      <c r="D1835" t="s">
        <v>557</v>
      </c>
      <c r="E1835" s="18">
        <v>30</v>
      </c>
      <c r="F1835" s="10" t="s">
        <v>13</v>
      </c>
      <c r="I1835" s="38"/>
      <c r="J1835" s="138" t="s">
        <v>1292</v>
      </c>
      <c r="K1835" s="138" t="s">
        <v>1292</v>
      </c>
      <c r="L1835" s="138" t="s">
        <v>1292</v>
      </c>
      <c r="M1835" s="32"/>
      <c r="N1835" s="83" t="s">
        <v>1292</v>
      </c>
      <c r="P1835" t="str">
        <f>VLOOKUP(B1835,PTN!A:B,2,FALSE)</f>
        <v>UNIVERSITAS JEMBER</v>
      </c>
      <c r="Q1835" t="str">
        <f t="shared" si="28"/>
        <v>UNIVERSITAS JEMBERPEND. GURU SEKOLAH DASAR KAMPUS BONDOWOSO</v>
      </c>
    </row>
    <row r="1836" spans="1:17" ht="15.75" thickBot="1" x14ac:dyDescent="0.3">
      <c r="A1836" s="7">
        <v>1835</v>
      </c>
      <c r="B1836" s="6">
        <v>48</v>
      </c>
      <c r="C1836" s="17">
        <v>3712136</v>
      </c>
      <c r="D1836" t="s">
        <v>71</v>
      </c>
      <c r="E1836" s="17">
        <v>38</v>
      </c>
      <c r="F1836" s="10" t="s">
        <v>13</v>
      </c>
      <c r="I1836" s="39"/>
      <c r="J1836" s="138">
        <v>566.36</v>
      </c>
      <c r="K1836" s="138">
        <v>574.49773000000005</v>
      </c>
      <c r="L1836" s="138">
        <v>558.22226999999998</v>
      </c>
      <c r="M1836" s="33"/>
      <c r="N1836" s="83">
        <v>566.36</v>
      </c>
      <c r="P1836" t="str">
        <f>VLOOKUP(B1836,PTN!A:B,2,FALSE)</f>
        <v>UNIVERSITAS JEMBER</v>
      </c>
      <c r="Q1836" t="str">
        <f t="shared" si="28"/>
        <v>UNIVERSITAS JEMBERPENDIDIKAN BAHASA INGGRIS</v>
      </c>
    </row>
    <row r="1837" spans="1:17" ht="15.75" thickBot="1" x14ac:dyDescent="0.3">
      <c r="A1837" s="7">
        <v>1836</v>
      </c>
      <c r="B1837" s="6">
        <v>48</v>
      </c>
      <c r="C1837" s="18">
        <v>3712144</v>
      </c>
      <c r="D1837" t="s">
        <v>558</v>
      </c>
      <c r="E1837" s="18">
        <v>41</v>
      </c>
      <c r="F1837" s="10" t="s">
        <v>13</v>
      </c>
      <c r="I1837" s="38"/>
      <c r="J1837" s="138" t="s">
        <v>1292</v>
      </c>
      <c r="K1837" s="138" t="s">
        <v>1292</v>
      </c>
      <c r="L1837" s="138" t="s">
        <v>1292</v>
      </c>
      <c r="M1837" s="32"/>
      <c r="N1837" s="83" t="s">
        <v>1292</v>
      </c>
      <c r="P1837" t="str">
        <f>VLOOKUP(B1837,PTN!A:B,2,FALSE)</f>
        <v>UNIVERSITAS JEMBER</v>
      </c>
      <c r="Q1837" t="str">
        <f t="shared" si="28"/>
        <v>UNIVERSITAS JEMBERPENDIDIKAN BHS. &amp; SASTRA INDO.</v>
      </c>
    </row>
    <row r="1838" spans="1:17" ht="15.75" thickBot="1" x14ac:dyDescent="0.3">
      <c r="A1838" s="7">
        <v>1837</v>
      </c>
      <c r="B1838" s="6">
        <v>48</v>
      </c>
      <c r="C1838" s="17">
        <v>3712113</v>
      </c>
      <c r="D1838" t="s">
        <v>100</v>
      </c>
      <c r="E1838" s="17">
        <v>39</v>
      </c>
      <c r="F1838" s="10" t="s">
        <v>13</v>
      </c>
      <c r="I1838" s="39"/>
      <c r="J1838" s="138" t="s">
        <v>1292</v>
      </c>
      <c r="K1838" s="138" t="s">
        <v>1292</v>
      </c>
      <c r="L1838" s="138" t="s">
        <v>1292</v>
      </c>
      <c r="M1838" s="33"/>
      <c r="N1838" s="83" t="s">
        <v>1292</v>
      </c>
      <c r="P1838" t="str">
        <f>VLOOKUP(B1838,PTN!A:B,2,FALSE)</f>
        <v>UNIVERSITAS JEMBER</v>
      </c>
      <c r="Q1838" t="str">
        <f t="shared" si="28"/>
        <v>UNIVERSITAS JEMBERPENDIDIKAN EKONOMI</v>
      </c>
    </row>
    <row r="1839" spans="1:17" ht="15.75" thickBot="1" x14ac:dyDescent="0.3">
      <c r="A1839" s="7">
        <v>1838</v>
      </c>
      <c r="B1839" s="6">
        <v>48</v>
      </c>
      <c r="C1839" s="18">
        <v>3712225</v>
      </c>
      <c r="D1839" t="s">
        <v>72</v>
      </c>
      <c r="E1839" s="18">
        <v>15</v>
      </c>
      <c r="F1839" s="10" t="s">
        <v>13</v>
      </c>
      <c r="I1839" s="38"/>
      <c r="J1839" s="138" t="s">
        <v>1292</v>
      </c>
      <c r="K1839" s="138" t="s">
        <v>1292</v>
      </c>
      <c r="L1839" s="138" t="s">
        <v>1292</v>
      </c>
      <c r="M1839" s="32"/>
      <c r="N1839" s="83" t="s">
        <v>1292</v>
      </c>
      <c r="P1839" t="str">
        <f>VLOOKUP(B1839,PTN!A:B,2,FALSE)</f>
        <v>UNIVERSITAS JEMBER</v>
      </c>
      <c r="Q1839" t="str">
        <f t="shared" si="28"/>
        <v>UNIVERSITAS JEMBERPENDIDIKAN GEOGRAFI</v>
      </c>
    </row>
    <row r="1840" spans="1:17" ht="15.75" thickBot="1" x14ac:dyDescent="0.3">
      <c r="A1840" s="7">
        <v>1839</v>
      </c>
      <c r="B1840" s="6">
        <v>48</v>
      </c>
      <c r="C1840" s="17">
        <v>3712152</v>
      </c>
      <c r="D1840" t="s">
        <v>73</v>
      </c>
      <c r="E1840" s="17">
        <v>60</v>
      </c>
      <c r="F1840" s="10" t="s">
        <v>13</v>
      </c>
      <c r="I1840" s="39"/>
      <c r="J1840" s="138" t="s">
        <v>1292</v>
      </c>
      <c r="K1840" s="138" t="s">
        <v>1292</v>
      </c>
      <c r="L1840" s="138" t="s">
        <v>1292</v>
      </c>
      <c r="M1840" s="33"/>
      <c r="N1840" s="83" t="s">
        <v>1292</v>
      </c>
      <c r="P1840" t="str">
        <f>VLOOKUP(B1840,PTN!A:B,2,FALSE)</f>
        <v>UNIVERSITAS JEMBER</v>
      </c>
      <c r="Q1840" t="str">
        <f t="shared" si="28"/>
        <v>UNIVERSITAS JEMBERPENDIDIKAN GURU SEKOLAH DASAR</v>
      </c>
    </row>
    <row r="1841" spans="1:17" ht="15.75" thickBot="1" x14ac:dyDescent="0.3">
      <c r="A1841" s="7">
        <v>1840</v>
      </c>
      <c r="B1841" s="6">
        <v>48</v>
      </c>
      <c r="C1841" s="18">
        <v>3712105</v>
      </c>
      <c r="D1841" t="s">
        <v>201</v>
      </c>
      <c r="E1841" s="18">
        <v>30</v>
      </c>
      <c r="F1841" s="10" t="s">
        <v>13</v>
      </c>
      <c r="I1841" s="38"/>
      <c r="J1841" s="138" t="s">
        <v>1292</v>
      </c>
      <c r="K1841" s="138" t="s">
        <v>1292</v>
      </c>
      <c r="L1841" s="138" t="s">
        <v>1292</v>
      </c>
      <c r="M1841" s="32"/>
      <c r="N1841" s="83" t="s">
        <v>1292</v>
      </c>
      <c r="P1841" t="str">
        <f>VLOOKUP(B1841,PTN!A:B,2,FALSE)</f>
        <v>UNIVERSITAS JEMBER</v>
      </c>
      <c r="Q1841" t="str">
        <f t="shared" si="28"/>
        <v>UNIVERSITAS JEMBERPENDIDIKAN LUAR SEKOLAH</v>
      </c>
    </row>
    <row r="1842" spans="1:17" ht="15.75" thickBot="1" x14ac:dyDescent="0.3">
      <c r="A1842" s="7">
        <v>1841</v>
      </c>
      <c r="B1842" s="6">
        <v>48</v>
      </c>
      <c r="C1842" s="17">
        <v>3712121</v>
      </c>
      <c r="D1842" t="s">
        <v>75</v>
      </c>
      <c r="E1842" s="17">
        <v>39</v>
      </c>
      <c r="F1842" s="10" t="s">
        <v>13</v>
      </c>
      <c r="I1842" s="39"/>
      <c r="J1842" s="138" t="s">
        <v>1292</v>
      </c>
      <c r="K1842" s="138" t="s">
        <v>1292</v>
      </c>
      <c r="L1842" s="138" t="s">
        <v>1292</v>
      </c>
      <c r="M1842" s="33"/>
      <c r="N1842" s="83" t="s">
        <v>1292</v>
      </c>
      <c r="P1842" t="str">
        <f>VLOOKUP(B1842,PTN!A:B,2,FALSE)</f>
        <v>UNIVERSITAS JEMBER</v>
      </c>
      <c r="Q1842" t="str">
        <f t="shared" si="28"/>
        <v>UNIVERSITAS JEMBERPENDIDIKAN SEJARAH</v>
      </c>
    </row>
    <row r="1843" spans="1:17" ht="15.75" thickBot="1" x14ac:dyDescent="0.3">
      <c r="A1843" s="7">
        <v>1842</v>
      </c>
      <c r="B1843" s="6">
        <v>48</v>
      </c>
      <c r="C1843" s="18">
        <v>3712202</v>
      </c>
      <c r="D1843" t="s">
        <v>559</v>
      </c>
      <c r="E1843" s="18">
        <v>39</v>
      </c>
      <c r="F1843" s="10" t="s">
        <v>13</v>
      </c>
      <c r="I1843" s="38"/>
      <c r="J1843" s="138" t="s">
        <v>1292</v>
      </c>
      <c r="K1843" s="138" t="s">
        <v>1292</v>
      </c>
      <c r="L1843" s="138" t="s">
        <v>1292</v>
      </c>
      <c r="M1843" s="32"/>
      <c r="N1843" s="83" t="s">
        <v>1292</v>
      </c>
      <c r="P1843" t="str">
        <f>VLOOKUP(B1843,PTN!A:B,2,FALSE)</f>
        <v>UNIVERSITAS JEMBER</v>
      </c>
      <c r="Q1843" t="str">
        <f t="shared" si="28"/>
        <v>UNIVERSITAS JEMBERPG PAUD</v>
      </c>
    </row>
    <row r="1844" spans="1:17" ht="15.75" thickBot="1" x14ac:dyDescent="0.3">
      <c r="A1844" s="7">
        <v>1843</v>
      </c>
      <c r="B1844" s="6">
        <v>48</v>
      </c>
      <c r="C1844" s="17">
        <v>3712175</v>
      </c>
      <c r="D1844" t="s">
        <v>62</v>
      </c>
      <c r="E1844" s="17">
        <v>30</v>
      </c>
      <c r="F1844" s="10" t="s">
        <v>13</v>
      </c>
      <c r="I1844" s="39"/>
      <c r="J1844" s="138" t="s">
        <v>1292</v>
      </c>
      <c r="K1844" s="138" t="s">
        <v>1292</v>
      </c>
      <c r="L1844" s="138" t="s">
        <v>1292</v>
      </c>
      <c r="M1844" s="33"/>
      <c r="N1844" s="83" t="s">
        <v>1292</v>
      </c>
      <c r="P1844" t="str">
        <f>VLOOKUP(B1844,PTN!A:B,2,FALSE)</f>
        <v>UNIVERSITAS JEMBER</v>
      </c>
      <c r="Q1844" t="str">
        <f t="shared" si="28"/>
        <v>UNIVERSITAS JEMBERSASTRA INDONESIA</v>
      </c>
    </row>
    <row r="1845" spans="1:17" ht="15.75" thickBot="1" x14ac:dyDescent="0.3">
      <c r="A1845" s="7">
        <v>1844</v>
      </c>
      <c r="B1845" s="6">
        <v>48</v>
      </c>
      <c r="C1845" s="18">
        <v>3712167</v>
      </c>
      <c r="D1845" t="s">
        <v>139</v>
      </c>
      <c r="E1845" s="18">
        <v>30</v>
      </c>
      <c r="F1845" s="10" t="s">
        <v>13</v>
      </c>
      <c r="I1845" s="38"/>
      <c r="J1845" s="138">
        <v>580.63</v>
      </c>
      <c r="K1845" s="138">
        <v>588.76773000000003</v>
      </c>
      <c r="L1845" s="138">
        <v>572.49226999999996</v>
      </c>
      <c r="M1845" s="32"/>
      <c r="N1845" s="83">
        <v>580.63</v>
      </c>
      <c r="P1845" t="str">
        <f>VLOOKUP(B1845,PTN!A:B,2,FALSE)</f>
        <v>UNIVERSITAS JEMBER</v>
      </c>
      <c r="Q1845" t="str">
        <f t="shared" si="28"/>
        <v>UNIVERSITAS JEMBERSASTRA INGGRIS</v>
      </c>
    </row>
    <row r="1846" spans="1:17" ht="15.75" thickBot="1" x14ac:dyDescent="0.3">
      <c r="A1846" s="7">
        <v>1845</v>
      </c>
      <c r="B1846" s="6">
        <v>48</v>
      </c>
      <c r="C1846" s="17">
        <v>3712063</v>
      </c>
      <c r="D1846" t="s">
        <v>63</v>
      </c>
      <c r="E1846" s="17">
        <v>45</v>
      </c>
      <c r="F1846" s="10" t="s">
        <v>13</v>
      </c>
      <c r="I1846" s="39"/>
      <c r="J1846" s="138" t="s">
        <v>1292</v>
      </c>
      <c r="K1846" s="138" t="s">
        <v>1292</v>
      </c>
      <c r="L1846" s="138" t="s">
        <v>1292</v>
      </c>
      <c r="M1846" s="33"/>
      <c r="N1846" s="83" t="s">
        <v>1292</v>
      </c>
      <c r="P1846" t="str">
        <f>VLOOKUP(B1846,PTN!A:B,2,FALSE)</f>
        <v>UNIVERSITAS JEMBER</v>
      </c>
      <c r="Q1846" t="str">
        <f t="shared" si="28"/>
        <v>UNIVERSITAS JEMBERSOSIOLOGI</v>
      </c>
    </row>
    <row r="1847" spans="1:17" ht="15.75" thickBot="1" x14ac:dyDescent="0.3">
      <c r="A1847" s="7">
        <v>1846</v>
      </c>
      <c r="B1847" s="6">
        <v>48</v>
      </c>
      <c r="C1847" s="35">
        <v>3712191</v>
      </c>
      <c r="D1847" t="s">
        <v>560</v>
      </c>
      <c r="E1847" s="35">
        <v>30</v>
      </c>
      <c r="F1847" s="10" t="s">
        <v>13</v>
      </c>
      <c r="I1847" s="38"/>
      <c r="J1847" s="138" t="s">
        <v>1292</v>
      </c>
      <c r="K1847" s="138" t="s">
        <v>1292</v>
      </c>
      <c r="L1847" s="138" t="s">
        <v>1292</v>
      </c>
      <c r="M1847" s="32"/>
      <c r="N1847" s="83" t="s">
        <v>1292</v>
      </c>
      <c r="P1847" t="str">
        <f>VLOOKUP(B1847,PTN!A:B,2,FALSE)</f>
        <v>UNIVERSITAS JEMBER</v>
      </c>
      <c r="Q1847" t="str">
        <f t="shared" si="28"/>
        <v>UNIVERSITAS JEMBERTELEVISI &amp; FILM</v>
      </c>
    </row>
    <row r="1848" spans="1:17" ht="16.5" thickTop="1" thickBot="1" x14ac:dyDescent="0.3">
      <c r="A1848" s="7">
        <v>1847</v>
      </c>
      <c r="B1848" s="6">
        <v>50</v>
      </c>
      <c r="C1848" s="12">
        <v>3731145</v>
      </c>
      <c r="D1848" t="s">
        <v>21</v>
      </c>
      <c r="E1848" s="12">
        <v>22</v>
      </c>
      <c r="F1848" s="10" t="s">
        <v>20</v>
      </c>
      <c r="I1848" s="20"/>
      <c r="J1848" s="138">
        <v>597.97</v>
      </c>
      <c r="K1848" s="138">
        <v>605.94000000000005</v>
      </c>
      <c r="L1848" s="138">
        <v>590</v>
      </c>
      <c r="M1848" s="21"/>
      <c r="N1848" s="83">
        <v>597.97</v>
      </c>
      <c r="P1848" t="str">
        <f>VLOOKUP(B1848,PTN!A:B,2,FALSE)</f>
        <v>UNIVERSITAS NEGERI MALANG</v>
      </c>
      <c r="Q1848" t="str">
        <f t="shared" si="28"/>
        <v>UNIVERSITAS NEGERI MALANGBIOLOGI</v>
      </c>
    </row>
    <row r="1849" spans="1:17" ht="15.75" thickBot="1" x14ac:dyDescent="0.3">
      <c r="A1849" s="7">
        <v>1848</v>
      </c>
      <c r="B1849" s="6">
        <v>50</v>
      </c>
      <c r="C1849" s="13">
        <v>3731122</v>
      </c>
      <c r="D1849" t="s">
        <v>65</v>
      </c>
      <c r="E1849" s="13">
        <v>24</v>
      </c>
      <c r="F1849" s="10" t="s">
        <v>20</v>
      </c>
      <c r="I1849" s="22"/>
      <c r="J1849" s="138" t="s">
        <v>1292</v>
      </c>
      <c r="K1849" s="138" t="s">
        <v>1292</v>
      </c>
      <c r="L1849" s="138" t="s">
        <v>1292</v>
      </c>
      <c r="M1849" s="21"/>
      <c r="N1849" s="83" t="s">
        <v>1292</v>
      </c>
      <c r="P1849" t="str">
        <f>VLOOKUP(B1849,PTN!A:B,2,FALSE)</f>
        <v>UNIVERSITAS NEGERI MALANG</v>
      </c>
      <c r="Q1849" t="str">
        <f t="shared" si="28"/>
        <v>UNIVERSITAS NEGERI MALANGFISIKA</v>
      </c>
    </row>
    <row r="1850" spans="1:17" ht="16.5" thickTop="1" thickBot="1" x14ac:dyDescent="0.3">
      <c r="A1850" s="7">
        <v>1849</v>
      </c>
      <c r="B1850" s="6">
        <v>50</v>
      </c>
      <c r="C1850" s="12">
        <v>3731106</v>
      </c>
      <c r="D1850" t="s">
        <v>114</v>
      </c>
      <c r="E1850" s="12">
        <v>17</v>
      </c>
      <c r="F1850" s="10" t="s">
        <v>20</v>
      </c>
      <c r="I1850" s="23"/>
      <c r="J1850" s="138" t="s">
        <v>1292</v>
      </c>
      <c r="K1850" s="138" t="s">
        <v>1292</v>
      </c>
      <c r="L1850" s="138" t="s">
        <v>1292</v>
      </c>
      <c r="M1850" s="25"/>
      <c r="N1850" s="83" t="s">
        <v>1292</v>
      </c>
      <c r="P1850" t="str">
        <f>VLOOKUP(B1850,PTN!A:B,2,FALSE)</f>
        <v>UNIVERSITAS NEGERI MALANG</v>
      </c>
      <c r="Q1850" t="str">
        <f t="shared" si="28"/>
        <v>UNIVERSITAS NEGERI MALANGILMU KEOLAHRAGAAN</v>
      </c>
    </row>
    <row r="1851" spans="1:17" ht="16.5" thickTop="1" thickBot="1" x14ac:dyDescent="0.3">
      <c r="A1851" s="7">
        <v>1850</v>
      </c>
      <c r="B1851" s="6">
        <v>50</v>
      </c>
      <c r="C1851" s="13">
        <v>3731184</v>
      </c>
      <c r="D1851" t="s">
        <v>110</v>
      </c>
      <c r="E1851" s="13">
        <v>32</v>
      </c>
      <c r="F1851" s="10" t="s">
        <v>20</v>
      </c>
      <c r="I1851" s="26"/>
      <c r="J1851" s="138">
        <v>598.79</v>
      </c>
      <c r="K1851" s="138">
        <v>607.52</v>
      </c>
      <c r="L1851" s="138">
        <v>590.05999999999995</v>
      </c>
      <c r="M1851" s="27"/>
      <c r="N1851" s="83">
        <v>598.79</v>
      </c>
      <c r="P1851" t="str">
        <f>VLOOKUP(B1851,PTN!A:B,2,FALSE)</f>
        <v>UNIVERSITAS NEGERI MALANG</v>
      </c>
      <c r="Q1851" t="str">
        <f t="shared" si="28"/>
        <v>UNIVERSITAS NEGERI MALANGILMU KESEHATAN MASYARAKAT</v>
      </c>
    </row>
    <row r="1852" spans="1:17" ht="15.75" thickBot="1" x14ac:dyDescent="0.3">
      <c r="A1852" s="7">
        <v>1851</v>
      </c>
      <c r="B1852" s="6">
        <v>50</v>
      </c>
      <c r="C1852" s="12">
        <v>3731137</v>
      </c>
      <c r="D1852" t="s">
        <v>22</v>
      </c>
      <c r="E1852" s="12">
        <v>22</v>
      </c>
      <c r="F1852" s="10" t="s">
        <v>20</v>
      </c>
      <c r="I1852" s="87"/>
      <c r="J1852" s="138">
        <v>605.77</v>
      </c>
      <c r="K1852" s="138">
        <v>612.16</v>
      </c>
      <c r="L1852" s="138">
        <v>599.38</v>
      </c>
      <c r="M1852" s="28"/>
      <c r="N1852" s="83">
        <v>605.77</v>
      </c>
      <c r="P1852" t="str">
        <f>VLOOKUP(B1852,PTN!A:B,2,FALSE)</f>
        <v>UNIVERSITAS NEGERI MALANG</v>
      </c>
      <c r="Q1852" t="str">
        <f t="shared" si="28"/>
        <v>UNIVERSITAS NEGERI MALANGKIMIA</v>
      </c>
    </row>
    <row r="1853" spans="1:17" ht="15.75" thickBot="1" x14ac:dyDescent="0.3">
      <c r="A1853" s="7">
        <v>1852</v>
      </c>
      <c r="B1853" s="6">
        <v>50</v>
      </c>
      <c r="C1853" s="13">
        <v>3731114</v>
      </c>
      <c r="D1853" t="s">
        <v>66</v>
      </c>
      <c r="E1853" s="13">
        <v>28</v>
      </c>
      <c r="F1853" s="10" t="s">
        <v>20</v>
      </c>
      <c r="I1853" s="26"/>
      <c r="J1853" s="138">
        <v>614.89</v>
      </c>
      <c r="K1853" s="138">
        <v>623.05499999999995</v>
      </c>
      <c r="L1853" s="138">
        <v>606.72500000000002</v>
      </c>
      <c r="M1853" s="27"/>
      <c r="N1853" s="83">
        <v>614.89</v>
      </c>
      <c r="P1853" t="str">
        <f>VLOOKUP(B1853,PTN!A:B,2,FALSE)</f>
        <v>UNIVERSITAS NEGERI MALANG</v>
      </c>
      <c r="Q1853" t="str">
        <f t="shared" si="28"/>
        <v>UNIVERSITAS NEGERI MALANGMATEMATIKA</v>
      </c>
    </row>
    <row r="1854" spans="1:17" ht="15.75" thickBot="1" x14ac:dyDescent="0.3">
      <c r="A1854" s="7">
        <v>1853</v>
      </c>
      <c r="B1854" s="6">
        <v>50</v>
      </c>
      <c r="C1854" s="12">
        <v>3731041</v>
      </c>
      <c r="D1854" t="s">
        <v>67</v>
      </c>
      <c r="E1854" s="12">
        <v>22</v>
      </c>
      <c r="F1854" s="10" t="s">
        <v>20</v>
      </c>
      <c r="I1854" s="87"/>
      <c r="J1854" s="138" t="s">
        <v>1292</v>
      </c>
      <c r="K1854" s="138" t="s">
        <v>1292</v>
      </c>
      <c r="L1854" s="138" t="s">
        <v>1292</v>
      </c>
      <c r="M1854" s="28"/>
      <c r="N1854" s="83" t="s">
        <v>1292</v>
      </c>
      <c r="P1854" t="str">
        <f>VLOOKUP(B1854,PTN!A:B,2,FALSE)</f>
        <v>UNIVERSITAS NEGERI MALANG</v>
      </c>
      <c r="Q1854" t="str">
        <f t="shared" si="28"/>
        <v>UNIVERSITAS NEGERI MALANGPENDIDIKAN BIOLOGI</v>
      </c>
    </row>
    <row r="1855" spans="1:17" ht="15.75" thickBot="1" x14ac:dyDescent="0.3">
      <c r="A1855" s="7">
        <v>1854</v>
      </c>
      <c r="B1855" s="6">
        <v>50</v>
      </c>
      <c r="C1855" s="13">
        <v>3731025</v>
      </c>
      <c r="D1855" t="s">
        <v>42</v>
      </c>
      <c r="E1855" s="13">
        <v>22</v>
      </c>
      <c r="F1855" s="10" t="s">
        <v>20</v>
      </c>
      <c r="I1855" s="26"/>
      <c r="J1855" s="138" t="s">
        <v>1292</v>
      </c>
      <c r="K1855" s="138" t="s">
        <v>1292</v>
      </c>
      <c r="L1855" s="138" t="s">
        <v>1292</v>
      </c>
      <c r="M1855" s="27"/>
      <c r="N1855" s="83" t="s">
        <v>1292</v>
      </c>
      <c r="P1855" t="str">
        <f>VLOOKUP(B1855,PTN!A:B,2,FALSE)</f>
        <v>UNIVERSITAS NEGERI MALANG</v>
      </c>
      <c r="Q1855" t="str">
        <f t="shared" si="28"/>
        <v>UNIVERSITAS NEGERI MALANGPENDIDIKAN FISIKA</v>
      </c>
    </row>
    <row r="1856" spans="1:17" ht="15.75" thickBot="1" x14ac:dyDescent="0.3">
      <c r="A1856" s="7">
        <v>1855</v>
      </c>
      <c r="B1856" s="6">
        <v>50</v>
      </c>
      <c r="C1856" s="12">
        <v>3731176</v>
      </c>
      <c r="D1856" t="s">
        <v>176</v>
      </c>
      <c r="E1856" s="12">
        <v>21</v>
      </c>
      <c r="F1856" s="10" t="s">
        <v>20</v>
      </c>
      <c r="I1856" s="87"/>
      <c r="J1856" s="138" t="s">
        <v>1292</v>
      </c>
      <c r="K1856" s="138" t="s">
        <v>1292</v>
      </c>
      <c r="L1856" s="138" t="s">
        <v>1292</v>
      </c>
      <c r="M1856" s="28"/>
      <c r="N1856" s="83" t="s">
        <v>1292</v>
      </c>
      <c r="P1856" t="str">
        <f>VLOOKUP(B1856,PTN!A:B,2,FALSE)</f>
        <v>UNIVERSITAS NEGERI MALANG</v>
      </c>
      <c r="Q1856" t="str">
        <f t="shared" si="28"/>
        <v>UNIVERSITAS NEGERI MALANGPENDIDIKAN ILMU PENGETAHUAN ALAM</v>
      </c>
    </row>
    <row r="1857" spans="1:17" ht="15.75" thickBot="1" x14ac:dyDescent="0.3">
      <c r="A1857" s="7">
        <v>1856</v>
      </c>
      <c r="B1857" s="6">
        <v>50</v>
      </c>
      <c r="C1857" s="13">
        <v>3731033</v>
      </c>
      <c r="D1857" t="s">
        <v>43</v>
      </c>
      <c r="E1857" s="13">
        <v>22</v>
      </c>
      <c r="F1857" s="10" t="s">
        <v>20</v>
      </c>
      <c r="I1857" s="26"/>
      <c r="J1857" s="138">
        <v>604.08000000000004</v>
      </c>
      <c r="K1857" s="138">
        <v>610.58000000000004</v>
      </c>
      <c r="L1857" s="138">
        <v>597.58000000000004</v>
      </c>
      <c r="M1857" s="27"/>
      <c r="N1857" s="83">
        <v>604.08000000000004</v>
      </c>
      <c r="P1857" t="str">
        <f>VLOOKUP(B1857,PTN!A:B,2,FALSE)</f>
        <v>UNIVERSITAS NEGERI MALANG</v>
      </c>
      <c r="Q1857" t="str">
        <f t="shared" si="28"/>
        <v>UNIVERSITAS NEGERI MALANGPENDIDIKAN KIMIA</v>
      </c>
    </row>
    <row r="1858" spans="1:17" ht="15.75" thickBot="1" x14ac:dyDescent="0.3">
      <c r="A1858" s="7">
        <v>1857</v>
      </c>
      <c r="B1858" s="6">
        <v>50</v>
      </c>
      <c r="C1858" s="12">
        <v>3731017</v>
      </c>
      <c r="D1858" t="s">
        <v>44</v>
      </c>
      <c r="E1858" s="12">
        <v>28</v>
      </c>
      <c r="F1858" s="10" t="s">
        <v>20</v>
      </c>
      <c r="I1858" s="87"/>
      <c r="J1858" s="138">
        <v>625.57000000000005</v>
      </c>
      <c r="K1858" s="138">
        <v>635.92000000000007</v>
      </c>
      <c r="L1858" s="138">
        <v>615.22</v>
      </c>
      <c r="M1858" s="28"/>
      <c r="N1858" s="83">
        <v>625.57000000000005</v>
      </c>
      <c r="P1858" t="str">
        <f>VLOOKUP(B1858,PTN!A:B,2,FALSE)</f>
        <v>UNIVERSITAS NEGERI MALANG</v>
      </c>
      <c r="Q1858" t="str">
        <f t="shared" si="28"/>
        <v>UNIVERSITAS NEGERI MALANGPENDIDIKAN MATEMATIKA</v>
      </c>
    </row>
    <row r="1859" spans="1:17" ht="15.75" thickBot="1" x14ac:dyDescent="0.3">
      <c r="A1859" s="7">
        <v>1858</v>
      </c>
      <c r="B1859" s="6">
        <v>50</v>
      </c>
      <c r="C1859" s="13">
        <v>3731072</v>
      </c>
      <c r="D1859" t="s">
        <v>116</v>
      </c>
      <c r="E1859" s="13">
        <v>20</v>
      </c>
      <c r="F1859" s="10" t="s">
        <v>20</v>
      </c>
      <c r="I1859" s="26"/>
      <c r="J1859" s="138" t="s">
        <v>1292</v>
      </c>
      <c r="K1859" s="138" t="s">
        <v>1292</v>
      </c>
      <c r="L1859" s="138" t="s">
        <v>1292</v>
      </c>
      <c r="M1859" s="27"/>
      <c r="N1859" s="83" t="s">
        <v>1292</v>
      </c>
      <c r="P1859" t="str">
        <f>VLOOKUP(B1859,PTN!A:B,2,FALSE)</f>
        <v>UNIVERSITAS NEGERI MALANG</v>
      </c>
      <c r="Q1859" t="str">
        <f t="shared" ref="Q1859:Q1922" si="29">P1859&amp;D1859</f>
        <v>UNIVERSITAS NEGERI MALANGPENDIDIKAN TEKNIK BANGUNAN</v>
      </c>
    </row>
    <row r="1860" spans="1:17" ht="15.75" thickBot="1" x14ac:dyDescent="0.3">
      <c r="A1860" s="7">
        <v>1859</v>
      </c>
      <c r="B1860" s="6">
        <v>50</v>
      </c>
      <c r="C1860" s="12">
        <v>3731153</v>
      </c>
      <c r="D1860" t="s">
        <v>23</v>
      </c>
      <c r="E1860" s="12">
        <v>18</v>
      </c>
      <c r="F1860" s="10" t="s">
        <v>20</v>
      </c>
      <c r="I1860" s="87"/>
      <c r="J1860" s="138" t="s">
        <v>1292</v>
      </c>
      <c r="K1860" s="138" t="s">
        <v>1292</v>
      </c>
      <c r="L1860" s="138" t="s">
        <v>1292</v>
      </c>
      <c r="M1860" s="28"/>
      <c r="N1860" s="83" t="s">
        <v>1292</v>
      </c>
      <c r="P1860" t="str">
        <f>VLOOKUP(B1860,PTN!A:B,2,FALSE)</f>
        <v>UNIVERSITAS NEGERI MALANG</v>
      </c>
      <c r="Q1860" t="str">
        <f t="shared" si="29"/>
        <v>UNIVERSITAS NEGERI MALANGPENDIDIKAN TEKNIK ELEKTRO</v>
      </c>
    </row>
    <row r="1861" spans="1:17" ht="15.75" thickBot="1" x14ac:dyDescent="0.3">
      <c r="A1861" s="7">
        <v>1860</v>
      </c>
      <c r="B1861" s="6">
        <v>50</v>
      </c>
      <c r="C1861" s="13">
        <v>3731087</v>
      </c>
      <c r="D1861" t="s">
        <v>502</v>
      </c>
      <c r="E1861" s="13">
        <v>18</v>
      </c>
      <c r="F1861" s="10" t="s">
        <v>20</v>
      </c>
      <c r="I1861" s="26"/>
      <c r="J1861" s="138" t="s">
        <v>1292</v>
      </c>
      <c r="K1861" s="138" t="s">
        <v>1292</v>
      </c>
      <c r="L1861" s="138" t="s">
        <v>1292</v>
      </c>
      <c r="M1861" s="27"/>
      <c r="N1861" s="83" t="s">
        <v>1292</v>
      </c>
      <c r="P1861" t="str">
        <f>VLOOKUP(B1861,PTN!A:B,2,FALSE)</f>
        <v>UNIVERSITAS NEGERI MALANG</v>
      </c>
      <c r="Q1861" t="str">
        <f t="shared" si="29"/>
        <v>UNIVERSITAS NEGERI MALANGPENDIDIKAN TEKNIK INFORMATIKA</v>
      </c>
    </row>
    <row r="1862" spans="1:17" ht="15.75" thickBot="1" x14ac:dyDescent="0.3">
      <c r="A1862" s="7">
        <v>1861</v>
      </c>
      <c r="B1862" s="6">
        <v>50</v>
      </c>
      <c r="C1862" s="12">
        <v>3731064</v>
      </c>
      <c r="D1862" t="s">
        <v>45</v>
      </c>
      <c r="E1862" s="12">
        <v>20</v>
      </c>
      <c r="F1862" s="10" t="s">
        <v>20</v>
      </c>
      <c r="I1862" s="87"/>
      <c r="J1862" s="138" t="s">
        <v>1292</v>
      </c>
      <c r="K1862" s="138" t="s">
        <v>1292</v>
      </c>
      <c r="L1862" s="138" t="s">
        <v>1292</v>
      </c>
      <c r="M1862" s="28"/>
      <c r="N1862" s="83" t="s">
        <v>1292</v>
      </c>
      <c r="P1862" t="str">
        <f>VLOOKUP(B1862,PTN!A:B,2,FALSE)</f>
        <v>UNIVERSITAS NEGERI MALANG</v>
      </c>
      <c r="Q1862" t="str">
        <f t="shared" si="29"/>
        <v>UNIVERSITAS NEGERI MALANGPENDIDIKAN TEKNIK MESIN</v>
      </c>
    </row>
    <row r="1863" spans="1:17" ht="15.75" thickBot="1" x14ac:dyDescent="0.3">
      <c r="A1863" s="7">
        <v>1862</v>
      </c>
      <c r="B1863" s="6">
        <v>50</v>
      </c>
      <c r="C1863" s="13">
        <v>3731095</v>
      </c>
      <c r="D1863" t="s">
        <v>117</v>
      </c>
      <c r="E1863" s="13">
        <v>20</v>
      </c>
      <c r="F1863" s="10" t="s">
        <v>20</v>
      </c>
      <c r="I1863" s="26"/>
      <c r="J1863" s="138" t="s">
        <v>1292</v>
      </c>
      <c r="K1863" s="138" t="s">
        <v>1292</v>
      </c>
      <c r="L1863" s="138" t="s">
        <v>1292</v>
      </c>
      <c r="M1863" s="27"/>
      <c r="N1863" s="83" t="s">
        <v>1292</v>
      </c>
      <c r="P1863" t="str">
        <f>VLOOKUP(B1863,PTN!A:B,2,FALSE)</f>
        <v>UNIVERSITAS NEGERI MALANG</v>
      </c>
      <c r="Q1863" t="str">
        <f t="shared" si="29"/>
        <v>UNIVERSITAS NEGERI MALANGPENDIDIKAN TEKNIK OTOMOTIF</v>
      </c>
    </row>
    <row r="1864" spans="1:17" ht="15.75" thickBot="1" x14ac:dyDescent="0.3">
      <c r="A1864" s="7">
        <v>1863</v>
      </c>
      <c r="B1864" s="6">
        <v>50</v>
      </c>
      <c r="C1864" s="12">
        <v>3731203</v>
      </c>
      <c r="D1864" t="s">
        <v>48</v>
      </c>
      <c r="E1864" s="12">
        <v>18</v>
      </c>
      <c r="F1864" s="10" t="s">
        <v>20</v>
      </c>
      <c r="I1864" s="87"/>
      <c r="J1864" s="138">
        <v>603.66999999999996</v>
      </c>
      <c r="K1864" s="138">
        <v>609.875</v>
      </c>
      <c r="L1864" s="138">
        <v>597.46499999999992</v>
      </c>
      <c r="M1864" s="28"/>
      <c r="N1864" s="83">
        <v>603.66999999999996</v>
      </c>
      <c r="P1864" t="str">
        <f>VLOOKUP(B1864,PTN!A:B,2,FALSE)</f>
        <v>UNIVERSITAS NEGERI MALANG</v>
      </c>
      <c r="Q1864" t="str">
        <f t="shared" si="29"/>
        <v>UNIVERSITAS NEGERI MALANGTEKNIK ELEKTRO</v>
      </c>
    </row>
    <row r="1865" spans="1:17" ht="15.75" thickBot="1" x14ac:dyDescent="0.3">
      <c r="A1865" s="7">
        <v>1864</v>
      </c>
      <c r="B1865" s="6">
        <v>50</v>
      </c>
      <c r="C1865" s="13">
        <v>3731226</v>
      </c>
      <c r="D1865" t="s">
        <v>49</v>
      </c>
      <c r="E1865" s="13">
        <v>12</v>
      </c>
      <c r="F1865" s="10" t="s">
        <v>20</v>
      </c>
      <c r="I1865" s="26"/>
      <c r="J1865" s="138">
        <v>597.91</v>
      </c>
      <c r="K1865" s="138">
        <v>604.58499999999992</v>
      </c>
      <c r="L1865" s="138">
        <v>591.23500000000001</v>
      </c>
      <c r="M1865" s="27"/>
      <c r="N1865" s="83">
        <v>597.91</v>
      </c>
      <c r="P1865" t="str">
        <f>VLOOKUP(B1865,PTN!A:B,2,FALSE)</f>
        <v>UNIVERSITAS NEGERI MALANG</v>
      </c>
      <c r="Q1865" t="str">
        <f t="shared" si="29"/>
        <v>UNIVERSITAS NEGERI MALANGTEKNIK INDUSTRI</v>
      </c>
    </row>
    <row r="1866" spans="1:17" ht="15.75" thickBot="1" x14ac:dyDescent="0.3">
      <c r="A1866" s="7">
        <v>1865</v>
      </c>
      <c r="B1866" s="6">
        <v>50</v>
      </c>
      <c r="C1866" s="12">
        <v>3731211</v>
      </c>
      <c r="D1866" t="s">
        <v>50</v>
      </c>
      <c r="E1866" s="12">
        <v>18</v>
      </c>
      <c r="F1866" s="10" t="s">
        <v>20</v>
      </c>
      <c r="I1866" s="87"/>
      <c r="J1866" s="138">
        <v>617.85</v>
      </c>
      <c r="K1866" s="138">
        <v>623.15</v>
      </c>
      <c r="L1866" s="138">
        <v>612.55000000000007</v>
      </c>
      <c r="M1866" s="28"/>
      <c r="N1866" s="83">
        <v>617.85</v>
      </c>
      <c r="P1866" t="str">
        <f>VLOOKUP(B1866,PTN!A:B,2,FALSE)</f>
        <v>UNIVERSITAS NEGERI MALANG</v>
      </c>
      <c r="Q1866" t="str">
        <f t="shared" si="29"/>
        <v>UNIVERSITAS NEGERI MALANGTEKNIK INFORMATIKA</v>
      </c>
    </row>
    <row r="1867" spans="1:17" ht="15.75" thickBot="1" x14ac:dyDescent="0.3">
      <c r="A1867" s="7">
        <v>1866</v>
      </c>
      <c r="B1867" s="6">
        <v>50</v>
      </c>
      <c r="C1867" s="13">
        <v>3731192</v>
      </c>
      <c r="D1867" t="s">
        <v>53</v>
      </c>
      <c r="E1867" s="13">
        <v>12</v>
      </c>
      <c r="F1867" s="10" t="s">
        <v>20</v>
      </c>
      <c r="I1867" s="26"/>
      <c r="J1867" s="138">
        <v>603.14</v>
      </c>
      <c r="K1867" s="138">
        <v>612.79</v>
      </c>
      <c r="L1867" s="138">
        <v>593.49</v>
      </c>
      <c r="M1867" s="27"/>
      <c r="N1867" s="83">
        <v>603.14</v>
      </c>
      <c r="P1867" t="str">
        <f>VLOOKUP(B1867,PTN!A:B,2,FALSE)</f>
        <v>UNIVERSITAS NEGERI MALANG</v>
      </c>
      <c r="Q1867" t="str">
        <f t="shared" si="29"/>
        <v>UNIVERSITAS NEGERI MALANGTEKNIK MESIN</v>
      </c>
    </row>
    <row r="1868" spans="1:17" ht="15.75" thickBot="1" x14ac:dyDescent="0.3">
      <c r="A1868" s="7">
        <v>1867</v>
      </c>
      <c r="B1868" s="6">
        <v>50</v>
      </c>
      <c r="C1868" s="14">
        <v>3731161</v>
      </c>
      <c r="D1868" t="s">
        <v>54</v>
      </c>
      <c r="E1868" s="14">
        <v>28</v>
      </c>
      <c r="F1868" s="10" t="s">
        <v>20</v>
      </c>
      <c r="I1868" s="20"/>
      <c r="J1868" s="138">
        <v>612.14</v>
      </c>
      <c r="K1868" s="138">
        <v>618.82499999999993</v>
      </c>
      <c r="L1868" s="138">
        <v>605.45500000000004</v>
      </c>
      <c r="M1868" s="21"/>
      <c r="N1868" s="83">
        <v>612.14</v>
      </c>
      <c r="P1868" t="str">
        <f>VLOOKUP(B1868,PTN!A:B,2,FALSE)</f>
        <v>UNIVERSITAS NEGERI MALANG</v>
      </c>
      <c r="Q1868" t="str">
        <f t="shared" si="29"/>
        <v>UNIVERSITAS NEGERI MALANGTEKNIK SIPIL</v>
      </c>
    </row>
    <row r="1869" spans="1:17" ht="16.5" thickTop="1" thickBot="1" x14ac:dyDescent="0.3">
      <c r="A1869" s="7">
        <v>1868</v>
      </c>
      <c r="B1869" s="6">
        <v>50</v>
      </c>
      <c r="C1869" s="12">
        <v>3732052</v>
      </c>
      <c r="D1869" t="s">
        <v>183</v>
      </c>
      <c r="E1869" s="12">
        <v>21</v>
      </c>
      <c r="F1869" s="10" t="s">
        <v>13</v>
      </c>
      <c r="I1869" s="22"/>
      <c r="J1869" s="138" t="s">
        <v>1292</v>
      </c>
      <c r="K1869" s="138" t="s">
        <v>1292</v>
      </c>
      <c r="L1869" s="138" t="s">
        <v>1292</v>
      </c>
      <c r="M1869" s="21"/>
      <c r="N1869" s="83" t="s">
        <v>1292</v>
      </c>
      <c r="P1869" t="str">
        <f>VLOOKUP(B1869,PTN!A:B,2,FALSE)</f>
        <v>UNIVERSITAS NEGERI MALANG</v>
      </c>
      <c r="Q1869" t="str">
        <f t="shared" si="29"/>
        <v>UNIVERSITAS NEGERI MALANGADMINISTRASI PENDIDIKAN</v>
      </c>
    </row>
    <row r="1870" spans="1:17" ht="16.5" thickTop="1" thickBot="1" x14ac:dyDescent="0.3">
      <c r="A1870" s="7">
        <v>1869</v>
      </c>
      <c r="B1870" s="6">
        <v>50</v>
      </c>
      <c r="C1870" s="13">
        <v>3732276</v>
      </c>
      <c r="D1870" t="s">
        <v>55</v>
      </c>
      <c r="E1870" s="13">
        <v>40</v>
      </c>
      <c r="F1870" s="10" t="s">
        <v>13</v>
      </c>
      <c r="I1870" s="23"/>
      <c r="J1870" s="138">
        <v>605.26</v>
      </c>
      <c r="K1870" s="138">
        <v>613.39773000000002</v>
      </c>
      <c r="L1870" s="138">
        <v>597.12226999999996</v>
      </c>
      <c r="M1870" s="25"/>
      <c r="N1870" s="83">
        <v>605.26</v>
      </c>
      <c r="P1870" t="str">
        <f>VLOOKUP(B1870,PTN!A:B,2,FALSE)</f>
        <v>UNIVERSITAS NEGERI MALANG</v>
      </c>
      <c r="Q1870" t="str">
        <f t="shared" si="29"/>
        <v>UNIVERSITAS NEGERI MALANGAKUNTANSI</v>
      </c>
    </row>
    <row r="1871" spans="1:17" ht="16.5" thickTop="1" thickBot="1" x14ac:dyDescent="0.3">
      <c r="A1871" s="7">
        <v>1870</v>
      </c>
      <c r="B1871" s="6">
        <v>50</v>
      </c>
      <c r="C1871" s="12">
        <v>3732237</v>
      </c>
      <c r="D1871" t="s">
        <v>399</v>
      </c>
      <c r="E1871" s="12">
        <v>14</v>
      </c>
      <c r="F1871" s="10" t="s">
        <v>13</v>
      </c>
      <c r="I1871" s="26"/>
      <c r="J1871" s="138">
        <v>577.29</v>
      </c>
      <c r="K1871" s="138">
        <v>585.42773</v>
      </c>
      <c r="L1871" s="138">
        <v>569.15226999999993</v>
      </c>
      <c r="M1871" s="27"/>
      <c r="N1871" s="83">
        <v>577.29</v>
      </c>
      <c r="P1871" t="str">
        <f>VLOOKUP(B1871,PTN!A:B,2,FALSE)</f>
        <v>UNIVERSITAS NEGERI MALANG</v>
      </c>
      <c r="Q1871" t="str">
        <f t="shared" si="29"/>
        <v>UNIVERSITAS NEGERI MALANGBAHASA DAN SASTRA INDONESIA</v>
      </c>
    </row>
    <row r="1872" spans="1:17" ht="15.75" thickBot="1" x14ac:dyDescent="0.3">
      <c r="A1872" s="7">
        <v>1871</v>
      </c>
      <c r="B1872" s="6">
        <v>50</v>
      </c>
      <c r="C1872" s="13">
        <v>3732245</v>
      </c>
      <c r="D1872" t="s">
        <v>311</v>
      </c>
      <c r="E1872" s="13">
        <v>13</v>
      </c>
      <c r="F1872" s="10" t="s">
        <v>13</v>
      </c>
      <c r="I1872" s="87"/>
      <c r="J1872" s="138">
        <v>605.41999999999996</v>
      </c>
      <c r="K1872" s="138">
        <v>613.55772999999999</v>
      </c>
      <c r="L1872" s="138">
        <v>597.28226999999993</v>
      </c>
      <c r="M1872" s="28"/>
      <c r="N1872" s="83">
        <v>605.41999999999996</v>
      </c>
      <c r="P1872" t="str">
        <f>VLOOKUP(B1872,PTN!A:B,2,FALSE)</f>
        <v>UNIVERSITAS NEGERI MALANG</v>
      </c>
      <c r="Q1872" t="str">
        <f t="shared" si="29"/>
        <v>UNIVERSITAS NEGERI MALANGBAHASA DAN SASTRA INGGRIS</v>
      </c>
    </row>
    <row r="1873" spans="1:17" ht="15.75" thickBot="1" x14ac:dyDescent="0.3">
      <c r="A1873" s="7">
        <v>1872</v>
      </c>
      <c r="B1873" s="6">
        <v>50</v>
      </c>
      <c r="C1873" s="12">
        <v>3732013</v>
      </c>
      <c r="D1873" t="s">
        <v>187</v>
      </c>
      <c r="E1873" s="12">
        <v>21</v>
      </c>
      <c r="F1873" s="10" t="s">
        <v>13</v>
      </c>
      <c r="I1873" s="26"/>
      <c r="J1873" s="138">
        <v>571.47</v>
      </c>
      <c r="K1873" s="138">
        <v>579.60773000000006</v>
      </c>
      <c r="L1873" s="138">
        <v>563.33226999999999</v>
      </c>
      <c r="M1873" s="27"/>
      <c r="N1873" s="83">
        <v>571.47</v>
      </c>
      <c r="P1873" t="str">
        <f>VLOOKUP(B1873,PTN!A:B,2,FALSE)</f>
        <v>UNIVERSITAS NEGERI MALANG</v>
      </c>
      <c r="Q1873" t="str">
        <f t="shared" si="29"/>
        <v>UNIVERSITAS NEGERI MALANGBIMBINGAN DAN KONSELING</v>
      </c>
    </row>
    <row r="1874" spans="1:17" ht="15.75" thickBot="1" x14ac:dyDescent="0.3">
      <c r="A1874" s="7">
        <v>1873</v>
      </c>
      <c r="B1874" s="6">
        <v>50</v>
      </c>
      <c r="C1874" s="13">
        <v>3732261</v>
      </c>
      <c r="D1874" t="s">
        <v>12</v>
      </c>
      <c r="E1874" s="13">
        <v>24</v>
      </c>
      <c r="F1874" s="10" t="s">
        <v>13</v>
      </c>
      <c r="I1874" s="87"/>
      <c r="J1874" s="138">
        <v>591.29999999999995</v>
      </c>
      <c r="K1874" s="138">
        <v>599.43772999999999</v>
      </c>
      <c r="L1874" s="138">
        <v>583.16226999999992</v>
      </c>
      <c r="M1874" s="28"/>
      <c r="N1874" s="83">
        <v>591.29999999999995</v>
      </c>
      <c r="P1874" t="str">
        <f>VLOOKUP(B1874,PTN!A:B,2,FALSE)</f>
        <v>UNIVERSITAS NEGERI MALANG</v>
      </c>
      <c r="Q1874" t="str">
        <f t="shared" si="29"/>
        <v>UNIVERSITAS NEGERI MALANGDESAIN KOMUNIKASI VISUAL</v>
      </c>
    </row>
    <row r="1875" spans="1:17" ht="15.75" thickBot="1" x14ac:dyDescent="0.3">
      <c r="A1875" s="7">
        <v>1874</v>
      </c>
      <c r="B1875" s="6">
        <v>50</v>
      </c>
      <c r="C1875" s="12">
        <v>3732284</v>
      </c>
      <c r="D1875" t="s">
        <v>561</v>
      </c>
      <c r="E1875" s="12">
        <v>28</v>
      </c>
      <c r="F1875" s="10" t="s">
        <v>13</v>
      </c>
      <c r="I1875" s="26"/>
      <c r="J1875" s="138">
        <v>588.92999999999995</v>
      </c>
      <c r="K1875" s="138">
        <v>597.06772999999998</v>
      </c>
      <c r="L1875" s="138">
        <v>580.79226999999992</v>
      </c>
      <c r="M1875" s="27"/>
      <c r="N1875" s="83">
        <v>588.92999999999995</v>
      </c>
      <c r="P1875" t="str">
        <f>VLOOKUP(B1875,PTN!A:B,2,FALSE)</f>
        <v>UNIVERSITAS NEGERI MALANG</v>
      </c>
      <c r="Q1875" t="str">
        <f t="shared" si="29"/>
        <v>UNIVERSITAS NEGERI MALANGEKONOMI DAN STUDI PEMBANGUNAN</v>
      </c>
    </row>
    <row r="1876" spans="1:17" ht="15.75" thickBot="1" x14ac:dyDescent="0.3">
      <c r="A1876" s="7">
        <v>1875</v>
      </c>
      <c r="B1876" s="6">
        <v>50</v>
      </c>
      <c r="C1876" s="13">
        <v>3732357</v>
      </c>
      <c r="D1876" t="s">
        <v>290</v>
      </c>
      <c r="E1876" s="13">
        <v>16</v>
      </c>
      <c r="F1876" s="10" t="s">
        <v>13</v>
      </c>
      <c r="I1876" s="87"/>
      <c r="J1876" s="138">
        <v>596.29999999999995</v>
      </c>
      <c r="K1876" s="138">
        <v>604.43772999999999</v>
      </c>
      <c r="L1876" s="138">
        <v>588.16226999999992</v>
      </c>
      <c r="M1876" s="28"/>
      <c r="N1876" s="83">
        <v>596.29999999999995</v>
      </c>
      <c r="P1876" t="str">
        <f>VLOOKUP(B1876,PTN!A:B,2,FALSE)</f>
        <v>UNIVERSITAS NEGERI MALANG</v>
      </c>
      <c r="Q1876" t="str">
        <f t="shared" si="29"/>
        <v>UNIVERSITAS NEGERI MALANGGEOGRAFI</v>
      </c>
    </row>
    <row r="1877" spans="1:17" ht="15.75" thickBot="1" x14ac:dyDescent="0.3">
      <c r="A1877" s="7">
        <v>1876</v>
      </c>
      <c r="B1877" s="6">
        <v>50</v>
      </c>
      <c r="C1877" s="12">
        <v>3732373</v>
      </c>
      <c r="D1877" t="s">
        <v>32</v>
      </c>
      <c r="E1877" s="12">
        <v>14</v>
      </c>
      <c r="F1877" s="10" t="s">
        <v>13</v>
      </c>
      <c r="I1877" s="26"/>
      <c r="J1877" s="138">
        <v>576.74</v>
      </c>
      <c r="K1877" s="138">
        <v>584.87773000000004</v>
      </c>
      <c r="L1877" s="138">
        <v>568.60226999999998</v>
      </c>
      <c r="M1877" s="27"/>
      <c r="N1877" s="83">
        <v>576.74</v>
      </c>
      <c r="P1877" t="str">
        <f>VLOOKUP(B1877,PTN!A:B,2,FALSE)</f>
        <v>UNIVERSITAS NEGERI MALANG</v>
      </c>
      <c r="Q1877" t="str">
        <f t="shared" si="29"/>
        <v>UNIVERSITAS NEGERI MALANGILMU PERPUSTAKAAN</v>
      </c>
    </row>
    <row r="1878" spans="1:17" ht="15.75" thickBot="1" x14ac:dyDescent="0.3">
      <c r="A1878" s="7">
        <v>1877</v>
      </c>
      <c r="B1878" s="6">
        <v>50</v>
      </c>
      <c r="C1878" s="13">
        <v>3732253</v>
      </c>
      <c r="D1878" t="s">
        <v>148</v>
      </c>
      <c r="E1878" s="13">
        <v>8</v>
      </c>
      <c r="F1878" s="10" t="s">
        <v>13</v>
      </c>
      <c r="I1878" s="87"/>
      <c r="J1878" s="138">
        <v>582.12</v>
      </c>
      <c r="K1878" s="138">
        <v>590.25773000000004</v>
      </c>
      <c r="L1878" s="138">
        <v>573.98226999999997</v>
      </c>
      <c r="M1878" s="28"/>
      <c r="N1878" s="83">
        <v>582.12</v>
      </c>
      <c r="P1878" t="str">
        <f>VLOOKUP(B1878,PTN!A:B,2,FALSE)</f>
        <v>UNIVERSITAS NEGERI MALANG</v>
      </c>
      <c r="Q1878" t="str">
        <f t="shared" si="29"/>
        <v>UNIVERSITAS NEGERI MALANGILMU SEJARAH</v>
      </c>
    </row>
    <row r="1879" spans="1:17" ht="15.75" thickBot="1" x14ac:dyDescent="0.3">
      <c r="A1879" s="7">
        <v>1878</v>
      </c>
      <c r="B1879" s="6">
        <v>50</v>
      </c>
      <c r="C1879" s="12">
        <v>3732292</v>
      </c>
      <c r="D1879" t="s">
        <v>61</v>
      </c>
      <c r="E1879" s="12">
        <v>56</v>
      </c>
      <c r="F1879" s="10" t="s">
        <v>13</v>
      </c>
      <c r="I1879" s="26"/>
      <c r="J1879" s="138">
        <v>593.16999999999996</v>
      </c>
      <c r="K1879" s="138">
        <v>601.30772999999999</v>
      </c>
      <c r="L1879" s="138">
        <v>585.03226999999993</v>
      </c>
      <c r="M1879" s="27"/>
      <c r="N1879" s="83">
        <v>593.16999999999996</v>
      </c>
      <c r="P1879" t="str">
        <f>VLOOKUP(B1879,PTN!A:B,2,FALSE)</f>
        <v>UNIVERSITAS NEGERI MALANG</v>
      </c>
      <c r="Q1879" t="str">
        <f t="shared" si="29"/>
        <v>UNIVERSITAS NEGERI MALANGMANAJEMEN</v>
      </c>
    </row>
    <row r="1880" spans="1:17" ht="15.75" thickBot="1" x14ac:dyDescent="0.3">
      <c r="A1880" s="7">
        <v>1879</v>
      </c>
      <c r="B1880" s="6">
        <v>50</v>
      </c>
      <c r="C1880" s="13">
        <v>3732091</v>
      </c>
      <c r="D1880" t="s">
        <v>119</v>
      </c>
      <c r="E1880" s="13">
        <v>20</v>
      </c>
      <c r="F1880" s="10" t="s">
        <v>13</v>
      </c>
      <c r="I1880" s="87"/>
      <c r="J1880" s="138">
        <v>584.14</v>
      </c>
      <c r="K1880" s="138">
        <v>592.27773000000002</v>
      </c>
      <c r="L1880" s="138">
        <v>576.00226999999995</v>
      </c>
      <c r="M1880" s="28"/>
      <c r="N1880" s="83">
        <v>584.14</v>
      </c>
      <c r="P1880" t="str">
        <f>VLOOKUP(B1880,PTN!A:B,2,FALSE)</f>
        <v>UNIVERSITAS NEGERI MALANG</v>
      </c>
      <c r="Q1880" t="str">
        <f t="shared" si="29"/>
        <v>UNIVERSITAS NEGERI MALANGPEND. BAHASA, SASTRA INDONESIA &amp; DAERAH</v>
      </c>
    </row>
    <row r="1881" spans="1:17" ht="15.75" thickBot="1" x14ac:dyDescent="0.3">
      <c r="A1881" s="7">
        <v>1880</v>
      </c>
      <c r="B1881" s="6">
        <v>50</v>
      </c>
      <c r="C1881" s="12">
        <v>3732187</v>
      </c>
      <c r="D1881" t="s">
        <v>121</v>
      </c>
      <c r="E1881" s="12">
        <v>32</v>
      </c>
      <c r="F1881" s="10" t="s">
        <v>13</v>
      </c>
      <c r="I1881" s="26"/>
      <c r="J1881" s="138" t="s">
        <v>1292</v>
      </c>
      <c r="K1881" s="138" t="s">
        <v>1292</v>
      </c>
      <c r="L1881" s="138" t="s">
        <v>1292</v>
      </c>
      <c r="M1881" s="27"/>
      <c r="N1881" s="83" t="s">
        <v>1292</v>
      </c>
      <c r="P1881" t="str">
        <f>VLOOKUP(B1881,PTN!A:B,2,FALSE)</f>
        <v>UNIVERSITAS NEGERI MALANG</v>
      </c>
      <c r="Q1881" t="str">
        <f t="shared" si="29"/>
        <v>UNIVERSITAS NEGERI MALANGPENDIDIKAN ADMINISTRASI PERKANTORAN</v>
      </c>
    </row>
    <row r="1882" spans="1:17" ht="15.75" thickBot="1" x14ac:dyDescent="0.3">
      <c r="A1882" s="7">
        <v>1881</v>
      </c>
      <c r="B1882" s="6">
        <v>50</v>
      </c>
      <c r="C1882" s="13">
        <v>3732195</v>
      </c>
      <c r="D1882" t="s">
        <v>122</v>
      </c>
      <c r="E1882" s="13">
        <v>24</v>
      </c>
      <c r="F1882" s="10" t="s">
        <v>13</v>
      </c>
      <c r="I1882" s="87"/>
      <c r="J1882" s="138">
        <v>577.01</v>
      </c>
      <c r="K1882" s="138">
        <v>585.14773000000002</v>
      </c>
      <c r="L1882" s="138">
        <v>568.87226999999996</v>
      </c>
      <c r="M1882" s="28"/>
      <c r="N1882" s="83">
        <v>577.01</v>
      </c>
      <c r="P1882" t="str">
        <f>VLOOKUP(B1882,PTN!A:B,2,FALSE)</f>
        <v>UNIVERSITAS NEGERI MALANG</v>
      </c>
      <c r="Q1882" t="str">
        <f t="shared" si="29"/>
        <v>UNIVERSITAS NEGERI MALANGPENDIDIKAN AKUNTANSI</v>
      </c>
    </row>
    <row r="1883" spans="1:17" ht="15.75" thickBot="1" x14ac:dyDescent="0.3">
      <c r="A1883" s="7">
        <v>1882</v>
      </c>
      <c r="B1883" s="6">
        <v>50</v>
      </c>
      <c r="C1883" s="12">
        <v>3732117</v>
      </c>
      <c r="D1883" t="s">
        <v>244</v>
      </c>
      <c r="E1883" s="12">
        <v>18</v>
      </c>
      <c r="F1883" s="10" t="s">
        <v>13</v>
      </c>
      <c r="I1883" s="26"/>
      <c r="J1883" s="138" t="s">
        <v>1292</v>
      </c>
      <c r="K1883" s="138" t="s">
        <v>1292</v>
      </c>
      <c r="L1883" s="138" t="s">
        <v>1292</v>
      </c>
      <c r="M1883" s="27"/>
      <c r="N1883" s="83" t="s">
        <v>1292</v>
      </c>
      <c r="P1883" t="str">
        <f>VLOOKUP(B1883,PTN!A:B,2,FALSE)</f>
        <v>UNIVERSITAS NEGERI MALANG</v>
      </c>
      <c r="Q1883" t="str">
        <f t="shared" si="29"/>
        <v>UNIVERSITAS NEGERI MALANGPENDIDIKAN BAHASA ARAB</v>
      </c>
    </row>
    <row r="1884" spans="1:17" ht="15.75" thickBot="1" x14ac:dyDescent="0.3">
      <c r="A1884" s="7">
        <v>1883</v>
      </c>
      <c r="B1884" s="6">
        <v>50</v>
      </c>
      <c r="C1884" s="13">
        <v>3732102</v>
      </c>
      <c r="D1884" t="s">
        <v>71</v>
      </c>
      <c r="E1884" s="13">
        <v>24</v>
      </c>
      <c r="F1884" s="10" t="s">
        <v>13</v>
      </c>
      <c r="I1884" s="87"/>
      <c r="J1884" s="138">
        <v>596.22</v>
      </c>
      <c r="K1884" s="138">
        <v>604.35773000000006</v>
      </c>
      <c r="L1884" s="138">
        <v>588.08226999999999</v>
      </c>
      <c r="M1884" s="28"/>
      <c r="N1884" s="83">
        <v>596.22</v>
      </c>
      <c r="P1884" t="str">
        <f>VLOOKUP(B1884,PTN!A:B,2,FALSE)</f>
        <v>UNIVERSITAS NEGERI MALANG</v>
      </c>
      <c r="Q1884" t="str">
        <f t="shared" si="29"/>
        <v>UNIVERSITAS NEGERI MALANGPENDIDIKAN BAHASA INGGRIS</v>
      </c>
    </row>
    <row r="1885" spans="1:17" ht="15.75" thickBot="1" x14ac:dyDescent="0.3">
      <c r="A1885" s="7">
        <v>1884</v>
      </c>
      <c r="B1885" s="6">
        <v>50</v>
      </c>
      <c r="C1885" s="12">
        <v>3732133</v>
      </c>
      <c r="D1885" t="s">
        <v>124</v>
      </c>
      <c r="E1885" s="12">
        <v>15</v>
      </c>
      <c r="F1885" s="10" t="s">
        <v>13</v>
      </c>
      <c r="I1885" s="26"/>
      <c r="J1885" s="138">
        <v>570.44000000000005</v>
      </c>
      <c r="K1885" s="138">
        <v>578.57773000000009</v>
      </c>
      <c r="L1885" s="138">
        <v>562.30227000000002</v>
      </c>
      <c r="M1885" s="27"/>
      <c r="N1885" s="83">
        <v>570.44000000000005</v>
      </c>
      <c r="P1885" t="str">
        <f>VLOOKUP(B1885,PTN!A:B,2,FALSE)</f>
        <v>UNIVERSITAS NEGERI MALANG</v>
      </c>
      <c r="Q1885" t="str">
        <f t="shared" si="29"/>
        <v>UNIVERSITAS NEGERI MALANGPENDIDIKAN BAHASA JERMAN</v>
      </c>
    </row>
    <row r="1886" spans="1:17" ht="15.75" thickBot="1" x14ac:dyDescent="0.3">
      <c r="A1886" s="7">
        <v>1885</v>
      </c>
      <c r="B1886" s="6">
        <v>50</v>
      </c>
      <c r="C1886" s="13">
        <v>3732326</v>
      </c>
      <c r="D1886" t="s">
        <v>325</v>
      </c>
      <c r="E1886" s="13">
        <v>10</v>
      </c>
      <c r="F1886" s="10" t="s">
        <v>13</v>
      </c>
      <c r="I1886" s="87"/>
      <c r="J1886" s="138" t="s">
        <v>1292</v>
      </c>
      <c r="K1886" s="138" t="s">
        <v>1292</v>
      </c>
      <c r="L1886" s="138" t="s">
        <v>1292</v>
      </c>
      <c r="M1886" s="28"/>
      <c r="N1886" s="83" t="s">
        <v>1292</v>
      </c>
      <c r="P1886" t="str">
        <f>VLOOKUP(B1886,PTN!A:B,2,FALSE)</f>
        <v>UNIVERSITAS NEGERI MALANG</v>
      </c>
      <c r="Q1886" t="str">
        <f t="shared" si="29"/>
        <v>UNIVERSITAS NEGERI MALANGPENDIDIKAN BAHASA MANDARIN</v>
      </c>
    </row>
    <row r="1887" spans="1:17" ht="15.75" thickBot="1" x14ac:dyDescent="0.3">
      <c r="A1887" s="7">
        <v>1886</v>
      </c>
      <c r="B1887" s="6">
        <v>50</v>
      </c>
      <c r="C1887" s="12">
        <v>3732164</v>
      </c>
      <c r="D1887" t="s">
        <v>100</v>
      </c>
      <c r="E1887" s="12">
        <v>28</v>
      </c>
      <c r="F1887" s="10" t="s">
        <v>13</v>
      </c>
      <c r="I1887" s="26"/>
      <c r="J1887" s="138">
        <v>573.49</v>
      </c>
      <c r="K1887" s="138">
        <v>581.62773000000004</v>
      </c>
      <c r="L1887" s="138">
        <v>565.35226999999998</v>
      </c>
      <c r="M1887" s="27"/>
      <c r="N1887" s="83">
        <v>573.49</v>
      </c>
      <c r="P1887" t="str">
        <f>VLOOKUP(B1887,PTN!A:B,2,FALSE)</f>
        <v>UNIVERSITAS NEGERI MALANG</v>
      </c>
      <c r="Q1887" t="str">
        <f t="shared" si="29"/>
        <v>UNIVERSITAS NEGERI MALANGPENDIDIKAN EKONOMI</v>
      </c>
    </row>
    <row r="1888" spans="1:17" ht="15.75" thickBot="1" x14ac:dyDescent="0.3">
      <c r="A1888" s="7">
        <v>1887</v>
      </c>
      <c r="B1888" s="6">
        <v>50</v>
      </c>
      <c r="C1888" s="13">
        <v>3732311</v>
      </c>
      <c r="D1888" t="s">
        <v>72</v>
      </c>
      <c r="E1888" s="13">
        <v>32</v>
      </c>
      <c r="F1888" s="10" t="s">
        <v>13</v>
      </c>
      <c r="I1888" s="87"/>
      <c r="J1888" s="138">
        <v>573.21</v>
      </c>
      <c r="K1888" s="138">
        <v>581.34773000000007</v>
      </c>
      <c r="L1888" s="138">
        <v>565.07227</v>
      </c>
      <c r="M1888" s="28"/>
      <c r="N1888" s="83">
        <v>573.21</v>
      </c>
      <c r="P1888" t="str">
        <f>VLOOKUP(B1888,PTN!A:B,2,FALSE)</f>
        <v>UNIVERSITAS NEGERI MALANG</v>
      </c>
      <c r="Q1888" t="str">
        <f t="shared" si="29"/>
        <v>UNIVERSITAS NEGERI MALANGPENDIDIKAN GEOGRAFI</v>
      </c>
    </row>
    <row r="1889" spans="1:17" ht="15.75" thickBot="1" x14ac:dyDescent="0.3">
      <c r="A1889" s="7">
        <v>1888</v>
      </c>
      <c r="B1889" s="6">
        <v>50</v>
      </c>
      <c r="C1889" s="12">
        <v>3732075</v>
      </c>
      <c r="D1889" t="s">
        <v>562</v>
      </c>
      <c r="E1889" s="12">
        <v>24</v>
      </c>
      <c r="F1889" s="10" t="s">
        <v>13</v>
      </c>
      <c r="I1889" s="26"/>
      <c r="J1889" s="138" t="s">
        <v>1292</v>
      </c>
      <c r="K1889" s="138" t="s">
        <v>1292</v>
      </c>
      <c r="L1889" s="138" t="s">
        <v>1292</v>
      </c>
      <c r="M1889" s="27"/>
      <c r="N1889" s="83" t="s">
        <v>1292</v>
      </c>
      <c r="P1889" t="str">
        <f>VLOOKUP(B1889,PTN!A:B,2,FALSE)</f>
        <v>UNIVERSITAS NEGERI MALANG</v>
      </c>
      <c r="Q1889" t="str">
        <f t="shared" si="29"/>
        <v>UNIVERSITAS NEGERI MALANGPENDIDIKAN GURU PEND. ANAK USIA DINI</v>
      </c>
    </row>
    <row r="1890" spans="1:17" ht="15.75" thickBot="1" x14ac:dyDescent="0.3">
      <c r="A1890" s="7">
        <v>1889</v>
      </c>
      <c r="B1890" s="6">
        <v>50</v>
      </c>
      <c r="C1890" s="13">
        <v>3732067</v>
      </c>
      <c r="D1890" t="s">
        <v>73</v>
      </c>
      <c r="E1890" s="13">
        <v>70</v>
      </c>
      <c r="F1890" s="10" t="s">
        <v>13</v>
      </c>
      <c r="I1890" s="87"/>
      <c r="J1890" s="138" t="s">
        <v>1292</v>
      </c>
      <c r="K1890" s="138" t="s">
        <v>1292</v>
      </c>
      <c r="L1890" s="138" t="s">
        <v>1292</v>
      </c>
      <c r="M1890" s="28"/>
      <c r="N1890" s="83" t="s">
        <v>1292</v>
      </c>
      <c r="P1890" t="str">
        <f>VLOOKUP(B1890,PTN!A:B,2,FALSE)</f>
        <v>UNIVERSITAS NEGERI MALANG</v>
      </c>
      <c r="Q1890" t="str">
        <f t="shared" si="29"/>
        <v>UNIVERSITAS NEGERI MALANGPENDIDIKAN GURU SEKOLAH DASAR</v>
      </c>
    </row>
    <row r="1891" spans="1:17" ht="15.75" thickBot="1" x14ac:dyDescent="0.3">
      <c r="A1891" s="7">
        <v>1890</v>
      </c>
      <c r="B1891" s="6">
        <v>50</v>
      </c>
      <c r="C1891" s="12">
        <v>3732334</v>
      </c>
      <c r="D1891" t="s">
        <v>328</v>
      </c>
      <c r="E1891" s="12">
        <v>16</v>
      </c>
      <c r="F1891" s="10" t="s">
        <v>13</v>
      </c>
      <c r="I1891" s="26"/>
      <c r="J1891" s="138" t="s">
        <v>1292</v>
      </c>
      <c r="K1891" s="138" t="s">
        <v>1292</v>
      </c>
      <c r="L1891" s="138" t="s">
        <v>1292</v>
      </c>
      <c r="M1891" s="27"/>
      <c r="N1891" s="83" t="s">
        <v>1292</v>
      </c>
      <c r="P1891" t="str">
        <f>VLOOKUP(B1891,PTN!A:B,2,FALSE)</f>
        <v>UNIVERSITAS NEGERI MALANG</v>
      </c>
      <c r="Q1891" t="str">
        <f t="shared" si="29"/>
        <v>UNIVERSITAS NEGERI MALANGPENDIDIKAN ILMU PENGETAHUAN SOSIAL</v>
      </c>
    </row>
    <row r="1892" spans="1:17" ht="15.75" thickBot="1" x14ac:dyDescent="0.3">
      <c r="A1892" s="7">
        <v>1891</v>
      </c>
      <c r="B1892" s="6">
        <v>50</v>
      </c>
      <c r="C1892" s="13">
        <v>3732021</v>
      </c>
      <c r="D1892" t="s">
        <v>249</v>
      </c>
      <c r="E1892" s="13">
        <v>40</v>
      </c>
      <c r="F1892" s="10" t="s">
        <v>13</v>
      </c>
      <c r="I1892" s="87"/>
      <c r="J1892" s="138" t="s">
        <v>1292</v>
      </c>
      <c r="K1892" s="138" t="s">
        <v>1292</v>
      </c>
      <c r="L1892" s="138" t="s">
        <v>1292</v>
      </c>
      <c r="M1892" s="28"/>
      <c r="N1892" s="83" t="s">
        <v>1292</v>
      </c>
      <c r="P1892" t="str">
        <f>VLOOKUP(B1892,PTN!A:B,2,FALSE)</f>
        <v>UNIVERSITAS NEGERI MALANG</v>
      </c>
      <c r="Q1892" t="str">
        <f t="shared" si="29"/>
        <v>UNIVERSITAS NEGERI MALANGPENDIDIKAN JASMANI DAN KESEHATAN</v>
      </c>
    </row>
    <row r="1893" spans="1:17" ht="15.75" thickBot="1" x14ac:dyDescent="0.3">
      <c r="A1893" s="7">
        <v>1892</v>
      </c>
      <c r="B1893" s="6">
        <v>50</v>
      </c>
      <c r="C1893" s="12">
        <v>3732342</v>
      </c>
      <c r="D1893" t="s">
        <v>330</v>
      </c>
      <c r="E1893" s="12">
        <v>18</v>
      </c>
      <c r="F1893" s="10" t="s">
        <v>13</v>
      </c>
      <c r="I1893" s="26"/>
      <c r="J1893" s="138" t="s">
        <v>1292</v>
      </c>
      <c r="K1893" s="138" t="s">
        <v>1292</v>
      </c>
      <c r="L1893" s="138" t="s">
        <v>1292</v>
      </c>
      <c r="M1893" s="27"/>
      <c r="N1893" s="83" t="s">
        <v>1292</v>
      </c>
      <c r="P1893" t="str">
        <f>VLOOKUP(B1893,PTN!A:B,2,FALSE)</f>
        <v>UNIVERSITAS NEGERI MALANG</v>
      </c>
      <c r="Q1893" t="str">
        <f t="shared" si="29"/>
        <v>UNIVERSITAS NEGERI MALANGPENDIDIKAN KEPELATIHAN OLAHRAGA</v>
      </c>
    </row>
    <row r="1894" spans="1:17" ht="15.75" thickBot="1" x14ac:dyDescent="0.3">
      <c r="A1894" s="7">
        <v>1893</v>
      </c>
      <c r="B1894" s="6">
        <v>50</v>
      </c>
      <c r="C1894" s="13">
        <v>3732303</v>
      </c>
      <c r="D1894" t="s">
        <v>200</v>
      </c>
      <c r="E1894" s="13">
        <v>22</v>
      </c>
      <c r="F1894" s="10" t="s">
        <v>13</v>
      </c>
      <c r="I1894" s="87"/>
      <c r="J1894" s="138" t="s">
        <v>1292</v>
      </c>
      <c r="K1894" s="138" t="s">
        <v>1292</v>
      </c>
      <c r="L1894" s="138" t="s">
        <v>1292</v>
      </c>
      <c r="M1894" s="28"/>
      <c r="N1894" s="83" t="s">
        <v>1292</v>
      </c>
      <c r="P1894" t="str">
        <f>VLOOKUP(B1894,PTN!A:B,2,FALSE)</f>
        <v>UNIVERSITAS NEGERI MALANG</v>
      </c>
      <c r="Q1894" t="str">
        <f t="shared" si="29"/>
        <v>UNIVERSITAS NEGERI MALANGPENDIDIKAN LUAR BIASA</v>
      </c>
    </row>
    <row r="1895" spans="1:17" ht="15.75" thickBot="1" x14ac:dyDescent="0.3">
      <c r="A1895" s="7">
        <v>1894</v>
      </c>
      <c r="B1895" s="6">
        <v>50</v>
      </c>
      <c r="C1895" s="12">
        <v>3732044</v>
      </c>
      <c r="D1895" t="s">
        <v>201</v>
      </c>
      <c r="E1895" s="12">
        <v>21</v>
      </c>
      <c r="F1895" s="10" t="s">
        <v>13</v>
      </c>
      <c r="I1895" s="26"/>
      <c r="J1895" s="138" t="s">
        <v>1292</v>
      </c>
      <c r="K1895" s="138" t="s">
        <v>1292</v>
      </c>
      <c r="L1895" s="138" t="s">
        <v>1292</v>
      </c>
      <c r="M1895" s="27"/>
      <c r="N1895" s="83" t="s">
        <v>1292</v>
      </c>
      <c r="P1895" t="str">
        <f>VLOOKUP(B1895,PTN!A:B,2,FALSE)</f>
        <v>UNIVERSITAS NEGERI MALANG</v>
      </c>
      <c r="Q1895" t="str">
        <f t="shared" si="29"/>
        <v>UNIVERSITAS NEGERI MALANGPENDIDIKAN LUAR SEKOLAH</v>
      </c>
    </row>
    <row r="1896" spans="1:17" ht="15.75" thickBot="1" x14ac:dyDescent="0.3">
      <c r="A1896" s="7">
        <v>1895</v>
      </c>
      <c r="B1896" s="6">
        <v>50</v>
      </c>
      <c r="C1896" s="13">
        <v>3732083</v>
      </c>
      <c r="D1896" t="s">
        <v>103</v>
      </c>
      <c r="E1896" s="13">
        <v>32</v>
      </c>
      <c r="F1896" s="10" t="s">
        <v>13</v>
      </c>
      <c r="I1896" s="87"/>
      <c r="J1896" s="138" t="s">
        <v>1292</v>
      </c>
      <c r="K1896" s="138" t="s">
        <v>1292</v>
      </c>
      <c r="L1896" s="138" t="s">
        <v>1292</v>
      </c>
      <c r="M1896" s="28"/>
      <c r="N1896" s="83" t="s">
        <v>1292</v>
      </c>
      <c r="P1896" t="str">
        <f>VLOOKUP(B1896,PTN!A:B,2,FALSE)</f>
        <v>UNIVERSITAS NEGERI MALANG</v>
      </c>
      <c r="Q1896" t="str">
        <f t="shared" si="29"/>
        <v>UNIVERSITAS NEGERI MALANGPENDIDIKAN PANCASILA DAN KEWARGANEGARAAN</v>
      </c>
    </row>
    <row r="1897" spans="1:17" ht="15.75" thickBot="1" x14ac:dyDescent="0.3">
      <c r="A1897" s="7">
        <v>1896</v>
      </c>
      <c r="B1897" s="6">
        <v>50</v>
      </c>
      <c r="C1897" s="12">
        <v>3732156</v>
      </c>
      <c r="D1897" t="s">
        <v>75</v>
      </c>
      <c r="E1897" s="12">
        <v>28</v>
      </c>
      <c r="F1897" s="10" t="s">
        <v>13</v>
      </c>
      <c r="I1897" s="26"/>
      <c r="J1897" s="138">
        <v>575.41</v>
      </c>
      <c r="K1897" s="138">
        <v>583.54773</v>
      </c>
      <c r="L1897" s="138">
        <v>567.27226999999993</v>
      </c>
      <c r="M1897" s="27"/>
      <c r="N1897" s="83">
        <v>575.41</v>
      </c>
      <c r="P1897" t="str">
        <f>VLOOKUP(B1897,PTN!A:B,2,FALSE)</f>
        <v>UNIVERSITAS NEGERI MALANG</v>
      </c>
      <c r="Q1897" t="str">
        <f t="shared" si="29"/>
        <v>UNIVERSITAS NEGERI MALANGPENDIDIKAN SEJARAH</v>
      </c>
    </row>
    <row r="1898" spans="1:17" ht="15.75" thickBot="1" x14ac:dyDescent="0.3">
      <c r="A1898" s="7">
        <v>1897</v>
      </c>
      <c r="B1898" s="6">
        <v>50</v>
      </c>
      <c r="C1898" s="13">
        <v>3732125</v>
      </c>
      <c r="D1898" t="s">
        <v>131</v>
      </c>
      <c r="E1898" s="13">
        <v>20</v>
      </c>
      <c r="F1898" s="10" t="s">
        <v>13</v>
      </c>
      <c r="I1898" s="87"/>
      <c r="J1898" s="138" t="s">
        <v>1292</v>
      </c>
      <c r="K1898" s="138" t="s">
        <v>1292</v>
      </c>
      <c r="L1898" s="138" t="s">
        <v>1292</v>
      </c>
      <c r="M1898" s="28"/>
      <c r="N1898" s="83" t="s">
        <v>1292</v>
      </c>
      <c r="P1898" t="str">
        <f>VLOOKUP(B1898,PTN!A:B,2,FALSE)</f>
        <v>UNIVERSITAS NEGERI MALANG</v>
      </c>
      <c r="Q1898" t="str">
        <f t="shared" si="29"/>
        <v>UNIVERSITAS NEGERI MALANGPENDIDIKAN SENI RUPA</v>
      </c>
    </row>
    <row r="1899" spans="1:17" ht="15.75" thickBot="1" x14ac:dyDescent="0.3">
      <c r="A1899" s="7">
        <v>1898</v>
      </c>
      <c r="B1899" s="6">
        <v>50</v>
      </c>
      <c r="C1899" s="12">
        <v>3732141</v>
      </c>
      <c r="D1899" t="s">
        <v>563</v>
      </c>
      <c r="E1899" s="12">
        <v>20</v>
      </c>
      <c r="F1899" s="10" t="s">
        <v>13</v>
      </c>
      <c r="I1899" s="26"/>
      <c r="J1899" s="138" t="s">
        <v>1292</v>
      </c>
      <c r="K1899" s="138" t="s">
        <v>1292</v>
      </c>
      <c r="L1899" s="138" t="s">
        <v>1292</v>
      </c>
      <c r="M1899" s="27"/>
      <c r="N1899" s="83" t="s">
        <v>1292</v>
      </c>
      <c r="P1899" t="str">
        <f>VLOOKUP(B1899,PTN!A:B,2,FALSE)</f>
        <v>UNIVERSITAS NEGERI MALANG</v>
      </c>
      <c r="Q1899" t="str">
        <f t="shared" si="29"/>
        <v>UNIVERSITAS NEGERI MALANGPENDIDIKAN SENI TARI DAN MUSIK</v>
      </c>
    </row>
    <row r="1900" spans="1:17" ht="15.75" thickBot="1" x14ac:dyDescent="0.3">
      <c r="A1900" s="7">
        <v>1899</v>
      </c>
      <c r="B1900" s="6">
        <v>50</v>
      </c>
      <c r="C1900" s="13">
        <v>3732365</v>
      </c>
      <c r="D1900" t="s">
        <v>334</v>
      </c>
      <c r="E1900" s="13">
        <v>22</v>
      </c>
      <c r="F1900" s="10" t="s">
        <v>13</v>
      </c>
      <c r="I1900" s="87"/>
      <c r="J1900" s="138">
        <v>579.08000000000004</v>
      </c>
      <c r="K1900" s="138">
        <v>587.21773000000007</v>
      </c>
      <c r="L1900" s="138">
        <v>570.94227000000001</v>
      </c>
      <c r="M1900" s="28"/>
      <c r="N1900" s="83">
        <v>579.08000000000004</v>
      </c>
      <c r="P1900" t="str">
        <f>VLOOKUP(B1900,PTN!A:B,2,FALSE)</f>
        <v>UNIVERSITAS NEGERI MALANG</v>
      </c>
      <c r="Q1900" t="str">
        <f t="shared" si="29"/>
        <v>UNIVERSITAS NEGERI MALANGPENDIDIKAN SOSIOLOGI</v>
      </c>
    </row>
    <row r="1901" spans="1:17" ht="15.75" thickBot="1" x14ac:dyDescent="0.3">
      <c r="A1901" s="7">
        <v>1900</v>
      </c>
      <c r="B1901" s="6">
        <v>50</v>
      </c>
      <c r="C1901" s="12">
        <v>3732206</v>
      </c>
      <c r="D1901" t="s">
        <v>133</v>
      </c>
      <c r="E1901" s="12">
        <v>12</v>
      </c>
      <c r="F1901" s="10" t="s">
        <v>13</v>
      </c>
      <c r="I1901" s="26"/>
      <c r="J1901" s="138">
        <v>575.15</v>
      </c>
      <c r="K1901" s="138">
        <v>583.28773000000001</v>
      </c>
      <c r="L1901" s="138">
        <v>567.01226999999994</v>
      </c>
      <c r="M1901" s="27"/>
      <c r="N1901" s="83">
        <v>575.15</v>
      </c>
      <c r="P1901" t="str">
        <f>VLOOKUP(B1901,PTN!A:B,2,FALSE)</f>
        <v>UNIVERSITAS NEGERI MALANG</v>
      </c>
      <c r="Q1901" t="str">
        <f t="shared" si="29"/>
        <v>UNIVERSITAS NEGERI MALANGPENDIDIKAN TATA BOGA</v>
      </c>
    </row>
    <row r="1902" spans="1:17" ht="15.75" thickBot="1" x14ac:dyDescent="0.3">
      <c r="A1902" s="7">
        <v>1901</v>
      </c>
      <c r="B1902" s="6">
        <v>50</v>
      </c>
      <c r="C1902" s="13">
        <v>3732214</v>
      </c>
      <c r="D1902" t="s">
        <v>134</v>
      </c>
      <c r="E1902" s="13">
        <v>12</v>
      </c>
      <c r="F1902" s="10" t="s">
        <v>13</v>
      </c>
      <c r="I1902" s="87"/>
      <c r="J1902" s="138">
        <v>582.13</v>
      </c>
      <c r="K1902" s="138">
        <v>590.26773000000003</v>
      </c>
      <c r="L1902" s="138">
        <v>573.99226999999996</v>
      </c>
      <c r="M1902" s="28"/>
      <c r="N1902" s="83">
        <v>582.13</v>
      </c>
      <c r="P1902" t="str">
        <f>VLOOKUP(B1902,PTN!A:B,2,FALSE)</f>
        <v>UNIVERSITAS NEGERI MALANG</v>
      </c>
      <c r="Q1902" t="str">
        <f t="shared" si="29"/>
        <v>UNIVERSITAS NEGERI MALANGPENDIDIKAN TATA BUSANA</v>
      </c>
    </row>
    <row r="1903" spans="1:17" ht="15.75" thickBot="1" x14ac:dyDescent="0.3">
      <c r="A1903" s="7">
        <v>1902</v>
      </c>
      <c r="B1903" s="6">
        <v>50</v>
      </c>
      <c r="C1903" s="12">
        <v>3732172</v>
      </c>
      <c r="D1903" t="s">
        <v>135</v>
      </c>
      <c r="E1903" s="12">
        <v>24</v>
      </c>
      <c r="F1903" s="10" t="s">
        <v>13</v>
      </c>
      <c r="I1903" s="26"/>
      <c r="J1903" s="138" t="s">
        <v>1292</v>
      </c>
      <c r="K1903" s="138" t="s">
        <v>1292</v>
      </c>
      <c r="L1903" s="138" t="s">
        <v>1292</v>
      </c>
      <c r="M1903" s="27"/>
      <c r="N1903" s="83" t="s">
        <v>1292</v>
      </c>
      <c r="P1903" t="str">
        <f>VLOOKUP(B1903,PTN!A:B,2,FALSE)</f>
        <v>UNIVERSITAS NEGERI MALANG</v>
      </c>
      <c r="Q1903" t="str">
        <f t="shared" si="29"/>
        <v>UNIVERSITAS NEGERI MALANGPENDIDIKAN TATA NIAGA</v>
      </c>
    </row>
    <row r="1904" spans="1:17" ht="15.75" thickBot="1" x14ac:dyDescent="0.3">
      <c r="A1904" s="7">
        <v>1903</v>
      </c>
      <c r="B1904" s="6">
        <v>50</v>
      </c>
      <c r="C1904" s="13">
        <v>3732222</v>
      </c>
      <c r="D1904" t="s">
        <v>36</v>
      </c>
      <c r="E1904" s="13">
        <v>40</v>
      </c>
      <c r="F1904" s="10" t="s">
        <v>13</v>
      </c>
      <c r="I1904" s="87"/>
      <c r="J1904" s="138">
        <v>599.80999999999995</v>
      </c>
      <c r="K1904" s="138">
        <v>607.94772999999998</v>
      </c>
      <c r="L1904" s="138">
        <v>591.67226999999991</v>
      </c>
      <c r="M1904" s="28"/>
      <c r="N1904" s="83">
        <v>599.80999999999995</v>
      </c>
      <c r="P1904" t="str">
        <f>VLOOKUP(B1904,PTN!A:B,2,FALSE)</f>
        <v>UNIVERSITAS NEGERI MALANG</v>
      </c>
      <c r="Q1904" t="str">
        <f t="shared" si="29"/>
        <v>UNIVERSITAS NEGERI MALANGPSIKOLOGI</v>
      </c>
    </row>
    <row r="1905" spans="1:17" ht="15.75" thickBot="1" x14ac:dyDescent="0.3">
      <c r="A1905" s="7">
        <v>1904</v>
      </c>
      <c r="B1905" s="6">
        <v>50</v>
      </c>
      <c r="C1905" s="14">
        <v>3732036</v>
      </c>
      <c r="D1905" t="s">
        <v>210</v>
      </c>
      <c r="E1905" s="14">
        <v>22</v>
      </c>
      <c r="F1905" s="10" t="s">
        <v>13</v>
      </c>
      <c r="I1905" s="26"/>
      <c r="J1905" s="138">
        <v>578.15</v>
      </c>
      <c r="K1905" s="138">
        <v>586.28773000000001</v>
      </c>
      <c r="L1905" s="138">
        <v>570.01226999999994</v>
      </c>
      <c r="M1905" s="27"/>
      <c r="N1905" s="83">
        <v>578.15</v>
      </c>
      <c r="P1905" t="str">
        <f>VLOOKUP(B1905,PTN!A:B,2,FALSE)</f>
        <v>UNIVERSITAS NEGERI MALANG</v>
      </c>
      <c r="Q1905" t="str">
        <f t="shared" si="29"/>
        <v>UNIVERSITAS NEGERI MALANGTEKNOLOGI PENDIDIKAN</v>
      </c>
    </row>
    <row r="1906" spans="1:17" ht="16.5" thickTop="1" thickBot="1" x14ac:dyDescent="0.3">
      <c r="A1906" s="7">
        <v>1905</v>
      </c>
      <c r="B1906" s="6">
        <v>54</v>
      </c>
      <c r="C1906" s="12">
        <v>3831081</v>
      </c>
      <c r="D1906" t="s">
        <v>21</v>
      </c>
      <c r="E1906" s="48">
        <v>18</v>
      </c>
      <c r="F1906" s="10" t="s">
        <v>20</v>
      </c>
      <c r="I1906" s="87"/>
      <c r="J1906" s="138" t="s">
        <v>1292</v>
      </c>
      <c r="K1906" s="138" t="s">
        <v>1292</v>
      </c>
      <c r="L1906" s="138" t="s">
        <v>1292</v>
      </c>
      <c r="M1906" s="28"/>
      <c r="N1906" s="83" t="s">
        <v>1292</v>
      </c>
      <c r="P1906" t="str">
        <f>VLOOKUP(B1906,PTN!A:B,2,FALSE)</f>
        <v>UNIVERSITAS NEGERI SURABAYA</v>
      </c>
      <c r="Q1906" t="str">
        <f t="shared" si="29"/>
        <v>UNIVERSITAS NEGERI SURABAYABIOLOGI</v>
      </c>
    </row>
    <row r="1907" spans="1:17" ht="15.75" thickBot="1" x14ac:dyDescent="0.3">
      <c r="A1907" s="7">
        <v>1906</v>
      </c>
      <c r="B1907" s="6">
        <v>54</v>
      </c>
      <c r="C1907" s="13">
        <v>3831065</v>
      </c>
      <c r="D1907" t="s">
        <v>65</v>
      </c>
      <c r="E1907" s="51">
        <v>17</v>
      </c>
      <c r="F1907" s="10" t="s">
        <v>20</v>
      </c>
      <c r="I1907" s="29"/>
      <c r="J1907" s="138" t="s">
        <v>1292</v>
      </c>
      <c r="K1907" s="138" t="s">
        <v>1292</v>
      </c>
      <c r="L1907" s="138" t="s">
        <v>1292</v>
      </c>
      <c r="N1907" s="83" t="s">
        <v>1292</v>
      </c>
      <c r="P1907" t="str">
        <f>VLOOKUP(B1907,PTN!A:B,2,FALSE)</f>
        <v>UNIVERSITAS NEGERI SURABAYA</v>
      </c>
      <c r="Q1907" t="str">
        <f t="shared" si="29"/>
        <v>UNIVERSITAS NEGERI SURABAYAFISIKA</v>
      </c>
    </row>
    <row r="1908" spans="1:17" ht="16.5" thickTop="1" thickBot="1" x14ac:dyDescent="0.3">
      <c r="A1908" s="7">
        <v>1907</v>
      </c>
      <c r="B1908" s="6">
        <v>54</v>
      </c>
      <c r="C1908" s="12">
        <v>3831204</v>
      </c>
      <c r="D1908" t="s">
        <v>113</v>
      </c>
      <c r="E1908" s="48">
        <v>20</v>
      </c>
      <c r="F1908" s="10" t="s">
        <v>20</v>
      </c>
      <c r="J1908" s="138" t="s">
        <v>1292</v>
      </c>
      <c r="K1908" s="138" t="s">
        <v>1292</v>
      </c>
      <c r="L1908" s="138" t="s">
        <v>1292</v>
      </c>
      <c r="N1908" s="83" t="s">
        <v>1292</v>
      </c>
      <c r="P1908" t="str">
        <f>VLOOKUP(B1908,PTN!A:B,2,FALSE)</f>
        <v>UNIVERSITAS NEGERI SURABAYA</v>
      </c>
      <c r="Q1908" t="str">
        <f t="shared" si="29"/>
        <v>UNIVERSITAS NEGERI SURABAYAGIZI</v>
      </c>
    </row>
    <row r="1909" spans="1:17" ht="16.5" thickTop="1" thickBot="1" x14ac:dyDescent="0.3">
      <c r="A1909" s="7">
        <v>1908</v>
      </c>
      <c r="B1909" s="6">
        <v>54</v>
      </c>
      <c r="C1909" s="13">
        <v>3831131</v>
      </c>
      <c r="D1909" t="s">
        <v>114</v>
      </c>
      <c r="E1909" s="51">
        <v>45</v>
      </c>
      <c r="F1909" s="10" t="s">
        <v>20</v>
      </c>
      <c r="J1909" s="138" t="s">
        <v>1292</v>
      </c>
      <c r="K1909" s="138" t="s">
        <v>1292</v>
      </c>
      <c r="L1909" s="138" t="s">
        <v>1292</v>
      </c>
      <c r="M1909" s="45"/>
      <c r="N1909" s="86" t="s">
        <v>1292</v>
      </c>
      <c r="P1909" t="str">
        <f>VLOOKUP(B1909,PTN!A:B,2,FALSE)</f>
        <v>UNIVERSITAS NEGERI SURABAYA</v>
      </c>
      <c r="Q1909" t="str">
        <f t="shared" si="29"/>
        <v>UNIVERSITAS NEGERI SURABAYAILMU KEOLAHRAGAAN</v>
      </c>
    </row>
    <row r="1910" spans="1:17" ht="16.5" thickTop="1" thickBot="1" x14ac:dyDescent="0.3">
      <c r="A1910" s="7">
        <v>1909</v>
      </c>
      <c r="B1910" s="6">
        <v>54</v>
      </c>
      <c r="C1910" s="12">
        <v>3831073</v>
      </c>
      <c r="D1910" t="s">
        <v>22</v>
      </c>
      <c r="E1910" s="48">
        <v>17</v>
      </c>
      <c r="F1910" s="10" t="s">
        <v>20</v>
      </c>
      <c r="J1910" s="138">
        <v>604.15</v>
      </c>
      <c r="K1910" s="138">
        <v>610.52</v>
      </c>
      <c r="L1910" s="138">
        <v>597.78</v>
      </c>
      <c r="M1910" s="48"/>
      <c r="N1910" s="94">
        <v>604.15</v>
      </c>
      <c r="P1910" t="str">
        <f>VLOOKUP(B1910,PTN!A:B,2,FALSE)</f>
        <v>UNIVERSITAS NEGERI SURABAYA</v>
      </c>
      <c r="Q1910" t="str">
        <f t="shared" si="29"/>
        <v>UNIVERSITAS NEGERI SURABAYAKIMIA</v>
      </c>
    </row>
    <row r="1911" spans="1:17" ht="15.75" thickBot="1" x14ac:dyDescent="0.3">
      <c r="A1911" s="7">
        <v>1910</v>
      </c>
      <c r="B1911" s="6">
        <v>54</v>
      </c>
      <c r="C1911" s="13">
        <v>3831057</v>
      </c>
      <c r="D1911" t="s">
        <v>66</v>
      </c>
      <c r="E1911" s="51">
        <v>17</v>
      </c>
      <c r="F1911" s="10" t="s">
        <v>20</v>
      </c>
      <c r="J1911" s="138">
        <v>611.58000000000004</v>
      </c>
      <c r="K1911" s="138">
        <v>618.03500000000008</v>
      </c>
      <c r="L1911" s="138">
        <v>605.125</v>
      </c>
      <c r="M1911" s="51"/>
      <c r="N1911" s="95">
        <v>611.58000000000004</v>
      </c>
      <c r="P1911" t="str">
        <f>VLOOKUP(B1911,PTN!A:B,2,FALSE)</f>
        <v>UNIVERSITAS NEGERI SURABAYA</v>
      </c>
      <c r="Q1911" t="str">
        <f t="shared" si="29"/>
        <v>UNIVERSITAS NEGERI SURABAYAMATEMATIKA</v>
      </c>
    </row>
    <row r="1912" spans="1:17" ht="15.75" thickBot="1" x14ac:dyDescent="0.3">
      <c r="A1912" s="7">
        <v>1911</v>
      </c>
      <c r="B1912" s="6">
        <v>54</v>
      </c>
      <c r="C1912" s="12">
        <v>3831042</v>
      </c>
      <c r="D1912" t="s">
        <v>214</v>
      </c>
      <c r="E1912" s="48">
        <v>25</v>
      </c>
      <c r="F1912" s="10" t="s">
        <v>20</v>
      </c>
      <c r="J1912" s="138" t="s">
        <v>1292</v>
      </c>
      <c r="K1912" s="138" t="s">
        <v>1292</v>
      </c>
      <c r="L1912" s="138" t="s">
        <v>1292</v>
      </c>
      <c r="M1912" s="48"/>
      <c r="N1912" s="94" t="s">
        <v>1292</v>
      </c>
      <c r="P1912" t="str">
        <f>VLOOKUP(B1912,PTN!A:B,2,FALSE)</f>
        <v>UNIVERSITAS NEGERI SURABAYA</v>
      </c>
      <c r="Q1912" t="str">
        <f t="shared" si="29"/>
        <v>UNIVERSITAS NEGERI SURABAYAPEND. BIOLOGI</v>
      </c>
    </row>
    <row r="1913" spans="1:17" ht="15.75" thickBot="1" x14ac:dyDescent="0.3">
      <c r="A1913" s="7">
        <v>1912</v>
      </c>
      <c r="B1913" s="6">
        <v>54</v>
      </c>
      <c r="C1913" s="13">
        <v>3831026</v>
      </c>
      <c r="D1913" t="s">
        <v>216</v>
      </c>
      <c r="E1913" s="51">
        <v>25</v>
      </c>
      <c r="F1913" s="10" t="s">
        <v>20</v>
      </c>
      <c r="J1913" s="138" t="s">
        <v>1292</v>
      </c>
      <c r="K1913" s="138" t="s">
        <v>1292</v>
      </c>
      <c r="L1913" s="138" t="s">
        <v>1292</v>
      </c>
      <c r="M1913" s="51"/>
      <c r="N1913" s="95" t="s">
        <v>1292</v>
      </c>
      <c r="P1913" t="str">
        <f>VLOOKUP(B1913,PTN!A:B,2,FALSE)</f>
        <v>UNIVERSITAS NEGERI SURABAYA</v>
      </c>
      <c r="Q1913" t="str">
        <f t="shared" si="29"/>
        <v>UNIVERSITAS NEGERI SURABAYAPEND. FISIKA</v>
      </c>
    </row>
    <row r="1914" spans="1:17" ht="15.75" thickBot="1" x14ac:dyDescent="0.3">
      <c r="A1914" s="7">
        <v>1913</v>
      </c>
      <c r="B1914" s="6">
        <v>54</v>
      </c>
      <c r="C1914" s="12">
        <v>3831154</v>
      </c>
      <c r="D1914" t="s">
        <v>541</v>
      </c>
      <c r="E1914" s="48">
        <v>20</v>
      </c>
      <c r="F1914" s="10" t="s">
        <v>20</v>
      </c>
      <c r="J1914" s="138" t="s">
        <v>1292</v>
      </c>
      <c r="K1914" s="138" t="s">
        <v>1292</v>
      </c>
      <c r="L1914" s="138" t="s">
        <v>1292</v>
      </c>
      <c r="M1914" s="48"/>
      <c r="N1914" s="94" t="s">
        <v>1292</v>
      </c>
      <c r="P1914" t="str">
        <f>VLOOKUP(B1914,PTN!A:B,2,FALSE)</f>
        <v>UNIVERSITAS NEGERI SURABAYA</v>
      </c>
      <c r="Q1914" t="str">
        <f t="shared" si="29"/>
        <v>UNIVERSITAS NEGERI SURABAYAPENDIDIKAN TEKNOLOGI INFORMASI</v>
      </c>
    </row>
    <row r="1915" spans="1:17" ht="15.75" thickBot="1" x14ac:dyDescent="0.3">
      <c r="A1915" s="7">
        <v>1914</v>
      </c>
      <c r="B1915" s="6">
        <v>54</v>
      </c>
      <c r="C1915" s="13">
        <v>3831034</v>
      </c>
      <c r="D1915" t="s">
        <v>217</v>
      </c>
      <c r="E1915" s="51">
        <v>25</v>
      </c>
      <c r="F1915" s="10" t="s">
        <v>20</v>
      </c>
      <c r="J1915" s="138" t="s">
        <v>1292</v>
      </c>
      <c r="K1915" s="138" t="s">
        <v>1292</v>
      </c>
      <c r="L1915" s="138" t="s">
        <v>1292</v>
      </c>
      <c r="M1915" s="51"/>
      <c r="N1915" s="95" t="s">
        <v>1292</v>
      </c>
      <c r="P1915" t="str">
        <f>VLOOKUP(B1915,PTN!A:B,2,FALSE)</f>
        <v>UNIVERSITAS NEGERI SURABAYA</v>
      </c>
      <c r="Q1915" t="str">
        <f t="shared" si="29"/>
        <v>UNIVERSITAS NEGERI SURABAYAPEND. KIMIA</v>
      </c>
    </row>
    <row r="1916" spans="1:17" ht="15.75" thickBot="1" x14ac:dyDescent="0.3">
      <c r="A1916" s="7">
        <v>1915</v>
      </c>
      <c r="B1916" s="6">
        <v>54</v>
      </c>
      <c r="C1916" s="12">
        <v>3831011</v>
      </c>
      <c r="D1916" t="s">
        <v>218</v>
      </c>
      <c r="E1916" s="48">
        <v>25</v>
      </c>
      <c r="F1916" s="10" t="s">
        <v>20</v>
      </c>
      <c r="J1916" s="138">
        <v>610.65</v>
      </c>
      <c r="K1916" s="138">
        <v>620.07499999999993</v>
      </c>
      <c r="L1916" s="138">
        <v>601.22500000000002</v>
      </c>
      <c r="M1916" s="48"/>
      <c r="N1916" s="94">
        <v>610.65</v>
      </c>
      <c r="P1916" t="str">
        <f>VLOOKUP(B1916,PTN!A:B,2,FALSE)</f>
        <v>UNIVERSITAS NEGERI SURABAYA</v>
      </c>
      <c r="Q1916" t="str">
        <f t="shared" si="29"/>
        <v>UNIVERSITAS NEGERI SURABAYAPEND. MATEMATIKA</v>
      </c>
    </row>
    <row r="1917" spans="1:17" ht="15.75" thickBot="1" x14ac:dyDescent="0.3">
      <c r="A1917" s="7">
        <v>1916</v>
      </c>
      <c r="B1917" s="6">
        <v>54</v>
      </c>
      <c r="C1917" s="13">
        <v>3831096</v>
      </c>
      <c r="D1917" t="s">
        <v>564</v>
      </c>
      <c r="E1917" s="51">
        <v>24</v>
      </c>
      <c r="F1917" s="10" t="s">
        <v>20</v>
      </c>
      <c r="J1917" s="138" t="s">
        <v>1292</v>
      </c>
      <c r="K1917" s="138" t="s">
        <v>1292</v>
      </c>
      <c r="L1917" s="138" t="s">
        <v>1292</v>
      </c>
      <c r="M1917" s="51"/>
      <c r="N1917" s="95" t="s">
        <v>1292</v>
      </c>
      <c r="P1917" t="str">
        <f>VLOOKUP(B1917,PTN!A:B,2,FALSE)</f>
        <v>UNIVERSITAS NEGERI SURABAYA</v>
      </c>
      <c r="Q1917" t="str">
        <f t="shared" si="29"/>
        <v>UNIVERSITAS NEGERI SURABAYAPEND. SAINS</v>
      </c>
    </row>
    <row r="1918" spans="1:17" ht="15.75" thickBot="1" x14ac:dyDescent="0.3">
      <c r="A1918" s="7">
        <v>1917</v>
      </c>
      <c r="B1918" s="6">
        <v>54</v>
      </c>
      <c r="C1918" s="12">
        <v>3831123</v>
      </c>
      <c r="D1918" t="s">
        <v>565</v>
      </c>
      <c r="E1918" s="48">
        <v>10</v>
      </c>
      <c r="F1918" s="10" t="s">
        <v>20</v>
      </c>
      <c r="J1918" s="138" t="s">
        <v>1292</v>
      </c>
      <c r="K1918" s="138" t="s">
        <v>1292</v>
      </c>
      <c r="L1918" s="138" t="s">
        <v>1292</v>
      </c>
      <c r="M1918" s="48"/>
      <c r="N1918" s="94" t="s">
        <v>1292</v>
      </c>
      <c r="P1918" t="str">
        <f>VLOOKUP(B1918,PTN!A:B,2,FALSE)</f>
        <v>UNIVERSITAS NEGERI SURABAYA</v>
      </c>
      <c r="Q1918" t="str">
        <f t="shared" si="29"/>
        <v>UNIVERSITAS NEGERI SURABAYAPEND. TEKNIK BANGUNAN</v>
      </c>
    </row>
    <row r="1919" spans="1:17" ht="15.75" thickBot="1" x14ac:dyDescent="0.3">
      <c r="A1919" s="7">
        <v>1918</v>
      </c>
      <c r="B1919" s="6">
        <v>54</v>
      </c>
      <c r="C1919" s="13">
        <v>3831107</v>
      </c>
      <c r="D1919" t="s">
        <v>566</v>
      </c>
      <c r="E1919" s="51">
        <v>20</v>
      </c>
      <c r="F1919" s="10" t="s">
        <v>20</v>
      </c>
      <c r="J1919" s="138" t="s">
        <v>1292</v>
      </c>
      <c r="K1919" s="138" t="s">
        <v>1292</v>
      </c>
      <c r="L1919" s="138" t="s">
        <v>1292</v>
      </c>
      <c r="M1919" s="51"/>
      <c r="N1919" s="95" t="s">
        <v>1292</v>
      </c>
      <c r="P1919" t="str">
        <f>VLOOKUP(B1919,PTN!A:B,2,FALSE)</f>
        <v>UNIVERSITAS NEGERI SURABAYA</v>
      </c>
      <c r="Q1919" t="str">
        <f t="shared" si="29"/>
        <v>UNIVERSITAS NEGERI SURABAYAPEND. TEKNIK ELEKTRO</v>
      </c>
    </row>
    <row r="1920" spans="1:17" ht="15.75" thickBot="1" x14ac:dyDescent="0.3">
      <c r="A1920" s="7">
        <v>1919</v>
      </c>
      <c r="B1920" s="6">
        <v>54</v>
      </c>
      <c r="C1920" s="12">
        <v>3831115</v>
      </c>
      <c r="D1920" t="s">
        <v>567</v>
      </c>
      <c r="E1920" s="48">
        <v>20</v>
      </c>
      <c r="F1920" s="10" t="s">
        <v>20</v>
      </c>
      <c r="J1920" s="138" t="s">
        <v>1292</v>
      </c>
      <c r="K1920" s="138" t="s">
        <v>1292</v>
      </c>
      <c r="L1920" s="138" t="s">
        <v>1292</v>
      </c>
      <c r="M1920" s="48"/>
      <c r="N1920" s="94" t="s">
        <v>1292</v>
      </c>
      <c r="P1920" t="str">
        <f>VLOOKUP(B1920,PTN!A:B,2,FALSE)</f>
        <v>UNIVERSITAS NEGERI SURABAYA</v>
      </c>
      <c r="Q1920" t="str">
        <f t="shared" si="29"/>
        <v>UNIVERSITAS NEGERI SURABAYAPEND. TEKNIK MESIN</v>
      </c>
    </row>
    <row r="1921" spans="1:17" ht="15.75" thickBot="1" x14ac:dyDescent="0.3">
      <c r="A1921" s="7">
        <v>1920</v>
      </c>
      <c r="B1921" s="6">
        <v>54</v>
      </c>
      <c r="C1921" s="13">
        <v>3831185</v>
      </c>
      <c r="D1921" t="s">
        <v>46</v>
      </c>
      <c r="E1921" s="51">
        <v>30</v>
      </c>
      <c r="F1921" s="10" t="s">
        <v>20</v>
      </c>
      <c r="J1921" s="138" t="s">
        <v>1292</v>
      </c>
      <c r="K1921" s="138" t="s">
        <v>1292</v>
      </c>
      <c r="L1921" s="138" t="s">
        <v>1292</v>
      </c>
      <c r="M1921" s="51"/>
      <c r="N1921" s="95" t="s">
        <v>1292</v>
      </c>
      <c r="P1921" t="str">
        <f>VLOOKUP(B1921,PTN!A:B,2,FALSE)</f>
        <v>UNIVERSITAS NEGERI SURABAYA</v>
      </c>
      <c r="Q1921" t="str">
        <f t="shared" si="29"/>
        <v>UNIVERSITAS NEGERI SURABAYASISTEM INFORMASI</v>
      </c>
    </row>
    <row r="1922" spans="1:17" ht="15.75" thickBot="1" x14ac:dyDescent="0.3">
      <c r="A1922" s="7">
        <v>1921</v>
      </c>
      <c r="B1922" s="6">
        <v>54</v>
      </c>
      <c r="C1922" s="12">
        <v>3831162</v>
      </c>
      <c r="D1922" t="s">
        <v>48</v>
      </c>
      <c r="E1922" s="48">
        <v>20</v>
      </c>
      <c r="F1922" s="10" t="s">
        <v>20</v>
      </c>
      <c r="J1922" s="138" t="s">
        <v>1292</v>
      </c>
      <c r="K1922" s="138" t="s">
        <v>1292</v>
      </c>
      <c r="L1922" s="138" t="s">
        <v>1292</v>
      </c>
      <c r="M1922" s="48"/>
      <c r="N1922" s="94" t="s">
        <v>1292</v>
      </c>
      <c r="P1922" t="str">
        <f>VLOOKUP(B1922,PTN!A:B,2,FALSE)</f>
        <v>UNIVERSITAS NEGERI SURABAYA</v>
      </c>
      <c r="Q1922" t="str">
        <f t="shared" si="29"/>
        <v>UNIVERSITAS NEGERI SURABAYATEKNIK ELEKTRO</v>
      </c>
    </row>
    <row r="1923" spans="1:17" ht="15.75" thickBot="1" x14ac:dyDescent="0.3">
      <c r="A1923" s="7">
        <v>1922</v>
      </c>
      <c r="B1923" s="6">
        <v>54</v>
      </c>
      <c r="C1923" s="13">
        <v>3831193</v>
      </c>
      <c r="D1923" t="s">
        <v>50</v>
      </c>
      <c r="E1923" s="51">
        <v>30</v>
      </c>
      <c r="F1923" s="10" t="s">
        <v>20</v>
      </c>
      <c r="J1923" s="138" t="s">
        <v>1292</v>
      </c>
      <c r="K1923" s="138" t="s">
        <v>1292</v>
      </c>
      <c r="L1923" s="138" t="s">
        <v>1292</v>
      </c>
      <c r="M1923" s="51"/>
      <c r="N1923" s="95" t="s">
        <v>1292</v>
      </c>
      <c r="P1923" t="str">
        <f>VLOOKUP(B1923,PTN!A:B,2,FALSE)</f>
        <v>UNIVERSITAS NEGERI SURABAYA</v>
      </c>
      <c r="Q1923" t="str">
        <f t="shared" ref="Q1923:Q1986" si="30">P1923&amp;D1923</f>
        <v>UNIVERSITAS NEGERI SURABAYATEKNIK INFORMATIKA</v>
      </c>
    </row>
    <row r="1924" spans="1:17" ht="15.75" thickBot="1" x14ac:dyDescent="0.3">
      <c r="A1924" s="7">
        <v>1923</v>
      </c>
      <c r="B1924" s="6">
        <v>54</v>
      </c>
      <c r="C1924" s="12">
        <v>3831177</v>
      </c>
      <c r="D1924" t="s">
        <v>53</v>
      </c>
      <c r="E1924" s="48">
        <v>22</v>
      </c>
      <c r="F1924" s="10" t="s">
        <v>20</v>
      </c>
      <c r="J1924" s="138" t="s">
        <v>1292</v>
      </c>
      <c r="K1924" s="138" t="s">
        <v>1292</v>
      </c>
      <c r="L1924" s="138" t="s">
        <v>1292</v>
      </c>
      <c r="M1924" s="48"/>
      <c r="N1924" s="94" t="s">
        <v>1292</v>
      </c>
      <c r="P1924" t="str">
        <f>VLOOKUP(B1924,PTN!A:B,2,FALSE)</f>
        <v>UNIVERSITAS NEGERI SURABAYA</v>
      </c>
      <c r="Q1924" t="str">
        <f t="shared" si="30"/>
        <v>UNIVERSITAS NEGERI SURABAYATEKNIK MESIN</v>
      </c>
    </row>
    <row r="1925" spans="1:17" ht="15.75" thickBot="1" x14ac:dyDescent="0.3">
      <c r="A1925" s="7">
        <v>1924</v>
      </c>
      <c r="B1925" s="6">
        <v>54</v>
      </c>
      <c r="C1925" s="16">
        <v>3831146</v>
      </c>
      <c r="D1925" t="s">
        <v>54</v>
      </c>
      <c r="E1925" s="57">
        <v>20</v>
      </c>
      <c r="F1925" s="10" t="s">
        <v>20</v>
      </c>
      <c r="J1925" s="138" t="s">
        <v>1292</v>
      </c>
      <c r="K1925" s="138" t="s">
        <v>1292</v>
      </c>
      <c r="L1925" s="138" t="s">
        <v>1292</v>
      </c>
      <c r="M1925" s="21"/>
      <c r="N1925" s="83" t="s">
        <v>1292</v>
      </c>
      <c r="P1925" t="str">
        <f>VLOOKUP(B1925,PTN!A:B,2,FALSE)</f>
        <v>UNIVERSITAS NEGERI SURABAYA</v>
      </c>
      <c r="Q1925" t="str">
        <f t="shared" si="30"/>
        <v>UNIVERSITAS NEGERI SURABAYATEKNIK SIPIL</v>
      </c>
    </row>
    <row r="1926" spans="1:17" ht="16.5" thickTop="1" thickBot="1" x14ac:dyDescent="0.3">
      <c r="A1926" s="7">
        <v>1925</v>
      </c>
      <c r="B1926" s="6">
        <v>54</v>
      </c>
      <c r="C1926" s="12">
        <v>3832285</v>
      </c>
      <c r="D1926" t="s">
        <v>55</v>
      </c>
      <c r="E1926" s="12">
        <v>30</v>
      </c>
      <c r="F1926" s="10" t="s">
        <v>13</v>
      </c>
      <c r="J1926" s="138">
        <v>595.74</v>
      </c>
      <c r="K1926" s="138">
        <v>603.87773000000004</v>
      </c>
      <c r="L1926" s="138">
        <v>587.60226999999998</v>
      </c>
      <c r="M1926" s="21"/>
      <c r="N1926" s="83">
        <v>595.74</v>
      </c>
      <c r="P1926" t="str">
        <f>VLOOKUP(B1926,PTN!A:B,2,FALSE)</f>
        <v>UNIVERSITAS NEGERI SURABAYA</v>
      </c>
      <c r="Q1926" t="str">
        <f t="shared" si="30"/>
        <v>UNIVERSITAS NEGERI SURABAYAAKUNTANSI</v>
      </c>
    </row>
    <row r="1927" spans="1:17" ht="16.5" thickTop="1" thickBot="1" x14ac:dyDescent="0.3">
      <c r="A1927" s="7">
        <v>1926</v>
      </c>
      <c r="B1927" s="6">
        <v>54</v>
      </c>
      <c r="C1927" s="13">
        <v>3832401</v>
      </c>
      <c r="D1927" t="s">
        <v>12</v>
      </c>
      <c r="E1927" s="13">
        <v>30</v>
      </c>
      <c r="F1927" s="10" t="s">
        <v>13</v>
      </c>
      <c r="J1927" s="138">
        <v>578.9</v>
      </c>
      <c r="K1927" s="138">
        <v>587.03773000000001</v>
      </c>
      <c r="L1927" s="138">
        <v>570.76226999999994</v>
      </c>
      <c r="M1927" s="24"/>
      <c r="N1927" s="84">
        <v>578.9</v>
      </c>
      <c r="P1927" t="str">
        <f>VLOOKUP(B1927,PTN!A:B,2,FALSE)</f>
        <v>UNIVERSITAS NEGERI SURABAYA</v>
      </c>
      <c r="Q1927" t="str">
        <f t="shared" si="30"/>
        <v>UNIVERSITAS NEGERI SURABAYADESAIN KOMUNIKASI VISUAL</v>
      </c>
    </row>
    <row r="1928" spans="1:17" ht="16.5" thickTop="1" thickBot="1" x14ac:dyDescent="0.3">
      <c r="A1928" s="7">
        <v>1927</v>
      </c>
      <c r="B1928" s="6">
        <v>54</v>
      </c>
      <c r="C1928" s="12">
        <v>3832447</v>
      </c>
      <c r="D1928" t="s">
        <v>263</v>
      </c>
      <c r="E1928" s="12">
        <v>12</v>
      </c>
      <c r="F1928" s="10" t="s">
        <v>13</v>
      </c>
      <c r="J1928" s="138">
        <v>576.71</v>
      </c>
      <c r="K1928" s="138">
        <v>584.84773000000007</v>
      </c>
      <c r="L1928" s="138">
        <v>568.57227</v>
      </c>
      <c r="M1928" s="12"/>
      <c r="N1928" s="88">
        <v>576.71</v>
      </c>
      <c r="P1928" t="str">
        <f>VLOOKUP(B1928,PTN!A:B,2,FALSE)</f>
        <v>UNIVERSITAS NEGERI SURABAYA</v>
      </c>
      <c r="Q1928" t="str">
        <f t="shared" si="30"/>
        <v>UNIVERSITAS NEGERI SURABAYAEKONOMI</v>
      </c>
    </row>
    <row r="1929" spans="1:17" ht="15.75" thickBot="1" x14ac:dyDescent="0.3">
      <c r="A1929" s="7">
        <v>1928</v>
      </c>
      <c r="B1929" s="6">
        <v>54</v>
      </c>
      <c r="C1929" s="13">
        <v>3832424</v>
      </c>
      <c r="D1929" t="s">
        <v>57</v>
      </c>
      <c r="E1929" s="13">
        <v>20</v>
      </c>
      <c r="F1929" s="10" t="s">
        <v>13</v>
      </c>
      <c r="J1929" s="138">
        <v>576.09</v>
      </c>
      <c r="K1929" s="138">
        <v>584.22773000000007</v>
      </c>
      <c r="L1929" s="138">
        <v>567.95227</v>
      </c>
      <c r="M1929" s="13"/>
      <c r="N1929" s="89">
        <v>576.09</v>
      </c>
      <c r="P1929" t="str">
        <f>VLOOKUP(B1929,PTN!A:B,2,FALSE)</f>
        <v>UNIVERSITAS NEGERI SURABAYA</v>
      </c>
      <c r="Q1929" t="str">
        <f t="shared" si="30"/>
        <v>UNIVERSITAS NEGERI SURABAYAEKONOMI ISLAM</v>
      </c>
    </row>
    <row r="1930" spans="1:17" ht="15.75" thickBot="1" x14ac:dyDescent="0.3">
      <c r="A1930" s="7">
        <v>1929</v>
      </c>
      <c r="B1930" s="6">
        <v>54</v>
      </c>
      <c r="C1930" s="12">
        <v>3832223</v>
      </c>
      <c r="D1930" t="s">
        <v>29</v>
      </c>
      <c r="E1930" s="12">
        <v>25</v>
      </c>
      <c r="F1930" s="10" t="s">
        <v>13</v>
      </c>
      <c r="J1930" s="138">
        <v>578.28</v>
      </c>
      <c r="K1930" s="138">
        <v>586.41773000000001</v>
      </c>
      <c r="L1930" s="138">
        <v>570.14226999999994</v>
      </c>
      <c r="M1930" s="12"/>
      <c r="N1930" s="88">
        <v>578.28</v>
      </c>
      <c r="P1930" t="str">
        <f>VLOOKUP(B1930,PTN!A:B,2,FALSE)</f>
        <v>UNIVERSITAS NEGERI SURABAYA</v>
      </c>
      <c r="Q1930" t="str">
        <f t="shared" si="30"/>
        <v>UNIVERSITAS NEGERI SURABAYAILMU ADMINISTRASI NEGARA</v>
      </c>
    </row>
    <row r="1931" spans="1:17" ht="15.75" thickBot="1" x14ac:dyDescent="0.3">
      <c r="A1931" s="7">
        <v>1930</v>
      </c>
      <c r="B1931" s="6">
        <v>54</v>
      </c>
      <c r="C1931" s="13">
        <v>3832312</v>
      </c>
      <c r="D1931" t="s">
        <v>31</v>
      </c>
      <c r="E1931" s="13">
        <v>25</v>
      </c>
      <c r="F1931" s="10" t="s">
        <v>13</v>
      </c>
      <c r="J1931" s="138">
        <v>587.98</v>
      </c>
      <c r="K1931" s="138">
        <v>596.11773000000005</v>
      </c>
      <c r="L1931" s="138">
        <v>579.84226999999998</v>
      </c>
      <c r="M1931" s="13"/>
      <c r="N1931" s="89">
        <v>587.98</v>
      </c>
      <c r="P1931" t="str">
        <f>VLOOKUP(B1931,PTN!A:B,2,FALSE)</f>
        <v>UNIVERSITAS NEGERI SURABAYA</v>
      </c>
      <c r="Q1931" t="str">
        <f t="shared" si="30"/>
        <v>UNIVERSITAS NEGERI SURABAYAILMU HUKUM</v>
      </c>
    </row>
    <row r="1932" spans="1:17" ht="15.75" thickBot="1" x14ac:dyDescent="0.3">
      <c r="A1932" s="7">
        <v>1931</v>
      </c>
      <c r="B1932" s="6">
        <v>54</v>
      </c>
      <c r="C1932" s="12">
        <v>3832382</v>
      </c>
      <c r="D1932" t="s">
        <v>60</v>
      </c>
      <c r="E1932" s="12">
        <v>25</v>
      </c>
      <c r="F1932" s="10" t="s">
        <v>13</v>
      </c>
      <c r="J1932" s="138">
        <v>587.84</v>
      </c>
      <c r="K1932" s="138">
        <v>595.97773000000007</v>
      </c>
      <c r="L1932" s="138">
        <v>579.70227</v>
      </c>
      <c r="M1932" s="12"/>
      <c r="N1932" s="88">
        <v>587.84</v>
      </c>
      <c r="P1932" t="str">
        <f>VLOOKUP(B1932,PTN!A:B,2,FALSE)</f>
        <v>UNIVERSITAS NEGERI SURABAYA</v>
      </c>
      <c r="Q1932" t="str">
        <f t="shared" si="30"/>
        <v>UNIVERSITAS NEGERI SURABAYAILMU KOMUNIKASI</v>
      </c>
    </row>
    <row r="1933" spans="1:17" ht="15.75" thickBot="1" x14ac:dyDescent="0.3">
      <c r="A1933" s="7">
        <v>1932</v>
      </c>
      <c r="B1933" s="6">
        <v>54</v>
      </c>
      <c r="C1933" s="13">
        <v>3832022</v>
      </c>
      <c r="D1933" t="s">
        <v>568</v>
      </c>
      <c r="E1933" s="13">
        <v>22</v>
      </c>
      <c r="F1933" s="10" t="s">
        <v>13</v>
      </c>
      <c r="J1933" s="138">
        <v>565.52</v>
      </c>
      <c r="K1933" s="138">
        <v>573.65773000000002</v>
      </c>
      <c r="L1933" s="138">
        <v>557.38226999999995</v>
      </c>
      <c r="M1933" s="13"/>
      <c r="N1933" s="89">
        <v>565.52</v>
      </c>
      <c r="P1933" t="str">
        <f>VLOOKUP(B1933,PTN!A:B,2,FALSE)</f>
        <v>UNIVERSITAS NEGERI SURABAYA</v>
      </c>
      <c r="Q1933" t="str">
        <f t="shared" si="30"/>
        <v>UNIVERSITAS NEGERI SURABAYAKURIKULUM DAN TEKNOLOGI PENDIDIKAN</v>
      </c>
    </row>
    <row r="1934" spans="1:17" ht="15.75" thickBot="1" x14ac:dyDescent="0.3">
      <c r="A1934" s="7">
        <v>1933</v>
      </c>
      <c r="B1934" s="6">
        <v>54</v>
      </c>
      <c r="C1934" s="12">
        <v>3832277</v>
      </c>
      <c r="D1934" t="s">
        <v>61</v>
      </c>
      <c r="E1934" s="12">
        <v>37</v>
      </c>
      <c r="F1934" s="10" t="s">
        <v>13</v>
      </c>
      <c r="J1934" s="138">
        <v>591.37</v>
      </c>
      <c r="K1934" s="138">
        <v>599.50773000000004</v>
      </c>
      <c r="L1934" s="138">
        <v>583.23226999999997</v>
      </c>
      <c r="M1934" s="12"/>
      <c r="N1934" s="88">
        <v>591.37</v>
      </c>
      <c r="P1934" t="str">
        <f>VLOOKUP(B1934,PTN!A:B,2,FALSE)</f>
        <v>UNIVERSITAS NEGERI SURABAYA</v>
      </c>
      <c r="Q1934" t="str">
        <f t="shared" si="30"/>
        <v>UNIVERSITAS NEGERI SURABAYAMANAJEMEN</v>
      </c>
    </row>
    <row r="1935" spans="1:17" ht="15.75" thickBot="1" x14ac:dyDescent="0.3">
      <c r="A1935" s="7">
        <v>1934</v>
      </c>
      <c r="B1935" s="6">
        <v>54</v>
      </c>
      <c r="C1935" s="13">
        <v>3832304</v>
      </c>
      <c r="D1935" t="s">
        <v>321</v>
      </c>
      <c r="E1935" s="13">
        <v>22</v>
      </c>
      <c r="F1935" s="10" t="s">
        <v>13</v>
      </c>
      <c r="J1935" s="138" t="s">
        <v>1292</v>
      </c>
      <c r="K1935" s="138" t="s">
        <v>1292</v>
      </c>
      <c r="L1935" s="138" t="s">
        <v>1292</v>
      </c>
      <c r="M1935" s="13"/>
      <c r="N1935" s="89" t="s">
        <v>1292</v>
      </c>
      <c r="P1935" t="str">
        <f>VLOOKUP(B1935,PTN!A:B,2,FALSE)</f>
        <v>UNIVERSITAS NEGERI SURABAYA</v>
      </c>
      <c r="Q1935" t="str">
        <f t="shared" si="30"/>
        <v>UNIVERSITAS NEGERI SURABAYAMANAJEMEN PENDIDIKAN</v>
      </c>
    </row>
    <row r="1936" spans="1:17" ht="15.75" thickBot="1" x14ac:dyDescent="0.3">
      <c r="A1936" s="7">
        <v>1935</v>
      </c>
      <c r="B1936" s="6">
        <v>54</v>
      </c>
      <c r="C1936" s="12">
        <v>3832126</v>
      </c>
      <c r="D1936" t="s">
        <v>569</v>
      </c>
      <c r="E1936" s="12">
        <v>22</v>
      </c>
      <c r="F1936" s="10" t="s">
        <v>13</v>
      </c>
      <c r="J1936" s="138" t="s">
        <v>1292</v>
      </c>
      <c r="K1936" s="138" t="s">
        <v>1292</v>
      </c>
      <c r="L1936" s="138" t="s">
        <v>1292</v>
      </c>
      <c r="M1936" s="12"/>
      <c r="N1936" s="88" t="s">
        <v>1292</v>
      </c>
      <c r="P1936" t="str">
        <f>VLOOKUP(B1936,PTN!A:B,2,FALSE)</f>
        <v>UNIVERSITAS NEGERI SURABAYA</v>
      </c>
      <c r="Q1936" t="str">
        <f t="shared" si="30"/>
        <v>UNIVERSITAS NEGERI SURABAYAP. BAHASA DAERAH (JAWA)</v>
      </c>
    </row>
    <row r="1937" spans="1:17" ht="15.75" thickBot="1" x14ac:dyDescent="0.3">
      <c r="A1937" s="7">
        <v>1936</v>
      </c>
      <c r="B1937" s="6">
        <v>54</v>
      </c>
      <c r="C1937" s="13">
        <v>3832084</v>
      </c>
      <c r="D1937" t="s">
        <v>570</v>
      </c>
      <c r="E1937" s="13">
        <v>34</v>
      </c>
      <c r="F1937" s="10" t="s">
        <v>13</v>
      </c>
      <c r="J1937" s="138" t="s">
        <v>1292</v>
      </c>
      <c r="K1937" s="138" t="s">
        <v>1292</v>
      </c>
      <c r="L1937" s="138" t="s">
        <v>1292</v>
      </c>
      <c r="M1937" s="13"/>
      <c r="N1937" s="89" t="s">
        <v>1292</v>
      </c>
      <c r="P1937" t="str">
        <f>VLOOKUP(B1937,PTN!A:B,2,FALSE)</f>
        <v>UNIVERSITAS NEGERI SURABAYA</v>
      </c>
      <c r="Q1937" t="str">
        <f t="shared" si="30"/>
        <v>UNIVERSITAS NEGERI SURABAYAP. BAHASA DAN SASTRA INDONESIA</v>
      </c>
    </row>
    <row r="1938" spans="1:17" ht="15.75" thickBot="1" x14ac:dyDescent="0.3">
      <c r="A1938" s="7">
        <v>1937</v>
      </c>
      <c r="B1938" s="6">
        <v>54</v>
      </c>
      <c r="C1938" s="12">
        <v>3832092</v>
      </c>
      <c r="D1938" t="s">
        <v>571</v>
      </c>
      <c r="E1938" s="12">
        <v>24</v>
      </c>
      <c r="F1938" s="10" t="s">
        <v>13</v>
      </c>
      <c r="J1938" s="138">
        <v>589.12</v>
      </c>
      <c r="K1938" s="138">
        <v>597.25773000000004</v>
      </c>
      <c r="L1938" s="138">
        <v>580.98226999999997</v>
      </c>
      <c r="M1938" s="12"/>
      <c r="N1938" s="88">
        <v>589.12</v>
      </c>
      <c r="P1938" t="str">
        <f>VLOOKUP(B1938,PTN!A:B,2,FALSE)</f>
        <v>UNIVERSITAS NEGERI SURABAYA</v>
      </c>
      <c r="Q1938" t="str">
        <f t="shared" si="30"/>
        <v>UNIVERSITAS NEGERI SURABAYAP. BAHASA INGGRIS</v>
      </c>
    </row>
    <row r="1939" spans="1:17" ht="15.75" thickBot="1" x14ac:dyDescent="0.3">
      <c r="A1939" s="7">
        <v>1938</v>
      </c>
      <c r="B1939" s="6">
        <v>54</v>
      </c>
      <c r="C1939" s="13">
        <v>3832111</v>
      </c>
      <c r="D1939" t="s">
        <v>572</v>
      </c>
      <c r="E1939" s="13">
        <v>16</v>
      </c>
      <c r="F1939" s="10" t="s">
        <v>13</v>
      </c>
      <c r="J1939" s="138">
        <v>580.71</v>
      </c>
      <c r="K1939" s="138">
        <v>588.84773000000007</v>
      </c>
      <c r="L1939" s="138">
        <v>572.57227</v>
      </c>
      <c r="M1939" s="13"/>
      <c r="N1939" s="89">
        <v>580.71</v>
      </c>
      <c r="P1939" t="str">
        <f>VLOOKUP(B1939,PTN!A:B,2,FALSE)</f>
        <v>UNIVERSITAS NEGERI SURABAYA</v>
      </c>
      <c r="Q1939" t="str">
        <f t="shared" si="30"/>
        <v>UNIVERSITAS NEGERI SURABAYAP. BAHASA JEPANG</v>
      </c>
    </row>
    <row r="1940" spans="1:17" ht="15.75" thickBot="1" x14ac:dyDescent="0.3">
      <c r="A1940" s="7">
        <v>1939</v>
      </c>
      <c r="B1940" s="6">
        <v>54</v>
      </c>
      <c r="C1940" s="12">
        <v>3832103</v>
      </c>
      <c r="D1940" t="s">
        <v>573</v>
      </c>
      <c r="E1940" s="12">
        <v>10</v>
      </c>
      <c r="F1940" s="10" t="s">
        <v>13</v>
      </c>
      <c r="J1940" s="138" t="s">
        <v>1292</v>
      </c>
      <c r="K1940" s="138" t="s">
        <v>1292</v>
      </c>
      <c r="L1940" s="138" t="s">
        <v>1292</v>
      </c>
      <c r="M1940" s="12"/>
      <c r="N1940" s="88" t="s">
        <v>1292</v>
      </c>
      <c r="P1940" t="str">
        <f>VLOOKUP(B1940,PTN!A:B,2,FALSE)</f>
        <v>UNIVERSITAS NEGERI SURABAYA</v>
      </c>
      <c r="Q1940" t="str">
        <f t="shared" si="30"/>
        <v>UNIVERSITAS NEGERI SURABAYAP. BAHASA JERMAN</v>
      </c>
    </row>
    <row r="1941" spans="1:17" ht="15.75" thickBot="1" x14ac:dyDescent="0.3">
      <c r="A1941" s="7">
        <v>1940</v>
      </c>
      <c r="B1941" s="6">
        <v>54</v>
      </c>
      <c r="C1941" s="13">
        <v>3832262</v>
      </c>
      <c r="D1941" t="s">
        <v>574</v>
      </c>
      <c r="E1941" s="13">
        <v>15</v>
      </c>
      <c r="F1941" s="10" t="s">
        <v>13</v>
      </c>
      <c r="J1941" s="138">
        <v>577.26</v>
      </c>
      <c r="K1941" s="138">
        <v>585.39773000000002</v>
      </c>
      <c r="L1941" s="138">
        <v>569.12226999999996</v>
      </c>
      <c r="M1941" s="13"/>
      <c r="N1941" s="89">
        <v>577.26</v>
      </c>
      <c r="P1941" t="str">
        <f>VLOOKUP(B1941,PTN!A:B,2,FALSE)</f>
        <v>UNIVERSITAS NEGERI SURABAYA</v>
      </c>
      <c r="Q1941" t="str">
        <f t="shared" si="30"/>
        <v>UNIVERSITAS NEGERI SURABAYAP. EKONOMI</v>
      </c>
    </row>
    <row r="1942" spans="1:17" ht="15.75" thickBot="1" x14ac:dyDescent="0.3">
      <c r="A1942" s="7">
        <v>1941</v>
      </c>
      <c r="B1942" s="6">
        <v>54</v>
      </c>
      <c r="C1942" s="12">
        <v>3832374</v>
      </c>
      <c r="D1942" t="s">
        <v>575</v>
      </c>
      <c r="E1942" s="12">
        <v>15</v>
      </c>
      <c r="F1942" s="10" t="s">
        <v>13</v>
      </c>
      <c r="J1942" s="138">
        <v>559.92999999999995</v>
      </c>
      <c r="K1942" s="138">
        <v>568.06772999999998</v>
      </c>
      <c r="L1942" s="138">
        <v>551.79226999999992</v>
      </c>
      <c r="M1942" s="12"/>
      <c r="N1942" s="88">
        <v>559.92999999999995</v>
      </c>
      <c r="P1942" t="str">
        <f>VLOOKUP(B1942,PTN!A:B,2,FALSE)</f>
        <v>UNIVERSITAS NEGERI SURABAYA</v>
      </c>
      <c r="Q1942" t="str">
        <f t="shared" si="30"/>
        <v>UNIVERSITAS NEGERI SURABAYAPEND. ADM. PERKANTORAN</v>
      </c>
    </row>
    <row r="1943" spans="1:17" ht="15.75" thickBot="1" x14ac:dyDescent="0.3">
      <c r="A1943" s="7">
        <v>1942</v>
      </c>
      <c r="B1943" s="6">
        <v>54</v>
      </c>
      <c r="C1943" s="13">
        <v>3832351</v>
      </c>
      <c r="D1943" t="s">
        <v>576</v>
      </c>
      <c r="E1943" s="13">
        <v>15</v>
      </c>
      <c r="F1943" s="10" t="s">
        <v>13</v>
      </c>
      <c r="J1943" s="138">
        <v>573.99</v>
      </c>
      <c r="K1943" s="138">
        <v>582.12773000000004</v>
      </c>
      <c r="L1943" s="138">
        <v>565.85226999999998</v>
      </c>
      <c r="M1943" s="13"/>
      <c r="N1943" s="89">
        <v>573.99</v>
      </c>
      <c r="P1943" t="str">
        <f>VLOOKUP(B1943,PTN!A:B,2,FALSE)</f>
        <v>UNIVERSITAS NEGERI SURABAYA</v>
      </c>
      <c r="Q1943" t="str">
        <f t="shared" si="30"/>
        <v>UNIVERSITAS NEGERI SURABAYAPEND. AKUNTANSI</v>
      </c>
    </row>
    <row r="1944" spans="1:17" ht="15.75" thickBot="1" x14ac:dyDescent="0.3">
      <c r="A1944" s="7">
        <v>1943</v>
      </c>
      <c r="B1944" s="6">
        <v>54</v>
      </c>
      <c r="C1944" s="12">
        <v>3832327</v>
      </c>
      <c r="D1944" t="s">
        <v>577</v>
      </c>
      <c r="E1944" s="12">
        <v>20</v>
      </c>
      <c r="F1944" s="10" t="s">
        <v>13</v>
      </c>
      <c r="J1944" s="138" t="s">
        <v>1292</v>
      </c>
      <c r="K1944" s="138" t="s">
        <v>1292</v>
      </c>
      <c r="L1944" s="138" t="s">
        <v>1292</v>
      </c>
      <c r="M1944" s="12"/>
      <c r="N1944" s="88" t="s">
        <v>1292</v>
      </c>
      <c r="P1944" t="str">
        <f>VLOOKUP(B1944,PTN!A:B,2,FALSE)</f>
        <v>UNIVERSITAS NEGERI SURABAYA</v>
      </c>
      <c r="Q1944" t="str">
        <f t="shared" si="30"/>
        <v>UNIVERSITAS NEGERI SURABAYAPEND. BAHASA MANDARIN</v>
      </c>
    </row>
    <row r="1945" spans="1:17" ht="15.75" thickBot="1" x14ac:dyDescent="0.3">
      <c r="A1945" s="7">
        <v>1944</v>
      </c>
      <c r="B1945" s="6">
        <v>54</v>
      </c>
      <c r="C1945" s="13">
        <v>3832037</v>
      </c>
      <c r="D1945" t="s">
        <v>201</v>
      </c>
      <c r="E1945" s="13">
        <v>22</v>
      </c>
      <c r="F1945" s="10" t="s">
        <v>13</v>
      </c>
      <c r="J1945" s="138" t="s">
        <v>1292</v>
      </c>
      <c r="K1945" s="138" t="s">
        <v>1292</v>
      </c>
      <c r="L1945" s="138" t="s">
        <v>1292</v>
      </c>
      <c r="M1945" s="13"/>
      <c r="N1945" s="89" t="s">
        <v>1292</v>
      </c>
      <c r="P1945" t="str">
        <f>VLOOKUP(B1945,PTN!A:B,2,FALSE)</f>
        <v>UNIVERSITAS NEGERI SURABAYA</v>
      </c>
      <c r="Q1945" t="str">
        <f t="shared" si="30"/>
        <v>UNIVERSITAS NEGERI SURABAYAPENDIDIKAN LUAR SEKOLAH</v>
      </c>
    </row>
    <row r="1946" spans="1:17" ht="15.75" thickBot="1" x14ac:dyDescent="0.3">
      <c r="A1946" s="7">
        <v>1945</v>
      </c>
      <c r="B1946" s="6">
        <v>54</v>
      </c>
      <c r="C1946" s="12">
        <v>3832432</v>
      </c>
      <c r="D1946" t="s">
        <v>578</v>
      </c>
      <c r="E1946" s="12">
        <v>22</v>
      </c>
      <c r="F1946" s="10" t="s">
        <v>13</v>
      </c>
      <c r="J1946" s="138" t="s">
        <v>1292</v>
      </c>
      <c r="K1946" s="138" t="s">
        <v>1292</v>
      </c>
      <c r="L1946" s="138" t="s">
        <v>1292</v>
      </c>
      <c r="M1946" s="12"/>
      <c r="N1946" s="88" t="s">
        <v>1292</v>
      </c>
      <c r="P1946" t="str">
        <f>VLOOKUP(B1946,PTN!A:B,2,FALSE)</f>
        <v>UNIVERSITAS NEGERI SURABAYA</v>
      </c>
      <c r="Q1946" t="str">
        <f t="shared" si="30"/>
        <v>UNIVERSITAS NEGERI SURABAYAPEND. ILMU PENGETAHUAN SOSIAL</v>
      </c>
    </row>
    <row r="1947" spans="1:17" ht="15.75" thickBot="1" x14ac:dyDescent="0.3">
      <c r="A1947" s="7">
        <v>1946</v>
      </c>
      <c r="B1947" s="6">
        <v>54</v>
      </c>
      <c r="C1947" s="13">
        <v>3832045</v>
      </c>
      <c r="D1947" t="s">
        <v>579</v>
      </c>
      <c r="E1947" s="13">
        <v>22</v>
      </c>
      <c r="F1947" s="10" t="s">
        <v>13</v>
      </c>
      <c r="J1947" s="138" t="s">
        <v>1292</v>
      </c>
      <c r="K1947" s="138" t="s">
        <v>1292</v>
      </c>
      <c r="L1947" s="138" t="s">
        <v>1292</v>
      </c>
      <c r="M1947" s="13"/>
      <c r="N1947" s="89" t="s">
        <v>1292</v>
      </c>
      <c r="P1947" t="str">
        <f>VLOOKUP(B1947,PTN!A:B,2,FALSE)</f>
        <v>UNIVERSITAS NEGERI SURABAYA</v>
      </c>
      <c r="Q1947" t="str">
        <f t="shared" si="30"/>
        <v>UNIVERSITAS NEGERI SURABAYAPENDI. LUAR BIASA</v>
      </c>
    </row>
    <row r="1948" spans="1:17" ht="15.75" thickBot="1" x14ac:dyDescent="0.3">
      <c r="A1948" s="7">
        <v>1947</v>
      </c>
      <c r="B1948" s="6">
        <v>54</v>
      </c>
      <c r="C1948" s="12">
        <v>3832246</v>
      </c>
      <c r="D1948" t="s">
        <v>431</v>
      </c>
      <c r="E1948" s="12">
        <v>45</v>
      </c>
      <c r="F1948" s="10" t="s">
        <v>13</v>
      </c>
      <c r="J1948" s="138" t="s">
        <v>1292</v>
      </c>
      <c r="K1948" s="138" t="s">
        <v>1292</v>
      </c>
      <c r="L1948" s="138" t="s">
        <v>1292</v>
      </c>
      <c r="M1948" s="12"/>
      <c r="N1948" s="88" t="s">
        <v>1292</v>
      </c>
      <c r="P1948" t="str">
        <f>VLOOKUP(B1948,PTN!A:B,2,FALSE)</f>
        <v>UNIVERSITAS NEGERI SURABAYA</v>
      </c>
      <c r="Q1948" t="str">
        <f t="shared" si="30"/>
        <v>UNIVERSITAS NEGERI SURABAYAPEND. JASMANI, KESEHATAN DAN REKREASI</v>
      </c>
    </row>
    <row r="1949" spans="1:17" ht="15.75" thickBot="1" x14ac:dyDescent="0.3">
      <c r="A1949" s="7">
        <v>1948</v>
      </c>
      <c r="B1949" s="6">
        <v>54</v>
      </c>
      <c r="C1949" s="13">
        <v>3832254</v>
      </c>
      <c r="D1949" t="s">
        <v>580</v>
      </c>
      <c r="E1949" s="13">
        <v>45</v>
      </c>
      <c r="F1949" s="10" t="s">
        <v>13</v>
      </c>
      <c r="J1949" s="138" t="s">
        <v>1292</v>
      </c>
      <c r="K1949" s="138" t="s">
        <v>1292</v>
      </c>
      <c r="L1949" s="138" t="s">
        <v>1292</v>
      </c>
      <c r="M1949" s="13"/>
      <c r="N1949" s="89" t="s">
        <v>1292</v>
      </c>
      <c r="P1949" t="str">
        <f>VLOOKUP(B1949,PTN!A:B,2,FALSE)</f>
        <v>UNIVERSITAS NEGERI SURABAYA</v>
      </c>
      <c r="Q1949" t="str">
        <f t="shared" si="30"/>
        <v>UNIVERSITAS NEGERI SURABAYAPEND. KEPELATIHAN OLAHRAGA</v>
      </c>
    </row>
    <row r="1950" spans="1:17" ht="15.75" thickBot="1" x14ac:dyDescent="0.3">
      <c r="A1950" s="7">
        <v>1949</v>
      </c>
      <c r="B1950" s="6">
        <v>54</v>
      </c>
      <c r="C1950" s="12">
        <v>3832181</v>
      </c>
      <c r="D1950" t="s">
        <v>581</v>
      </c>
      <c r="E1950" s="12">
        <v>22</v>
      </c>
      <c r="F1950" s="10" t="s">
        <v>13</v>
      </c>
      <c r="J1950" s="138" t="s">
        <v>1292</v>
      </c>
      <c r="K1950" s="138" t="s">
        <v>1292</v>
      </c>
      <c r="L1950" s="138" t="s">
        <v>1292</v>
      </c>
      <c r="M1950" s="12"/>
      <c r="N1950" s="88" t="s">
        <v>1292</v>
      </c>
      <c r="P1950" t="str">
        <f>VLOOKUP(B1950,PTN!A:B,2,FALSE)</f>
        <v>UNIVERSITAS NEGERI SURABAYA</v>
      </c>
      <c r="Q1950" t="str">
        <f t="shared" si="30"/>
        <v>UNIVERSITAS NEGERI SURABAYAPEND. PANCASILA DAN KEWARGANEGARAAN</v>
      </c>
    </row>
    <row r="1951" spans="1:17" ht="15.75" thickBot="1" x14ac:dyDescent="0.3">
      <c r="A1951" s="7">
        <v>1950</v>
      </c>
      <c r="B1951" s="6">
        <v>54</v>
      </c>
      <c r="C1951" s="13">
        <v>3832207</v>
      </c>
      <c r="D1951" t="s">
        <v>233</v>
      </c>
      <c r="E1951" s="13">
        <v>22</v>
      </c>
      <c r="F1951" s="10" t="s">
        <v>13</v>
      </c>
      <c r="J1951" s="138" t="s">
        <v>1292</v>
      </c>
      <c r="K1951" s="138" t="s">
        <v>1292</v>
      </c>
      <c r="L1951" s="138" t="s">
        <v>1292</v>
      </c>
      <c r="M1951" s="13"/>
      <c r="N1951" s="89" t="s">
        <v>1292</v>
      </c>
      <c r="P1951" t="str">
        <f>VLOOKUP(B1951,PTN!A:B,2,FALSE)</f>
        <v>UNIVERSITAS NEGERI SURABAYA</v>
      </c>
      <c r="Q1951" t="str">
        <f t="shared" si="30"/>
        <v>UNIVERSITAS NEGERI SURABAYAPEND. SEJARAH</v>
      </c>
    </row>
    <row r="1952" spans="1:17" ht="15.75" thickBot="1" x14ac:dyDescent="0.3">
      <c r="A1952" s="7">
        <v>1951</v>
      </c>
      <c r="B1952" s="6">
        <v>54</v>
      </c>
      <c r="C1952" s="12">
        <v>3832335</v>
      </c>
      <c r="D1952" t="s">
        <v>582</v>
      </c>
      <c r="E1952" s="12">
        <v>20</v>
      </c>
      <c r="F1952" s="10" t="s">
        <v>13</v>
      </c>
      <c r="J1952" s="138" t="s">
        <v>1292</v>
      </c>
      <c r="K1952" s="138" t="s">
        <v>1292</v>
      </c>
      <c r="L1952" s="138" t="s">
        <v>1292</v>
      </c>
      <c r="M1952" s="12"/>
      <c r="N1952" s="88" t="s">
        <v>1292</v>
      </c>
      <c r="P1952" t="str">
        <f>VLOOKUP(B1952,PTN!A:B,2,FALSE)</f>
        <v>UNIVERSITAS NEGERI SURABAYA</v>
      </c>
      <c r="Q1952" t="str">
        <f t="shared" si="30"/>
        <v>UNIVERSITAS NEGERI SURABAYAPEND. TATA BOGA</v>
      </c>
    </row>
    <row r="1953" spans="1:17" ht="15.75" thickBot="1" x14ac:dyDescent="0.3">
      <c r="A1953" s="7">
        <v>1952</v>
      </c>
      <c r="B1953" s="6">
        <v>54</v>
      </c>
      <c r="C1953" s="13">
        <v>3832343</v>
      </c>
      <c r="D1953" t="s">
        <v>583</v>
      </c>
      <c r="E1953" s="13">
        <v>20</v>
      </c>
      <c r="F1953" s="10" t="s">
        <v>13</v>
      </c>
      <c r="J1953" s="138" t="s">
        <v>1292</v>
      </c>
      <c r="K1953" s="138" t="s">
        <v>1292</v>
      </c>
      <c r="L1953" s="138" t="s">
        <v>1292</v>
      </c>
      <c r="M1953" s="13"/>
      <c r="N1953" s="89" t="s">
        <v>1292</v>
      </c>
      <c r="P1953" t="str">
        <f>VLOOKUP(B1953,PTN!A:B,2,FALSE)</f>
        <v>UNIVERSITAS NEGERI SURABAYA</v>
      </c>
      <c r="Q1953" t="str">
        <f t="shared" si="30"/>
        <v>UNIVERSITAS NEGERI SURABAYAPEND. TATA BUSANA</v>
      </c>
    </row>
    <row r="1954" spans="1:17" ht="15.75" thickBot="1" x14ac:dyDescent="0.3">
      <c r="A1954" s="7">
        <v>1953</v>
      </c>
      <c r="B1954" s="6">
        <v>54</v>
      </c>
      <c r="C1954" s="12">
        <v>3832366</v>
      </c>
      <c r="D1954" t="s">
        <v>584</v>
      </c>
      <c r="E1954" s="12">
        <v>15</v>
      </c>
      <c r="F1954" s="10" t="s">
        <v>13</v>
      </c>
      <c r="J1954" s="138" t="s">
        <v>1292</v>
      </c>
      <c r="K1954" s="138" t="s">
        <v>1292</v>
      </c>
      <c r="L1954" s="138" t="s">
        <v>1292</v>
      </c>
      <c r="M1954" s="12"/>
      <c r="N1954" s="88" t="s">
        <v>1292</v>
      </c>
      <c r="P1954" t="str">
        <f>VLOOKUP(B1954,PTN!A:B,2,FALSE)</f>
        <v>UNIVERSITAS NEGERI SURABAYA</v>
      </c>
      <c r="Q1954" t="str">
        <f t="shared" si="30"/>
        <v>UNIVERSITAS NEGERI SURABAYAPEND. TATA NIAGA</v>
      </c>
    </row>
    <row r="1955" spans="1:17" ht="15.75" thickBot="1" x14ac:dyDescent="0.3">
      <c r="A1955" s="7">
        <v>1954</v>
      </c>
      <c r="B1955" s="6">
        <v>54</v>
      </c>
      <c r="C1955" s="13">
        <v>3832293</v>
      </c>
      <c r="D1955" t="s">
        <v>585</v>
      </c>
      <c r="E1955" s="13">
        <v>20</v>
      </c>
      <c r="F1955" s="10" t="s">
        <v>13</v>
      </c>
      <c r="J1955" s="138" t="s">
        <v>1292</v>
      </c>
      <c r="K1955" s="138" t="s">
        <v>1292</v>
      </c>
      <c r="L1955" s="138" t="s">
        <v>1292</v>
      </c>
      <c r="M1955" s="13"/>
      <c r="N1955" s="89" t="s">
        <v>1292</v>
      </c>
      <c r="P1955" t="str">
        <f>VLOOKUP(B1955,PTN!A:B,2,FALSE)</f>
        <v>UNIVERSITAS NEGERI SURABAYA</v>
      </c>
      <c r="Q1955" t="str">
        <f t="shared" si="30"/>
        <v>UNIVERSITAS NEGERI SURABAYAPEND. TATA RIAS</v>
      </c>
    </row>
    <row r="1956" spans="1:17" ht="15.75" thickBot="1" x14ac:dyDescent="0.3">
      <c r="A1956" s="7">
        <v>1955</v>
      </c>
      <c r="B1956" s="6">
        <v>54</v>
      </c>
      <c r="C1956" s="12">
        <v>3832196</v>
      </c>
      <c r="D1956" t="s">
        <v>586</v>
      </c>
      <c r="E1956" s="12">
        <v>22</v>
      </c>
      <c r="F1956" s="10" t="s">
        <v>13</v>
      </c>
      <c r="J1956" s="138">
        <v>569.48</v>
      </c>
      <c r="K1956" s="138">
        <v>577.61773000000005</v>
      </c>
      <c r="L1956" s="138">
        <v>561.34226999999998</v>
      </c>
      <c r="M1956" s="12"/>
      <c r="N1956" s="88">
        <v>569.48</v>
      </c>
      <c r="P1956" t="str">
        <f>VLOOKUP(B1956,PTN!A:B,2,FALSE)</f>
        <v>UNIVERSITAS NEGERI SURABAYA</v>
      </c>
      <c r="Q1956" t="str">
        <f t="shared" si="30"/>
        <v>UNIVERSITAS NEGERI SURABAYAP. GEOGRAFI</v>
      </c>
    </row>
    <row r="1957" spans="1:17" ht="15.75" thickBot="1" x14ac:dyDescent="0.3">
      <c r="A1957" s="7">
        <v>1956</v>
      </c>
      <c r="B1957" s="6">
        <v>54</v>
      </c>
      <c r="C1957" s="13">
        <v>3832076</v>
      </c>
      <c r="D1957" t="s">
        <v>587</v>
      </c>
      <c r="E1957" s="13">
        <v>22</v>
      </c>
      <c r="F1957" s="10" t="s">
        <v>13</v>
      </c>
      <c r="J1957" s="138" t="s">
        <v>1292</v>
      </c>
      <c r="K1957" s="138" t="s">
        <v>1292</v>
      </c>
      <c r="L1957" s="138" t="s">
        <v>1292</v>
      </c>
      <c r="M1957" s="13"/>
      <c r="N1957" s="89" t="s">
        <v>1292</v>
      </c>
      <c r="P1957" t="str">
        <f>VLOOKUP(B1957,PTN!A:B,2,FALSE)</f>
        <v>UNIVERSITAS NEGERI SURABAYA</v>
      </c>
      <c r="Q1957" t="str">
        <f t="shared" si="30"/>
        <v>UNIVERSITAS NEGERI SURABAYAPG-PAUD</v>
      </c>
    </row>
    <row r="1958" spans="1:17" ht="15.75" thickBot="1" x14ac:dyDescent="0.3">
      <c r="A1958" s="7">
        <v>1957</v>
      </c>
      <c r="B1958" s="6">
        <v>54</v>
      </c>
      <c r="C1958" s="12">
        <v>3832053</v>
      </c>
      <c r="D1958" t="s">
        <v>234</v>
      </c>
      <c r="E1958" s="12">
        <v>55</v>
      </c>
      <c r="F1958" s="10" t="s">
        <v>13</v>
      </c>
      <c r="J1958" s="138" t="s">
        <v>1292</v>
      </c>
      <c r="K1958" s="138" t="s">
        <v>1292</v>
      </c>
      <c r="L1958" s="138" t="s">
        <v>1292</v>
      </c>
      <c r="M1958" s="12"/>
      <c r="N1958" s="88" t="s">
        <v>1292</v>
      </c>
      <c r="P1958" t="str">
        <f>VLOOKUP(B1958,PTN!A:B,2,FALSE)</f>
        <v>UNIVERSITAS NEGERI SURABAYA</v>
      </c>
      <c r="Q1958" t="str">
        <f t="shared" si="30"/>
        <v>UNIVERSITAS NEGERI SURABAYAPGSD</v>
      </c>
    </row>
    <row r="1959" spans="1:17" ht="15.75" thickBot="1" x14ac:dyDescent="0.3">
      <c r="A1959" s="7">
        <v>1958</v>
      </c>
      <c r="B1959" s="6">
        <v>54</v>
      </c>
      <c r="C1959" s="13">
        <v>3832142</v>
      </c>
      <c r="D1959" t="s">
        <v>588</v>
      </c>
      <c r="E1959" s="13">
        <v>25</v>
      </c>
      <c r="F1959" s="10" t="s">
        <v>13</v>
      </c>
      <c r="J1959" s="138" t="s">
        <v>1292</v>
      </c>
      <c r="K1959" s="138" t="s">
        <v>1292</v>
      </c>
      <c r="L1959" s="138" t="s">
        <v>1292</v>
      </c>
      <c r="M1959" s="13"/>
      <c r="N1959" s="89" t="s">
        <v>1292</v>
      </c>
      <c r="P1959" t="str">
        <f>VLOOKUP(B1959,PTN!A:B,2,FALSE)</f>
        <v>UNIVERSITAS NEGERI SURABAYA</v>
      </c>
      <c r="Q1959" t="str">
        <f t="shared" si="30"/>
        <v>UNIVERSITAS NEGERI SURABAYAP. SENDRATASIK</v>
      </c>
    </row>
    <row r="1960" spans="1:17" ht="15.75" thickBot="1" x14ac:dyDescent="0.3">
      <c r="A1960" s="7">
        <v>1959</v>
      </c>
      <c r="B1960" s="6">
        <v>54</v>
      </c>
      <c r="C1960" s="12">
        <v>3832134</v>
      </c>
      <c r="D1960" t="s">
        <v>589</v>
      </c>
      <c r="E1960" s="12">
        <v>20</v>
      </c>
      <c r="F1960" s="10" t="s">
        <v>13</v>
      </c>
      <c r="J1960" s="138" t="s">
        <v>1292</v>
      </c>
      <c r="K1960" s="138" t="s">
        <v>1292</v>
      </c>
      <c r="L1960" s="138" t="s">
        <v>1292</v>
      </c>
      <c r="M1960" s="12"/>
      <c r="N1960" s="88" t="s">
        <v>1292</v>
      </c>
      <c r="P1960" t="str">
        <f>VLOOKUP(B1960,PTN!A:B,2,FALSE)</f>
        <v>UNIVERSITAS NEGERI SURABAYA</v>
      </c>
      <c r="Q1960" t="str">
        <f t="shared" si="30"/>
        <v>UNIVERSITAS NEGERI SURABAYAP. SENI RUPA</v>
      </c>
    </row>
    <row r="1961" spans="1:17" ht="15.75" thickBot="1" x14ac:dyDescent="0.3">
      <c r="A1961" s="7">
        <v>1960</v>
      </c>
      <c r="B1961" s="6">
        <v>54</v>
      </c>
      <c r="C1961" s="13">
        <v>3832061</v>
      </c>
      <c r="D1961" t="s">
        <v>36</v>
      </c>
      <c r="E1961" s="13">
        <v>50</v>
      </c>
      <c r="F1961" s="10" t="s">
        <v>13</v>
      </c>
      <c r="J1961" s="138">
        <v>593.1</v>
      </c>
      <c r="K1961" s="138">
        <v>601.23773000000006</v>
      </c>
      <c r="L1961" s="138">
        <v>584.96226999999999</v>
      </c>
      <c r="M1961" s="13"/>
      <c r="N1961" s="89">
        <v>593.1</v>
      </c>
      <c r="P1961" t="str">
        <f>VLOOKUP(B1961,PTN!A:B,2,FALSE)</f>
        <v>UNIVERSITAS NEGERI SURABAYA</v>
      </c>
      <c r="Q1961" t="str">
        <f t="shared" si="30"/>
        <v>UNIVERSITAS NEGERI SURABAYAPSIKOLOGI</v>
      </c>
    </row>
    <row r="1962" spans="1:17" ht="15.75" thickBot="1" x14ac:dyDescent="0.3">
      <c r="A1962" s="7">
        <v>1961</v>
      </c>
      <c r="B1962" s="6">
        <v>54</v>
      </c>
      <c r="C1962" s="12">
        <v>3832014</v>
      </c>
      <c r="D1962" t="s">
        <v>590</v>
      </c>
      <c r="E1962" s="12">
        <v>22</v>
      </c>
      <c r="F1962" s="10" t="s">
        <v>13</v>
      </c>
      <c r="J1962" s="138">
        <v>577.22</v>
      </c>
      <c r="K1962" s="138">
        <v>585.35773000000006</v>
      </c>
      <c r="L1962" s="138">
        <v>569.08226999999999</v>
      </c>
      <c r="M1962" s="12"/>
      <c r="N1962" s="88">
        <v>577.22</v>
      </c>
      <c r="P1962" t="str">
        <f>VLOOKUP(B1962,PTN!A:B,2,FALSE)</f>
        <v>UNIVERSITAS NEGERI SURABAYA</v>
      </c>
      <c r="Q1962" t="str">
        <f t="shared" si="30"/>
        <v>UNIVERSITAS NEGERI SURABAYAPSIKOLOGI PENDIDIKAN DAN BIMBINGAN</v>
      </c>
    </row>
    <row r="1963" spans="1:17" ht="15.75" thickBot="1" x14ac:dyDescent="0.3">
      <c r="A1963" s="7">
        <v>1962</v>
      </c>
      <c r="B1963" s="6">
        <v>54</v>
      </c>
      <c r="C1963" s="13">
        <v>3832157</v>
      </c>
      <c r="D1963" t="s">
        <v>62</v>
      </c>
      <c r="E1963" s="13">
        <v>11</v>
      </c>
      <c r="F1963" s="10" t="s">
        <v>13</v>
      </c>
      <c r="J1963" s="138">
        <v>569.54</v>
      </c>
      <c r="K1963" s="138">
        <v>577.67773</v>
      </c>
      <c r="L1963" s="138">
        <v>561.40226999999993</v>
      </c>
      <c r="M1963" s="13"/>
      <c r="N1963" s="89">
        <v>569.54</v>
      </c>
      <c r="P1963" t="str">
        <f>VLOOKUP(B1963,PTN!A:B,2,FALSE)</f>
        <v>UNIVERSITAS NEGERI SURABAYA</v>
      </c>
      <c r="Q1963" t="str">
        <f t="shared" si="30"/>
        <v>UNIVERSITAS NEGERI SURABAYASASTRA INDONESIA</v>
      </c>
    </row>
    <row r="1964" spans="1:17" ht="15.75" thickBot="1" x14ac:dyDescent="0.3">
      <c r="A1964" s="7">
        <v>1963</v>
      </c>
      <c r="B1964" s="6">
        <v>54</v>
      </c>
      <c r="C1964" s="12">
        <v>3832165</v>
      </c>
      <c r="D1964" t="s">
        <v>139</v>
      </c>
      <c r="E1964" s="12">
        <v>20</v>
      </c>
      <c r="F1964" s="10" t="s">
        <v>13</v>
      </c>
      <c r="J1964" s="138">
        <v>588.9</v>
      </c>
      <c r="K1964" s="138">
        <v>597.03773000000001</v>
      </c>
      <c r="L1964" s="138">
        <v>580.76226999999994</v>
      </c>
      <c r="M1964" s="12"/>
      <c r="N1964" s="88">
        <v>588.9</v>
      </c>
      <c r="P1964" t="str">
        <f>VLOOKUP(B1964,PTN!A:B,2,FALSE)</f>
        <v>UNIVERSITAS NEGERI SURABAYA</v>
      </c>
      <c r="Q1964" t="str">
        <f t="shared" si="30"/>
        <v>UNIVERSITAS NEGERI SURABAYASASTRA INGGRIS</v>
      </c>
    </row>
    <row r="1965" spans="1:17" ht="15.75" thickBot="1" x14ac:dyDescent="0.3">
      <c r="A1965" s="7">
        <v>1964</v>
      </c>
      <c r="B1965" s="6">
        <v>54</v>
      </c>
      <c r="C1965" s="13">
        <v>3832173</v>
      </c>
      <c r="D1965" t="s">
        <v>307</v>
      </c>
      <c r="E1965" s="13">
        <v>10</v>
      </c>
      <c r="F1965" s="10" t="s">
        <v>13</v>
      </c>
      <c r="J1965" s="138">
        <v>578.29</v>
      </c>
      <c r="K1965" s="138">
        <v>586.42773</v>
      </c>
      <c r="L1965" s="138">
        <v>570.15226999999993</v>
      </c>
      <c r="M1965" s="13"/>
      <c r="N1965" s="89">
        <v>578.29</v>
      </c>
      <c r="P1965" t="str">
        <f>VLOOKUP(B1965,PTN!A:B,2,FALSE)</f>
        <v>UNIVERSITAS NEGERI SURABAYA</v>
      </c>
      <c r="Q1965" t="str">
        <f t="shared" si="30"/>
        <v>UNIVERSITAS NEGERI SURABAYASASTRA JERMAN</v>
      </c>
    </row>
    <row r="1966" spans="1:17" ht="15.75" thickBot="1" x14ac:dyDescent="0.3">
      <c r="A1966" s="7">
        <v>1965</v>
      </c>
      <c r="B1966" s="6">
        <v>54</v>
      </c>
      <c r="C1966" s="12">
        <v>3832397</v>
      </c>
      <c r="D1966" t="s">
        <v>160</v>
      </c>
      <c r="E1966" s="12">
        <v>25</v>
      </c>
      <c r="F1966" s="10" t="s">
        <v>13</v>
      </c>
      <c r="J1966" s="138" t="s">
        <v>1292</v>
      </c>
      <c r="K1966" s="138" t="s">
        <v>1292</v>
      </c>
      <c r="L1966" s="138" t="s">
        <v>1292</v>
      </c>
      <c r="M1966" s="12"/>
      <c r="N1966" s="88" t="s">
        <v>1292</v>
      </c>
      <c r="P1966" t="str">
        <f>VLOOKUP(B1966,PTN!A:B,2,FALSE)</f>
        <v>UNIVERSITAS NEGERI SURABAYA</v>
      </c>
      <c r="Q1966" t="str">
        <f t="shared" si="30"/>
        <v>UNIVERSITAS NEGERI SURABAYASENI MUSIK</v>
      </c>
    </row>
    <row r="1967" spans="1:17" ht="15.75" thickBot="1" x14ac:dyDescent="0.3">
      <c r="A1967" s="7">
        <v>1966</v>
      </c>
      <c r="B1967" s="6">
        <v>54</v>
      </c>
      <c r="C1967" s="13">
        <v>3832416</v>
      </c>
      <c r="D1967" t="s">
        <v>16</v>
      </c>
      <c r="E1967" s="13">
        <v>7</v>
      </c>
      <c r="F1967" s="10" t="s">
        <v>13</v>
      </c>
      <c r="J1967" s="138" t="s">
        <v>1292</v>
      </c>
      <c r="K1967" s="138" t="s">
        <v>1292</v>
      </c>
      <c r="L1967" s="138" t="s">
        <v>1292</v>
      </c>
      <c r="M1967" s="13"/>
      <c r="N1967" s="89" t="s">
        <v>1292</v>
      </c>
      <c r="P1967" t="str">
        <f>VLOOKUP(B1967,PTN!A:B,2,FALSE)</f>
        <v>UNIVERSITAS NEGERI SURABAYA</v>
      </c>
      <c r="Q1967" t="str">
        <f t="shared" si="30"/>
        <v>UNIVERSITAS NEGERI SURABAYASENI RUPA MURNI</v>
      </c>
    </row>
    <row r="1968" spans="1:17" ht="15.75" thickBot="1" x14ac:dyDescent="0.3">
      <c r="A1968" s="7">
        <v>1967</v>
      </c>
      <c r="B1968" s="6">
        <v>54</v>
      </c>
      <c r="C1968" s="14">
        <v>3832215</v>
      </c>
      <c r="D1968" t="s">
        <v>63</v>
      </c>
      <c r="E1968" s="14">
        <v>25</v>
      </c>
      <c r="F1968" s="10" t="s">
        <v>13</v>
      </c>
      <c r="J1968" s="138">
        <v>582.05999999999995</v>
      </c>
      <c r="K1968" s="138">
        <v>590.19772999999998</v>
      </c>
      <c r="L1968" s="138">
        <v>573.92226999999991</v>
      </c>
      <c r="M1968" s="12"/>
      <c r="N1968" s="88">
        <v>582.05999999999995</v>
      </c>
      <c r="P1968" t="str">
        <f>VLOOKUP(B1968,PTN!A:B,2,FALSE)</f>
        <v>UNIVERSITAS NEGERI SURABAYA</v>
      </c>
      <c r="Q1968" t="str">
        <f t="shared" si="30"/>
        <v>UNIVERSITAS NEGERI SURABAYASOSIOLOGI</v>
      </c>
    </row>
    <row r="1969" spans="1:17" ht="16.5" thickTop="1" thickBot="1" x14ac:dyDescent="0.3">
      <c r="A1969" s="7">
        <v>1968</v>
      </c>
      <c r="B1969" s="6">
        <v>55</v>
      </c>
      <c r="C1969" s="12">
        <v>3841021</v>
      </c>
      <c r="D1969" t="s">
        <v>37</v>
      </c>
      <c r="E1969" s="12">
        <v>54</v>
      </c>
      <c r="F1969" s="10" t="s">
        <v>20</v>
      </c>
      <c r="J1969" s="138" t="s">
        <v>1292</v>
      </c>
      <c r="K1969" s="138" t="s">
        <v>1292</v>
      </c>
      <c r="L1969" s="138" t="s">
        <v>1292</v>
      </c>
      <c r="M1969" s="21"/>
      <c r="N1969" s="83" t="s">
        <v>1292</v>
      </c>
      <c r="P1969" t="str">
        <f>VLOOKUP(B1969,PTN!A:B,2,FALSE)</f>
        <v>UNIVERSITAS TRUNOJOYO MADURA</v>
      </c>
      <c r="Q1969" t="str">
        <f t="shared" si="30"/>
        <v>UNIVERSITAS TRUNOJOYO MADURAAGRIBISNIS</v>
      </c>
    </row>
    <row r="1970" spans="1:17" ht="15.75" thickBot="1" x14ac:dyDescent="0.3">
      <c r="A1970" s="7">
        <v>1969</v>
      </c>
      <c r="B1970" s="6">
        <v>55</v>
      </c>
      <c r="C1970" s="13">
        <v>3841013</v>
      </c>
      <c r="D1970" t="s">
        <v>38</v>
      </c>
      <c r="E1970" s="13">
        <v>54</v>
      </c>
      <c r="F1970" s="10" t="s">
        <v>20</v>
      </c>
      <c r="J1970" s="138" t="s">
        <v>1292</v>
      </c>
      <c r="K1970" s="138" t="s">
        <v>1292</v>
      </c>
      <c r="L1970" s="138" t="s">
        <v>1292</v>
      </c>
      <c r="M1970" s="21"/>
      <c r="N1970" s="83" t="s">
        <v>1292</v>
      </c>
      <c r="P1970" t="str">
        <f>VLOOKUP(B1970,PTN!A:B,2,FALSE)</f>
        <v>UNIVERSITAS TRUNOJOYO MADURA</v>
      </c>
      <c r="Q1970" t="str">
        <f t="shared" si="30"/>
        <v>UNIVERSITAS TRUNOJOYO MADURAAGROEKOTEKNOLOGI</v>
      </c>
    </row>
    <row r="1971" spans="1:17" ht="16.5" thickTop="1" thickBot="1" x14ac:dyDescent="0.3">
      <c r="A1971" s="7">
        <v>1970</v>
      </c>
      <c r="B1971" s="6">
        <v>55</v>
      </c>
      <c r="C1971" s="12">
        <v>3841044</v>
      </c>
      <c r="D1971" t="s">
        <v>40</v>
      </c>
      <c r="E1971" s="12">
        <v>54</v>
      </c>
      <c r="F1971" s="10" t="s">
        <v>20</v>
      </c>
      <c r="J1971" s="138" t="s">
        <v>1292</v>
      </c>
      <c r="K1971" s="138" t="s">
        <v>1292</v>
      </c>
      <c r="L1971" s="138" t="s">
        <v>1292</v>
      </c>
      <c r="M1971" s="24"/>
      <c r="N1971" s="84" t="s">
        <v>1292</v>
      </c>
      <c r="P1971" t="str">
        <f>VLOOKUP(B1971,PTN!A:B,2,FALSE)</f>
        <v>UNIVERSITAS TRUNOJOYO MADURA</v>
      </c>
      <c r="Q1971" t="str">
        <f t="shared" si="30"/>
        <v>UNIVERSITAS TRUNOJOYO MADURAILMU KELAUTAN</v>
      </c>
    </row>
    <row r="1972" spans="1:17" ht="16.5" thickTop="1" thickBot="1" x14ac:dyDescent="0.3">
      <c r="A1972" s="7">
        <v>1971</v>
      </c>
      <c r="B1972" s="6">
        <v>55</v>
      </c>
      <c r="C1972" s="13">
        <v>3841102</v>
      </c>
      <c r="D1972" t="s">
        <v>213</v>
      </c>
      <c r="E1972" s="13">
        <v>36</v>
      </c>
      <c r="F1972" s="10" t="s">
        <v>20</v>
      </c>
      <c r="J1972" s="138" t="s">
        <v>1292</v>
      </c>
      <c r="K1972" s="138" t="s">
        <v>1292</v>
      </c>
      <c r="L1972" s="138" t="s">
        <v>1292</v>
      </c>
      <c r="M1972" s="12"/>
      <c r="N1972" s="88" t="s">
        <v>1292</v>
      </c>
      <c r="P1972" t="str">
        <f>VLOOKUP(B1972,PTN!A:B,2,FALSE)</f>
        <v>UNIVERSITAS TRUNOJOYO MADURA</v>
      </c>
      <c r="Q1972" t="str">
        <f t="shared" si="30"/>
        <v>UNIVERSITAS TRUNOJOYO MADURAMANAJEMEN SUMBERDAYA PERAIRAN</v>
      </c>
    </row>
    <row r="1973" spans="1:17" ht="15.75" thickBot="1" x14ac:dyDescent="0.3">
      <c r="A1973" s="7">
        <v>1972</v>
      </c>
      <c r="B1973" s="6">
        <v>55</v>
      </c>
      <c r="C1973" s="12">
        <v>3841091</v>
      </c>
      <c r="D1973" t="s">
        <v>176</v>
      </c>
      <c r="E1973" s="12">
        <v>64</v>
      </c>
      <c r="F1973" s="10" t="s">
        <v>20</v>
      </c>
      <c r="J1973" s="138" t="s">
        <v>1292</v>
      </c>
      <c r="K1973" s="138" t="s">
        <v>1292</v>
      </c>
      <c r="L1973" s="138" t="s">
        <v>1292</v>
      </c>
      <c r="M1973" s="13"/>
      <c r="N1973" s="89" t="s">
        <v>1292</v>
      </c>
      <c r="P1973" t="str">
        <f>VLOOKUP(B1973,PTN!A:B,2,FALSE)</f>
        <v>UNIVERSITAS TRUNOJOYO MADURA</v>
      </c>
      <c r="Q1973" t="str">
        <f t="shared" si="30"/>
        <v>UNIVERSITAS TRUNOJOYO MADURAPENDIDIKAN ILMU PENGETAHUAN ALAM</v>
      </c>
    </row>
    <row r="1974" spans="1:17" ht="15.75" thickBot="1" x14ac:dyDescent="0.3">
      <c r="A1974" s="7">
        <v>1973</v>
      </c>
      <c r="B1974" s="6">
        <v>55</v>
      </c>
      <c r="C1974" s="13">
        <v>3841083</v>
      </c>
      <c r="D1974" t="s">
        <v>313</v>
      </c>
      <c r="E1974" s="13">
        <v>64</v>
      </c>
      <c r="F1974" s="10" t="s">
        <v>20</v>
      </c>
      <c r="J1974" s="138" t="s">
        <v>1292</v>
      </c>
      <c r="K1974" s="138" t="s">
        <v>1292</v>
      </c>
      <c r="L1974" s="138" t="s">
        <v>1292</v>
      </c>
      <c r="M1974" s="12"/>
      <c r="N1974" s="88" t="s">
        <v>1292</v>
      </c>
      <c r="P1974" t="str">
        <f>VLOOKUP(B1974,PTN!A:B,2,FALSE)</f>
        <v>UNIVERSITAS TRUNOJOYO MADURA</v>
      </c>
      <c r="Q1974" t="str">
        <f t="shared" si="30"/>
        <v>UNIVERSITAS TRUNOJOYO MADURAPENDIDIKAN INFORMATIKA</v>
      </c>
    </row>
    <row r="1975" spans="1:17" ht="15.75" thickBot="1" x14ac:dyDescent="0.3">
      <c r="A1975" s="7">
        <v>1974</v>
      </c>
      <c r="B1975" s="6">
        <v>55</v>
      </c>
      <c r="C1975" s="12">
        <v>3841133</v>
      </c>
      <c r="D1975" t="s">
        <v>46</v>
      </c>
      <c r="E1975" s="12">
        <v>80</v>
      </c>
      <c r="F1975" s="10" t="s">
        <v>20</v>
      </c>
      <c r="J1975" s="138" t="s">
        <v>1292</v>
      </c>
      <c r="K1975" s="138" t="s">
        <v>1292</v>
      </c>
      <c r="L1975" s="138" t="s">
        <v>1292</v>
      </c>
      <c r="M1975" s="13"/>
      <c r="N1975" s="89" t="s">
        <v>1292</v>
      </c>
      <c r="P1975" t="str">
        <f>VLOOKUP(B1975,PTN!A:B,2,FALSE)</f>
        <v>UNIVERSITAS TRUNOJOYO MADURA</v>
      </c>
      <c r="Q1975" t="str">
        <f t="shared" si="30"/>
        <v>UNIVERSITAS TRUNOJOYO MADURASISTEM INFORMASI</v>
      </c>
    </row>
    <row r="1976" spans="1:17" ht="15.75" thickBot="1" x14ac:dyDescent="0.3">
      <c r="A1976" s="7">
        <v>1975</v>
      </c>
      <c r="B1976" s="6">
        <v>55</v>
      </c>
      <c r="C1976" s="13">
        <v>3841075</v>
      </c>
      <c r="D1976" t="s">
        <v>48</v>
      </c>
      <c r="E1976" s="13">
        <v>48</v>
      </c>
      <c r="F1976" s="10" t="s">
        <v>20</v>
      </c>
      <c r="J1976" s="138" t="s">
        <v>1292</v>
      </c>
      <c r="K1976" s="138" t="s">
        <v>1292</v>
      </c>
      <c r="L1976" s="138" t="s">
        <v>1292</v>
      </c>
      <c r="M1976" s="12"/>
      <c r="N1976" s="88" t="s">
        <v>1292</v>
      </c>
      <c r="P1976" t="str">
        <f>VLOOKUP(B1976,PTN!A:B,2,FALSE)</f>
        <v>UNIVERSITAS TRUNOJOYO MADURA</v>
      </c>
      <c r="Q1976" t="str">
        <f t="shared" si="30"/>
        <v>UNIVERSITAS TRUNOJOYO MADURATEKNIK ELEKTRO</v>
      </c>
    </row>
    <row r="1977" spans="1:17" ht="15.75" thickBot="1" x14ac:dyDescent="0.3">
      <c r="A1977" s="7">
        <v>1976</v>
      </c>
      <c r="B1977" s="6">
        <v>55</v>
      </c>
      <c r="C1977" s="12">
        <v>3841052</v>
      </c>
      <c r="D1977" t="s">
        <v>49</v>
      </c>
      <c r="E1977" s="12">
        <v>80</v>
      </c>
      <c r="F1977" s="10" t="s">
        <v>20</v>
      </c>
      <c r="J1977" s="138" t="s">
        <v>1292</v>
      </c>
      <c r="K1977" s="138" t="s">
        <v>1292</v>
      </c>
      <c r="L1977" s="138" t="s">
        <v>1292</v>
      </c>
      <c r="M1977" s="13"/>
      <c r="N1977" s="89" t="s">
        <v>1292</v>
      </c>
      <c r="P1977" t="str">
        <f>VLOOKUP(B1977,PTN!A:B,2,FALSE)</f>
        <v>UNIVERSITAS TRUNOJOYO MADURA</v>
      </c>
      <c r="Q1977" t="str">
        <f t="shared" si="30"/>
        <v>UNIVERSITAS TRUNOJOYO MADURATEKNIK INDUSTRI</v>
      </c>
    </row>
    <row r="1978" spans="1:17" ht="15.75" thickBot="1" x14ac:dyDescent="0.3">
      <c r="A1978" s="7">
        <v>1977</v>
      </c>
      <c r="B1978" s="6">
        <v>55</v>
      </c>
      <c r="C1978" s="13">
        <v>3841067</v>
      </c>
      <c r="D1978" t="s">
        <v>50</v>
      </c>
      <c r="E1978" s="13">
        <v>80</v>
      </c>
      <c r="F1978" s="10" t="s">
        <v>20</v>
      </c>
      <c r="J1978" s="138" t="s">
        <v>1292</v>
      </c>
      <c r="K1978" s="138" t="s">
        <v>1292</v>
      </c>
      <c r="L1978" s="138" t="s">
        <v>1292</v>
      </c>
      <c r="M1978" s="12"/>
      <c r="N1978" s="88" t="s">
        <v>1292</v>
      </c>
      <c r="P1978" t="str">
        <f>VLOOKUP(B1978,PTN!A:B,2,FALSE)</f>
        <v>UNIVERSITAS TRUNOJOYO MADURA</v>
      </c>
      <c r="Q1978" t="str">
        <f t="shared" si="30"/>
        <v>UNIVERSITAS TRUNOJOYO MADURATEKNIK INFORMATIKA</v>
      </c>
    </row>
    <row r="1979" spans="1:17" ht="15.75" thickBot="1" x14ac:dyDescent="0.3">
      <c r="A1979" s="7">
        <v>1978</v>
      </c>
      <c r="B1979" s="6">
        <v>55</v>
      </c>
      <c r="C1979" s="12">
        <v>3841125</v>
      </c>
      <c r="D1979" t="s">
        <v>591</v>
      </c>
      <c r="E1979" s="12">
        <v>48</v>
      </c>
      <c r="F1979" s="10" t="s">
        <v>20</v>
      </c>
      <c r="J1979" s="138" t="s">
        <v>1292</v>
      </c>
      <c r="K1979" s="138" t="s">
        <v>1292</v>
      </c>
      <c r="L1979" s="138" t="s">
        <v>1292</v>
      </c>
      <c r="M1979" s="13"/>
      <c r="N1979" s="89" t="s">
        <v>1292</v>
      </c>
      <c r="P1979" t="str">
        <f>VLOOKUP(B1979,PTN!A:B,2,FALSE)</f>
        <v>UNIVERSITAS TRUNOJOYO MADURA</v>
      </c>
      <c r="Q1979" t="str">
        <f t="shared" si="30"/>
        <v>UNIVERSITAS TRUNOJOYO MADURATEKNIK MEKATRONIKA</v>
      </c>
    </row>
    <row r="1980" spans="1:17" ht="15.75" thickBot="1" x14ac:dyDescent="0.3">
      <c r="A1980" s="7">
        <v>1979</v>
      </c>
      <c r="B1980" s="6">
        <v>55</v>
      </c>
      <c r="C1980" s="13">
        <v>3841117</v>
      </c>
      <c r="D1980" t="s">
        <v>53</v>
      </c>
      <c r="E1980" s="13">
        <v>48</v>
      </c>
      <c r="F1980" s="10" t="s">
        <v>20</v>
      </c>
      <c r="J1980" s="138" t="s">
        <v>1292</v>
      </c>
      <c r="K1980" s="138" t="s">
        <v>1292</v>
      </c>
      <c r="L1980" s="138" t="s">
        <v>1292</v>
      </c>
      <c r="M1980" s="12"/>
      <c r="N1980" s="88" t="s">
        <v>1292</v>
      </c>
      <c r="P1980" t="str">
        <f>VLOOKUP(B1980,PTN!A:B,2,FALSE)</f>
        <v>UNIVERSITAS TRUNOJOYO MADURA</v>
      </c>
      <c r="Q1980" t="str">
        <f t="shared" si="30"/>
        <v>UNIVERSITAS TRUNOJOYO MADURATEKNIK MESIN</v>
      </c>
    </row>
    <row r="1981" spans="1:17" ht="15.75" thickBot="1" x14ac:dyDescent="0.3">
      <c r="A1981" s="7">
        <v>1980</v>
      </c>
      <c r="B1981" s="6">
        <v>55</v>
      </c>
      <c r="C1981" s="14">
        <v>3841036</v>
      </c>
      <c r="D1981" t="s">
        <v>166</v>
      </c>
      <c r="E1981" s="14">
        <v>54</v>
      </c>
      <c r="F1981" s="10" t="s">
        <v>20</v>
      </c>
      <c r="J1981" s="138" t="s">
        <v>1292</v>
      </c>
      <c r="K1981" s="138" t="s">
        <v>1292</v>
      </c>
      <c r="L1981" s="138" t="s">
        <v>1292</v>
      </c>
      <c r="M1981" s="21"/>
      <c r="N1981" s="83" t="s">
        <v>1292</v>
      </c>
      <c r="P1981" t="str">
        <f>VLOOKUP(B1981,PTN!A:B,2,FALSE)</f>
        <v>UNIVERSITAS TRUNOJOYO MADURA</v>
      </c>
      <c r="Q1981" t="str">
        <f t="shared" si="30"/>
        <v>UNIVERSITAS TRUNOJOYO MADURATEKNOLOGI INDUSTRI PERTANIAN</v>
      </c>
    </row>
    <row r="1982" spans="1:17" ht="16.5" thickTop="1" thickBot="1" x14ac:dyDescent="0.3">
      <c r="A1982" s="7">
        <v>1981</v>
      </c>
      <c r="B1982" s="6">
        <v>55</v>
      </c>
      <c r="C1982" s="12">
        <v>3842063</v>
      </c>
      <c r="D1982" t="s">
        <v>55</v>
      </c>
      <c r="E1982" s="12">
        <v>104</v>
      </c>
      <c r="F1982" s="10" t="s">
        <v>13</v>
      </c>
      <c r="J1982" s="138" t="s">
        <v>1292</v>
      </c>
      <c r="K1982" s="138" t="s">
        <v>1292</v>
      </c>
      <c r="L1982" s="138" t="s">
        <v>1292</v>
      </c>
      <c r="M1982" s="21"/>
      <c r="N1982" s="83" t="s">
        <v>1292</v>
      </c>
      <c r="P1982" t="str">
        <f>VLOOKUP(B1982,PTN!A:B,2,FALSE)</f>
        <v>UNIVERSITAS TRUNOJOYO MADURA</v>
      </c>
      <c r="Q1982" t="str">
        <f t="shared" si="30"/>
        <v>UNIVERSITAS TRUNOJOYO MADURAAKUNTANSI</v>
      </c>
    </row>
    <row r="1983" spans="1:17" ht="16.5" thickTop="1" thickBot="1" x14ac:dyDescent="0.3">
      <c r="A1983" s="7">
        <v>1982</v>
      </c>
      <c r="B1983" s="6">
        <v>55</v>
      </c>
      <c r="C1983" s="13">
        <v>3842071</v>
      </c>
      <c r="D1983" t="s">
        <v>69</v>
      </c>
      <c r="E1983" s="13">
        <v>104</v>
      </c>
      <c r="F1983" s="10" t="s">
        <v>13</v>
      </c>
      <c r="J1983" s="138" t="s">
        <v>1292</v>
      </c>
      <c r="K1983" s="138" t="s">
        <v>1292</v>
      </c>
      <c r="L1983" s="138" t="s">
        <v>1292</v>
      </c>
      <c r="M1983" s="24"/>
      <c r="N1983" s="84" t="s">
        <v>1292</v>
      </c>
      <c r="P1983" t="str">
        <f>VLOOKUP(B1983,PTN!A:B,2,FALSE)</f>
        <v>UNIVERSITAS TRUNOJOYO MADURA</v>
      </c>
      <c r="Q1983" t="str">
        <f t="shared" si="30"/>
        <v>UNIVERSITAS TRUNOJOYO MADURAEKONOMI PEMBANGUNAN</v>
      </c>
    </row>
    <row r="1984" spans="1:17" ht="16.5" thickTop="1" thickBot="1" x14ac:dyDescent="0.3">
      <c r="A1984" s="7">
        <v>1983</v>
      </c>
      <c r="B1984" s="6">
        <v>55</v>
      </c>
      <c r="C1984" s="12">
        <v>3842113</v>
      </c>
      <c r="D1984" t="s">
        <v>28</v>
      </c>
      <c r="E1984" s="12">
        <v>120</v>
      </c>
      <c r="F1984" s="10" t="s">
        <v>13</v>
      </c>
      <c r="J1984" s="138" t="s">
        <v>1292</v>
      </c>
      <c r="K1984" s="138" t="s">
        <v>1292</v>
      </c>
      <c r="L1984" s="138" t="s">
        <v>1292</v>
      </c>
      <c r="M1984" s="12"/>
      <c r="N1984" s="88" t="s">
        <v>1292</v>
      </c>
      <c r="P1984" t="str">
        <f>VLOOKUP(B1984,PTN!A:B,2,FALSE)</f>
        <v>UNIVERSITAS TRUNOJOYO MADURA</v>
      </c>
      <c r="Q1984" t="str">
        <f t="shared" si="30"/>
        <v>UNIVERSITAS TRUNOJOYO MADURAEKONOMI SYARIAH</v>
      </c>
    </row>
    <row r="1985" spans="1:17" ht="15.75" thickBot="1" x14ac:dyDescent="0.3">
      <c r="A1985" s="7">
        <v>1984</v>
      </c>
      <c r="B1985" s="6">
        <v>55</v>
      </c>
      <c r="C1985" s="13">
        <v>3842105</v>
      </c>
      <c r="D1985" t="s">
        <v>592</v>
      </c>
      <c r="E1985" s="13">
        <v>76</v>
      </c>
      <c r="F1985" s="10" t="s">
        <v>13</v>
      </c>
      <c r="J1985" s="138" t="s">
        <v>1292</v>
      </c>
      <c r="K1985" s="138" t="s">
        <v>1292</v>
      </c>
      <c r="L1985" s="138" t="s">
        <v>1292</v>
      </c>
      <c r="M1985" s="13"/>
      <c r="N1985" s="89" t="s">
        <v>1292</v>
      </c>
      <c r="P1985" t="str">
        <f>VLOOKUP(B1985,PTN!A:B,2,FALSE)</f>
        <v>UNIVERSITAS TRUNOJOYO MADURA</v>
      </c>
      <c r="Q1985" t="str">
        <f t="shared" si="30"/>
        <v>UNIVERSITAS TRUNOJOYO MADURAHUKUM BISNIS SYARIAH</v>
      </c>
    </row>
    <row r="1986" spans="1:17" ht="15.75" thickBot="1" x14ac:dyDescent="0.3">
      <c r="A1986" s="7">
        <v>1985</v>
      </c>
      <c r="B1986" s="6">
        <v>55</v>
      </c>
      <c r="C1986" s="12">
        <v>3842016</v>
      </c>
      <c r="D1986" t="s">
        <v>31</v>
      </c>
      <c r="E1986" s="12">
        <v>180</v>
      </c>
      <c r="F1986" s="10" t="s">
        <v>13</v>
      </c>
      <c r="J1986" s="138" t="s">
        <v>1292</v>
      </c>
      <c r="K1986" s="138" t="s">
        <v>1292</v>
      </c>
      <c r="L1986" s="138" t="s">
        <v>1292</v>
      </c>
      <c r="M1986" s="12"/>
      <c r="N1986" s="88" t="s">
        <v>1292</v>
      </c>
      <c r="P1986" t="str">
        <f>VLOOKUP(B1986,PTN!A:B,2,FALSE)</f>
        <v>UNIVERSITAS TRUNOJOYO MADURA</v>
      </c>
      <c r="Q1986" t="str">
        <f t="shared" si="30"/>
        <v>UNIVERSITAS TRUNOJOYO MADURAILMU HUKUM</v>
      </c>
    </row>
    <row r="1987" spans="1:17" ht="15.75" thickBot="1" x14ac:dyDescent="0.3">
      <c r="A1987" s="7">
        <v>1986</v>
      </c>
      <c r="B1987" s="6">
        <v>55</v>
      </c>
      <c r="C1987" s="13">
        <v>3842047</v>
      </c>
      <c r="D1987" t="s">
        <v>60</v>
      </c>
      <c r="E1987" s="13">
        <v>66</v>
      </c>
      <c r="F1987" s="10" t="s">
        <v>13</v>
      </c>
      <c r="J1987" s="138" t="s">
        <v>1292</v>
      </c>
      <c r="K1987" s="138" t="s">
        <v>1292</v>
      </c>
      <c r="L1987" s="138" t="s">
        <v>1292</v>
      </c>
      <c r="M1987" s="13"/>
      <c r="N1987" s="89" t="s">
        <v>1292</v>
      </c>
      <c r="P1987" t="str">
        <f>VLOOKUP(B1987,PTN!A:B,2,FALSE)</f>
        <v>UNIVERSITAS TRUNOJOYO MADURA</v>
      </c>
      <c r="Q1987" t="str">
        <f t="shared" ref="Q1987:Q2050" si="31">P1987&amp;D1987</f>
        <v>UNIVERSITAS TRUNOJOYO MADURAILMU KOMUNIKASI</v>
      </c>
    </row>
    <row r="1988" spans="1:17" ht="15.75" thickBot="1" x14ac:dyDescent="0.3">
      <c r="A1988" s="7">
        <v>1987</v>
      </c>
      <c r="B1988" s="6">
        <v>55</v>
      </c>
      <c r="C1988" s="12">
        <v>3842055</v>
      </c>
      <c r="D1988" t="s">
        <v>61</v>
      </c>
      <c r="E1988" s="12">
        <v>116</v>
      </c>
      <c r="F1988" s="10" t="s">
        <v>13</v>
      </c>
      <c r="J1988" s="138" t="s">
        <v>1292</v>
      </c>
      <c r="K1988" s="138" t="s">
        <v>1292</v>
      </c>
      <c r="L1988" s="138" t="s">
        <v>1292</v>
      </c>
      <c r="M1988" s="12"/>
      <c r="N1988" s="88" t="s">
        <v>1292</v>
      </c>
      <c r="P1988" t="str">
        <f>VLOOKUP(B1988,PTN!A:B,2,FALSE)</f>
        <v>UNIVERSITAS TRUNOJOYO MADURA</v>
      </c>
      <c r="Q1988" t="str">
        <f t="shared" si="31"/>
        <v>UNIVERSITAS TRUNOJOYO MADURAMANAJEMEN</v>
      </c>
    </row>
    <row r="1989" spans="1:17" ht="15.75" thickBot="1" x14ac:dyDescent="0.3">
      <c r="A1989" s="7">
        <v>1988</v>
      </c>
      <c r="B1989" s="6">
        <v>55</v>
      </c>
      <c r="C1989" s="13">
        <v>3842121</v>
      </c>
      <c r="D1989" t="s">
        <v>99</v>
      </c>
      <c r="E1989" s="13">
        <v>64</v>
      </c>
      <c r="F1989" s="10" t="s">
        <v>13</v>
      </c>
      <c r="J1989" s="138" t="s">
        <v>1292</v>
      </c>
      <c r="K1989" s="138" t="s">
        <v>1292</v>
      </c>
      <c r="L1989" s="138" t="s">
        <v>1292</v>
      </c>
      <c r="M1989" s="13"/>
      <c r="N1989" s="89" t="s">
        <v>1292</v>
      </c>
      <c r="P1989" t="str">
        <f>VLOOKUP(B1989,PTN!A:B,2,FALSE)</f>
        <v>UNIVERSITAS TRUNOJOYO MADURA</v>
      </c>
      <c r="Q1989" t="str">
        <f t="shared" si="31"/>
        <v>UNIVERSITAS TRUNOJOYO MADURAPENDIDIKAN BAHASA DAN SASTRA INDONESIA</v>
      </c>
    </row>
    <row r="1990" spans="1:17" ht="15.75" thickBot="1" x14ac:dyDescent="0.3">
      <c r="A1990" s="7">
        <v>1989</v>
      </c>
      <c r="B1990" s="6">
        <v>55</v>
      </c>
      <c r="C1990" s="12">
        <v>3842136</v>
      </c>
      <c r="D1990" t="s">
        <v>593</v>
      </c>
      <c r="E1990" s="12">
        <v>48</v>
      </c>
      <c r="F1990" s="10" t="s">
        <v>13</v>
      </c>
      <c r="J1990" s="138" t="s">
        <v>1292</v>
      </c>
      <c r="K1990" s="138" t="s">
        <v>1292</v>
      </c>
      <c r="L1990" s="138" t="s">
        <v>1292</v>
      </c>
      <c r="M1990" s="12"/>
      <c r="N1990" s="88" t="s">
        <v>1292</v>
      </c>
      <c r="P1990" t="str">
        <f>VLOOKUP(B1990,PTN!A:B,2,FALSE)</f>
        <v>UNIVERSITAS TRUNOJOYO MADURA</v>
      </c>
      <c r="Q1990" t="str">
        <f t="shared" si="31"/>
        <v>UNIVERSITAS TRUNOJOYO MADURAPENDIDIKAN GURU ANAK USIA DINI</v>
      </c>
    </row>
    <row r="1991" spans="1:17" ht="15.75" thickBot="1" x14ac:dyDescent="0.3">
      <c r="A1991" s="7">
        <v>1990</v>
      </c>
      <c r="B1991" s="6">
        <v>55</v>
      </c>
      <c r="C1991" s="13">
        <v>3842094</v>
      </c>
      <c r="D1991" t="s">
        <v>234</v>
      </c>
      <c r="E1991" s="13">
        <v>120</v>
      </c>
      <c r="F1991" s="10" t="s">
        <v>13</v>
      </c>
      <c r="J1991" s="138" t="s">
        <v>1292</v>
      </c>
      <c r="K1991" s="138" t="s">
        <v>1292</v>
      </c>
      <c r="L1991" s="138" t="s">
        <v>1292</v>
      </c>
      <c r="M1991" s="13"/>
      <c r="N1991" s="89" t="s">
        <v>1292</v>
      </c>
      <c r="P1991" t="str">
        <f>VLOOKUP(B1991,PTN!A:B,2,FALSE)</f>
        <v>UNIVERSITAS TRUNOJOYO MADURA</v>
      </c>
      <c r="Q1991" t="str">
        <f t="shared" si="31"/>
        <v>UNIVERSITAS TRUNOJOYO MADURAPGSD</v>
      </c>
    </row>
    <row r="1992" spans="1:17" ht="15.75" thickBot="1" x14ac:dyDescent="0.3">
      <c r="A1992" s="7">
        <v>1991</v>
      </c>
      <c r="B1992" s="6">
        <v>55</v>
      </c>
      <c r="C1992" s="12">
        <v>3842086</v>
      </c>
      <c r="D1992" t="s">
        <v>36</v>
      </c>
      <c r="E1992" s="12">
        <v>66</v>
      </c>
      <c r="F1992" s="10" t="s">
        <v>13</v>
      </c>
      <c r="J1992" s="138" t="s">
        <v>1292</v>
      </c>
      <c r="K1992" s="138" t="s">
        <v>1292</v>
      </c>
      <c r="L1992" s="138" t="s">
        <v>1292</v>
      </c>
      <c r="M1992" s="12"/>
      <c r="N1992" s="88" t="s">
        <v>1292</v>
      </c>
      <c r="P1992" t="str">
        <f>VLOOKUP(B1992,PTN!A:B,2,FALSE)</f>
        <v>UNIVERSITAS TRUNOJOYO MADURA</v>
      </c>
      <c r="Q1992" t="str">
        <f t="shared" si="31"/>
        <v>UNIVERSITAS TRUNOJOYO MADURAPSIKOLOGI</v>
      </c>
    </row>
    <row r="1993" spans="1:17" ht="15.75" thickBot="1" x14ac:dyDescent="0.3">
      <c r="A1993" s="7">
        <v>1992</v>
      </c>
      <c r="B1993" s="6">
        <v>55</v>
      </c>
      <c r="C1993" s="13">
        <v>3842024</v>
      </c>
      <c r="D1993" t="s">
        <v>139</v>
      </c>
      <c r="E1993" s="13">
        <v>66</v>
      </c>
      <c r="F1993" s="10" t="s">
        <v>13</v>
      </c>
      <c r="J1993" s="138" t="s">
        <v>1292</v>
      </c>
      <c r="K1993" s="138" t="s">
        <v>1292</v>
      </c>
      <c r="L1993" s="138" t="s">
        <v>1292</v>
      </c>
      <c r="M1993" s="13"/>
      <c r="N1993" s="89" t="s">
        <v>1292</v>
      </c>
      <c r="P1993" t="str">
        <f>VLOOKUP(B1993,PTN!A:B,2,FALSE)</f>
        <v>UNIVERSITAS TRUNOJOYO MADURA</v>
      </c>
      <c r="Q1993" t="str">
        <f t="shared" si="31"/>
        <v>UNIVERSITAS TRUNOJOYO MADURASASTRA INGGRIS</v>
      </c>
    </row>
    <row r="1994" spans="1:17" ht="15.75" thickBot="1" x14ac:dyDescent="0.3">
      <c r="A1994" s="7">
        <v>1993</v>
      </c>
      <c r="B1994" s="6">
        <v>55</v>
      </c>
      <c r="C1994" s="14">
        <v>3842032</v>
      </c>
      <c r="D1994" t="s">
        <v>63</v>
      </c>
      <c r="E1994" s="14">
        <v>82</v>
      </c>
      <c r="F1994" s="10" t="s">
        <v>13</v>
      </c>
      <c r="J1994" s="138" t="s">
        <v>1292</v>
      </c>
      <c r="K1994" s="138" t="s">
        <v>1292</v>
      </c>
      <c r="L1994" s="138" t="s">
        <v>1292</v>
      </c>
      <c r="M1994" s="12"/>
      <c r="N1994" s="88" t="s">
        <v>1292</v>
      </c>
      <c r="P1994" t="str">
        <f>VLOOKUP(B1994,PTN!A:B,2,FALSE)</f>
        <v>UNIVERSITAS TRUNOJOYO MADURA</v>
      </c>
      <c r="Q1994" t="str">
        <f t="shared" si="31"/>
        <v>UNIVERSITAS TRUNOJOYO MADURASOSIOLOGI</v>
      </c>
    </row>
    <row r="1995" spans="1:17" ht="16.5" thickTop="1" thickBot="1" x14ac:dyDescent="0.3">
      <c r="A1995" s="7">
        <v>1994</v>
      </c>
      <c r="B1995" s="6">
        <v>56</v>
      </c>
      <c r="C1995" s="17">
        <v>3851015</v>
      </c>
      <c r="D1995" t="s">
        <v>37</v>
      </c>
      <c r="E1995" s="17">
        <v>40</v>
      </c>
      <c r="F1995" s="10" t="s">
        <v>20</v>
      </c>
      <c r="J1995" s="138" t="s">
        <v>1292</v>
      </c>
      <c r="K1995" s="138" t="s">
        <v>1292</v>
      </c>
      <c r="L1995" s="138" t="s">
        <v>1292</v>
      </c>
      <c r="M1995" s="21"/>
      <c r="N1995" s="83" t="s">
        <v>1292</v>
      </c>
      <c r="P1995" t="str">
        <f>VLOOKUP(B1995,PTN!A:B,2,FALSE)</f>
        <v>UPN VETERAN JAWA TIMUR</v>
      </c>
      <c r="Q1995" t="str">
        <f t="shared" si="31"/>
        <v>UPN VETERAN JAWA TIMURAGRIBISNIS</v>
      </c>
    </row>
    <row r="1996" spans="1:17" ht="15.75" thickBot="1" x14ac:dyDescent="0.3">
      <c r="A1996" s="7">
        <v>1995</v>
      </c>
      <c r="B1996" s="6">
        <v>56</v>
      </c>
      <c r="C1996" s="18">
        <v>3851023</v>
      </c>
      <c r="D1996" t="s">
        <v>64</v>
      </c>
      <c r="E1996" s="18">
        <v>48</v>
      </c>
      <c r="F1996" s="10" t="s">
        <v>20</v>
      </c>
      <c r="J1996" s="138" t="s">
        <v>1292</v>
      </c>
      <c r="K1996" s="138" t="s">
        <v>1292</v>
      </c>
      <c r="L1996" s="138" t="s">
        <v>1292</v>
      </c>
      <c r="M1996" s="21"/>
      <c r="N1996" s="83" t="s">
        <v>1292</v>
      </c>
      <c r="P1996" t="str">
        <f>VLOOKUP(B1996,PTN!A:B,2,FALSE)</f>
        <v>UPN VETERAN JAWA TIMUR</v>
      </c>
      <c r="Q1996" t="str">
        <f t="shared" si="31"/>
        <v>UPN VETERAN JAWA TIMURAGROTEKNOLOGI</v>
      </c>
    </row>
    <row r="1997" spans="1:17" ht="16.5" thickTop="1" thickBot="1" x14ac:dyDescent="0.3">
      <c r="A1997" s="7">
        <v>1996</v>
      </c>
      <c r="B1997" s="6">
        <v>56</v>
      </c>
      <c r="C1997" s="17">
        <v>3851085</v>
      </c>
      <c r="D1997" t="s">
        <v>19</v>
      </c>
      <c r="E1997" s="17">
        <v>16</v>
      </c>
      <c r="F1997" s="10" t="s">
        <v>20</v>
      </c>
      <c r="J1997" s="138">
        <v>609.36</v>
      </c>
      <c r="K1997" s="138">
        <v>615.71</v>
      </c>
      <c r="L1997" s="138">
        <v>603.01</v>
      </c>
      <c r="M1997" s="37"/>
      <c r="N1997" s="85">
        <v>609.36</v>
      </c>
      <c r="P1997" t="str">
        <f>VLOOKUP(B1997,PTN!A:B,2,FALSE)</f>
        <v>UPN VETERAN JAWA TIMUR</v>
      </c>
      <c r="Q1997" t="str">
        <f t="shared" si="31"/>
        <v>UPN VETERAN JAWA TIMURARSITEKTUR</v>
      </c>
    </row>
    <row r="1998" spans="1:17" ht="16.5" thickTop="1" thickBot="1" x14ac:dyDescent="0.3">
      <c r="A1998" s="7">
        <v>1997</v>
      </c>
      <c r="B1998" s="6">
        <v>56</v>
      </c>
      <c r="C1998" s="18">
        <v>3851112</v>
      </c>
      <c r="D1998" t="s">
        <v>12</v>
      </c>
      <c r="E1998" s="18">
        <v>16</v>
      </c>
      <c r="F1998" s="10" t="s">
        <v>20</v>
      </c>
      <c r="J1998" s="138" t="s">
        <v>1292</v>
      </c>
      <c r="K1998" s="138" t="s">
        <v>1292</v>
      </c>
      <c r="L1998" s="138" t="s">
        <v>1292</v>
      </c>
      <c r="M1998" s="17"/>
      <c r="N1998" s="91" t="s">
        <v>1292</v>
      </c>
      <c r="P1998" t="str">
        <f>VLOOKUP(B1998,PTN!A:B,2,FALSE)</f>
        <v>UPN VETERAN JAWA TIMUR</v>
      </c>
      <c r="Q1998" t="str">
        <f t="shared" si="31"/>
        <v>UPN VETERAN JAWA TIMURDESAIN KOMUNIKASI VISUAL</v>
      </c>
    </row>
    <row r="1999" spans="1:17" ht="15.75" thickBot="1" x14ac:dyDescent="0.3">
      <c r="A1999" s="7">
        <v>1998</v>
      </c>
      <c r="B1999" s="6">
        <v>56</v>
      </c>
      <c r="C1999" s="17">
        <v>3851077</v>
      </c>
      <c r="D1999" t="s">
        <v>46</v>
      </c>
      <c r="E1999" s="17">
        <v>24</v>
      </c>
      <c r="F1999" s="10" t="s">
        <v>20</v>
      </c>
      <c r="J1999" s="138">
        <v>602.88</v>
      </c>
      <c r="K1999" s="138">
        <v>608.83500000000004</v>
      </c>
      <c r="L1999" s="138">
        <v>596.92499999999995</v>
      </c>
      <c r="M1999" s="18"/>
      <c r="N1999" s="92">
        <v>602.88</v>
      </c>
      <c r="P1999" t="str">
        <f>VLOOKUP(B1999,PTN!A:B,2,FALSE)</f>
        <v>UPN VETERAN JAWA TIMUR</v>
      </c>
      <c r="Q1999" t="str">
        <f t="shared" si="31"/>
        <v>UPN VETERAN JAWA TIMURSISTEM INFORMASI</v>
      </c>
    </row>
    <row r="2000" spans="1:17" ht="15.75" thickBot="1" x14ac:dyDescent="0.3">
      <c r="A2000" s="7">
        <v>1999</v>
      </c>
      <c r="B2000" s="6">
        <v>56</v>
      </c>
      <c r="C2000" s="18">
        <v>3851046</v>
      </c>
      <c r="D2000" t="s">
        <v>49</v>
      </c>
      <c r="E2000" s="18">
        <v>40</v>
      </c>
      <c r="F2000" s="10" t="s">
        <v>20</v>
      </c>
      <c r="J2000" s="138">
        <v>606.16999999999996</v>
      </c>
      <c r="K2000" s="138">
        <v>612.38</v>
      </c>
      <c r="L2000" s="138">
        <v>599.95999999999992</v>
      </c>
      <c r="M2000" s="17"/>
      <c r="N2000" s="91">
        <v>606.16999999999996</v>
      </c>
      <c r="P2000" t="str">
        <f>VLOOKUP(B2000,PTN!A:B,2,FALSE)</f>
        <v>UPN VETERAN JAWA TIMUR</v>
      </c>
      <c r="Q2000" t="str">
        <f t="shared" si="31"/>
        <v>UPN VETERAN JAWA TIMURTEKNIK INDUSTRI</v>
      </c>
    </row>
    <row r="2001" spans="1:17" ht="15.75" thickBot="1" x14ac:dyDescent="0.3">
      <c r="A2001" s="7">
        <v>2000</v>
      </c>
      <c r="B2001" s="6">
        <v>56</v>
      </c>
      <c r="C2001" s="17">
        <v>3851062</v>
      </c>
      <c r="D2001" t="s">
        <v>50</v>
      </c>
      <c r="E2001" s="17">
        <v>40</v>
      </c>
      <c r="F2001" s="10" t="s">
        <v>20</v>
      </c>
      <c r="J2001" s="138">
        <v>614.36</v>
      </c>
      <c r="K2001" s="138">
        <v>621.51499999999999</v>
      </c>
      <c r="L2001" s="138">
        <v>607.20500000000004</v>
      </c>
      <c r="M2001" s="18"/>
      <c r="N2001" s="92">
        <v>614.36</v>
      </c>
      <c r="P2001" t="str">
        <f>VLOOKUP(B2001,PTN!A:B,2,FALSE)</f>
        <v>UPN VETERAN JAWA TIMUR</v>
      </c>
      <c r="Q2001" t="str">
        <f t="shared" si="31"/>
        <v>UPN VETERAN JAWA TIMURTEKNIK INFORMATIKA</v>
      </c>
    </row>
    <row r="2002" spans="1:17" ht="15.75" thickBot="1" x14ac:dyDescent="0.3">
      <c r="A2002" s="7">
        <v>2001</v>
      </c>
      <c r="B2002" s="6">
        <v>56</v>
      </c>
      <c r="C2002" s="18">
        <v>3851031</v>
      </c>
      <c r="D2002" t="s">
        <v>51</v>
      </c>
      <c r="E2002" s="18">
        <v>48</v>
      </c>
      <c r="F2002" s="10" t="s">
        <v>20</v>
      </c>
      <c r="J2002" s="138">
        <v>613.83000000000004</v>
      </c>
      <c r="K2002" s="138">
        <v>619.91000000000008</v>
      </c>
      <c r="L2002" s="138">
        <v>607.75</v>
      </c>
      <c r="M2002" s="17"/>
      <c r="N2002" s="91">
        <v>613.83000000000004</v>
      </c>
      <c r="P2002" t="str">
        <f>VLOOKUP(B2002,PTN!A:B,2,FALSE)</f>
        <v>UPN VETERAN JAWA TIMUR</v>
      </c>
      <c r="Q2002" t="str">
        <f t="shared" si="31"/>
        <v>UPN VETERAN JAWA TIMURTEKNIK KIMIA</v>
      </c>
    </row>
    <row r="2003" spans="1:17" ht="15.75" thickBot="1" x14ac:dyDescent="0.3">
      <c r="A2003" s="7">
        <v>2002</v>
      </c>
      <c r="B2003" s="6">
        <v>56</v>
      </c>
      <c r="C2003" s="17">
        <v>3851093</v>
      </c>
      <c r="D2003" t="s">
        <v>25</v>
      </c>
      <c r="E2003" s="17">
        <v>24</v>
      </c>
      <c r="F2003" s="10" t="s">
        <v>20</v>
      </c>
      <c r="J2003" s="138">
        <v>606.79999999999995</v>
      </c>
      <c r="K2003" s="138">
        <v>612.63</v>
      </c>
      <c r="L2003" s="138">
        <v>600.96999999999991</v>
      </c>
      <c r="M2003" s="18"/>
      <c r="N2003" s="92">
        <v>606.79999999999995</v>
      </c>
      <c r="P2003" t="str">
        <f>VLOOKUP(B2003,PTN!A:B,2,FALSE)</f>
        <v>UPN VETERAN JAWA TIMUR</v>
      </c>
      <c r="Q2003" t="str">
        <f t="shared" si="31"/>
        <v>UPN VETERAN JAWA TIMURTEKNIK LINGKUNGAN</v>
      </c>
    </row>
    <row r="2004" spans="1:17" ht="15.75" thickBot="1" x14ac:dyDescent="0.3">
      <c r="A2004" s="7">
        <v>2003</v>
      </c>
      <c r="B2004" s="6">
        <v>56</v>
      </c>
      <c r="C2004" s="18">
        <v>3851104</v>
      </c>
      <c r="D2004" t="s">
        <v>54</v>
      </c>
      <c r="E2004" s="18">
        <v>24</v>
      </c>
      <c r="F2004" s="10" t="s">
        <v>20</v>
      </c>
      <c r="J2004" s="138">
        <v>605.19000000000005</v>
      </c>
      <c r="K2004" s="138">
        <v>611.55500000000006</v>
      </c>
      <c r="L2004" s="138">
        <v>598.82500000000005</v>
      </c>
      <c r="M2004" s="21"/>
      <c r="N2004" s="83">
        <v>605.19000000000005</v>
      </c>
      <c r="P2004" t="str">
        <f>VLOOKUP(B2004,PTN!A:B,2,FALSE)</f>
        <v>UPN VETERAN JAWA TIMUR</v>
      </c>
      <c r="Q2004" t="str">
        <f t="shared" si="31"/>
        <v>UPN VETERAN JAWA TIMURTEKNIK SIPIL</v>
      </c>
    </row>
    <row r="2005" spans="1:17" ht="15.75" thickBot="1" x14ac:dyDescent="0.3">
      <c r="A2005" s="7">
        <v>2004</v>
      </c>
      <c r="B2005" s="6">
        <v>56</v>
      </c>
      <c r="C2005" s="19">
        <v>3851054</v>
      </c>
      <c r="D2005" t="s">
        <v>271</v>
      </c>
      <c r="E2005" s="19">
        <v>24</v>
      </c>
      <c r="F2005" s="10" t="s">
        <v>20</v>
      </c>
      <c r="J2005" s="138" t="s">
        <v>1292</v>
      </c>
      <c r="K2005" s="138" t="s">
        <v>1292</v>
      </c>
      <c r="L2005" s="138" t="s">
        <v>1292</v>
      </c>
      <c r="M2005" s="21"/>
      <c r="N2005" s="83" t="s">
        <v>1292</v>
      </c>
      <c r="P2005" t="str">
        <f>VLOOKUP(B2005,PTN!A:B,2,FALSE)</f>
        <v>UPN VETERAN JAWA TIMUR</v>
      </c>
      <c r="Q2005" t="str">
        <f t="shared" si="31"/>
        <v>UPN VETERAN JAWA TIMURTEKNOLOGI PANGAN</v>
      </c>
    </row>
    <row r="2006" spans="1:17" ht="16.5" thickTop="1" thickBot="1" x14ac:dyDescent="0.3">
      <c r="A2006" s="7">
        <v>2005</v>
      </c>
      <c r="B2006" s="6">
        <v>56</v>
      </c>
      <c r="C2006" s="12">
        <v>3852057</v>
      </c>
      <c r="D2006" t="s">
        <v>594</v>
      </c>
      <c r="E2006" s="12">
        <v>40</v>
      </c>
      <c r="F2006" s="10" t="s">
        <v>13</v>
      </c>
      <c r="J2006" s="138">
        <v>572.94000000000005</v>
      </c>
      <c r="K2006" s="138">
        <v>581.07773000000009</v>
      </c>
      <c r="L2006" s="138">
        <v>564.80227000000002</v>
      </c>
      <c r="M2006" s="24"/>
      <c r="N2006" s="84">
        <v>572.94000000000005</v>
      </c>
      <c r="P2006" t="str">
        <f>VLOOKUP(B2006,PTN!A:B,2,FALSE)</f>
        <v>UPN VETERAN JAWA TIMUR</v>
      </c>
      <c r="Q2006" t="str">
        <f t="shared" si="31"/>
        <v>UPN VETERAN JAWA TIMURADMINISTRASI BISNIS/NIAGA</v>
      </c>
    </row>
    <row r="2007" spans="1:17" ht="16.5" thickTop="1" thickBot="1" x14ac:dyDescent="0.3">
      <c r="A2007" s="7">
        <v>2006</v>
      </c>
      <c r="B2007" s="6">
        <v>56</v>
      </c>
      <c r="C2007" s="13">
        <v>3852042</v>
      </c>
      <c r="D2007" t="s">
        <v>443</v>
      </c>
      <c r="E2007" s="13">
        <v>40</v>
      </c>
      <c r="F2007" s="10" t="s">
        <v>13</v>
      </c>
      <c r="J2007" s="138">
        <v>574.46</v>
      </c>
      <c r="K2007" s="138">
        <v>582.59773000000007</v>
      </c>
      <c r="L2007" s="138">
        <v>566.32227</v>
      </c>
      <c r="M2007" s="12"/>
      <c r="N2007" s="88">
        <v>574.46</v>
      </c>
      <c r="P2007" t="str">
        <f>VLOOKUP(B2007,PTN!A:B,2,FALSE)</f>
        <v>UPN VETERAN JAWA TIMUR</v>
      </c>
      <c r="Q2007" t="str">
        <f t="shared" si="31"/>
        <v>UPN VETERAN JAWA TIMURADMINISTRASI NEGARA</v>
      </c>
    </row>
    <row r="2008" spans="1:17" ht="15.75" thickBot="1" x14ac:dyDescent="0.3">
      <c r="A2008" s="7">
        <v>2007</v>
      </c>
      <c r="B2008" s="6">
        <v>56</v>
      </c>
      <c r="C2008" s="12">
        <v>3852034</v>
      </c>
      <c r="D2008" t="s">
        <v>55</v>
      </c>
      <c r="E2008" s="12">
        <v>64</v>
      </c>
      <c r="F2008" s="10" t="s">
        <v>13</v>
      </c>
      <c r="J2008" s="138">
        <v>592.05999999999995</v>
      </c>
      <c r="K2008" s="138">
        <v>600.19772999999998</v>
      </c>
      <c r="L2008" s="138">
        <v>583.92226999999991</v>
      </c>
      <c r="M2008" s="13"/>
      <c r="N2008" s="89">
        <v>592.05999999999995</v>
      </c>
      <c r="P2008" t="str">
        <f>VLOOKUP(B2008,PTN!A:B,2,FALSE)</f>
        <v>UPN VETERAN JAWA TIMUR</v>
      </c>
      <c r="Q2008" t="str">
        <f t="shared" si="31"/>
        <v>UPN VETERAN JAWA TIMURAKUNTANSI</v>
      </c>
    </row>
    <row r="2009" spans="1:17" ht="15.75" thickBot="1" x14ac:dyDescent="0.3">
      <c r="A2009" s="7">
        <v>2008</v>
      </c>
      <c r="B2009" s="6">
        <v>56</v>
      </c>
      <c r="C2009" s="13">
        <v>3852011</v>
      </c>
      <c r="D2009" t="s">
        <v>69</v>
      </c>
      <c r="E2009" s="13">
        <v>36</v>
      </c>
      <c r="F2009" s="10" t="s">
        <v>13</v>
      </c>
      <c r="J2009" s="138">
        <v>573.05999999999995</v>
      </c>
      <c r="K2009" s="138">
        <v>581.19772999999998</v>
      </c>
      <c r="L2009" s="138">
        <v>564.92226999999991</v>
      </c>
      <c r="M2009" s="12"/>
      <c r="N2009" s="88">
        <v>573.05999999999995</v>
      </c>
      <c r="P2009" t="str">
        <f>VLOOKUP(B2009,PTN!A:B,2,FALSE)</f>
        <v>UPN VETERAN JAWA TIMUR</v>
      </c>
      <c r="Q2009" t="str">
        <f t="shared" si="31"/>
        <v>UPN VETERAN JAWA TIMUREKONOMI PEMBANGUNAN</v>
      </c>
    </row>
    <row r="2010" spans="1:17" ht="15.75" thickBot="1" x14ac:dyDescent="0.3">
      <c r="A2010" s="7">
        <v>2009</v>
      </c>
      <c r="B2010" s="6">
        <v>56</v>
      </c>
      <c r="C2010" s="12">
        <v>3852073</v>
      </c>
      <c r="D2010" t="s">
        <v>168</v>
      </c>
      <c r="E2010" s="12">
        <v>24</v>
      </c>
      <c r="F2010" s="10" t="s">
        <v>13</v>
      </c>
      <c r="J2010" s="138">
        <v>596.16999999999996</v>
      </c>
      <c r="K2010" s="138">
        <v>604.30772999999999</v>
      </c>
      <c r="L2010" s="138">
        <v>588.03226999999993</v>
      </c>
      <c r="M2010" s="13"/>
      <c r="N2010" s="89">
        <v>596.16999999999996</v>
      </c>
      <c r="P2010" t="str">
        <f>VLOOKUP(B2010,PTN!A:B,2,FALSE)</f>
        <v>UPN VETERAN JAWA TIMUR</v>
      </c>
      <c r="Q2010" t="str">
        <f t="shared" si="31"/>
        <v>UPN VETERAN JAWA TIMURILMU HUBUNGAN INTERNASIONAL</v>
      </c>
    </row>
    <row r="2011" spans="1:17" ht="15.75" thickBot="1" x14ac:dyDescent="0.3">
      <c r="A2011" s="7">
        <v>2010</v>
      </c>
      <c r="B2011" s="6">
        <v>56</v>
      </c>
      <c r="C2011" s="13">
        <v>3852081</v>
      </c>
      <c r="D2011" t="s">
        <v>31</v>
      </c>
      <c r="E2011" s="13">
        <v>48</v>
      </c>
      <c r="F2011" s="10" t="s">
        <v>13</v>
      </c>
      <c r="J2011" s="138">
        <v>583.21</v>
      </c>
      <c r="K2011" s="138">
        <v>591.34773000000007</v>
      </c>
      <c r="L2011" s="138">
        <v>575.07227</v>
      </c>
      <c r="M2011" s="12"/>
      <c r="N2011" s="88">
        <v>583.21</v>
      </c>
      <c r="P2011" t="str">
        <f>VLOOKUP(B2011,PTN!A:B,2,FALSE)</f>
        <v>UPN VETERAN JAWA TIMUR</v>
      </c>
      <c r="Q2011" t="str">
        <f t="shared" si="31"/>
        <v>UPN VETERAN JAWA TIMURILMU HUKUM</v>
      </c>
    </row>
    <row r="2012" spans="1:17" ht="15.75" thickBot="1" x14ac:dyDescent="0.3">
      <c r="A2012" s="7">
        <v>2011</v>
      </c>
      <c r="B2012" s="6">
        <v>56</v>
      </c>
      <c r="C2012" s="12">
        <v>3852065</v>
      </c>
      <c r="D2012" t="s">
        <v>60</v>
      </c>
      <c r="E2012" s="12">
        <v>56</v>
      </c>
      <c r="F2012" s="10" t="s">
        <v>13</v>
      </c>
      <c r="J2012" s="138">
        <v>591.14</v>
      </c>
      <c r="K2012" s="138">
        <v>599.27773000000002</v>
      </c>
      <c r="L2012" s="138">
        <v>583.00226999999995</v>
      </c>
      <c r="M2012" s="13"/>
      <c r="N2012" s="89">
        <v>591.14</v>
      </c>
      <c r="P2012" t="str">
        <f>VLOOKUP(B2012,PTN!A:B,2,FALSE)</f>
        <v>UPN VETERAN JAWA TIMUR</v>
      </c>
      <c r="Q2012" t="str">
        <f t="shared" si="31"/>
        <v>UPN VETERAN JAWA TIMURILMU KOMUNIKASI</v>
      </c>
    </row>
    <row r="2013" spans="1:17" ht="15.75" thickBot="1" x14ac:dyDescent="0.3">
      <c r="A2013" s="7">
        <v>2012</v>
      </c>
      <c r="B2013" s="6">
        <v>56</v>
      </c>
      <c r="C2013" s="16">
        <v>3852026</v>
      </c>
      <c r="D2013" t="s">
        <v>61</v>
      </c>
      <c r="E2013" s="16">
        <v>80</v>
      </c>
      <c r="F2013" s="10" t="s">
        <v>13</v>
      </c>
      <c r="J2013" s="138">
        <v>583.42999999999995</v>
      </c>
      <c r="K2013" s="138">
        <v>591.56772999999998</v>
      </c>
      <c r="L2013" s="138">
        <v>575.29226999999992</v>
      </c>
      <c r="M2013" s="12"/>
      <c r="N2013" s="88">
        <v>583.42999999999995</v>
      </c>
      <c r="P2013" t="str">
        <f>VLOOKUP(B2013,PTN!A:B,2,FALSE)</f>
        <v>UPN VETERAN JAWA TIMUR</v>
      </c>
      <c r="Q2013" t="str">
        <f t="shared" si="31"/>
        <v>UPN VETERAN JAWA TIMURMANAJEMEN</v>
      </c>
    </row>
    <row r="2014" spans="1:17" ht="16.5" thickTop="1" thickBot="1" x14ac:dyDescent="0.3">
      <c r="A2014" s="7">
        <v>2013</v>
      </c>
      <c r="B2014" s="6">
        <v>23</v>
      </c>
      <c r="C2014" s="12">
        <v>3111076</v>
      </c>
      <c r="D2014" t="s">
        <v>37</v>
      </c>
      <c r="E2014" s="12">
        <v>60</v>
      </c>
      <c r="F2014" s="10" t="s">
        <v>20</v>
      </c>
      <c r="J2014" s="138" t="s">
        <v>1292</v>
      </c>
      <c r="K2014" s="138" t="s">
        <v>1292</v>
      </c>
      <c r="L2014" s="138" t="s">
        <v>1292</v>
      </c>
      <c r="M2014" s="21"/>
      <c r="N2014" s="83" t="s">
        <v>1292</v>
      </c>
      <c r="P2014" t="str">
        <f>VLOOKUP(B2014,PTN!A:B,2,FALSE)</f>
        <v>UNIVERSITAS SULTAN AGENG TIRTAYASA</v>
      </c>
      <c r="Q2014" t="str">
        <f t="shared" si="31"/>
        <v>UNIVERSITAS SULTAN AGENG TIRTAYASAAGRIBISNIS</v>
      </c>
    </row>
    <row r="2015" spans="1:17" ht="15.75" thickBot="1" x14ac:dyDescent="0.3">
      <c r="A2015" s="7">
        <v>2014</v>
      </c>
      <c r="B2015" s="6">
        <v>23</v>
      </c>
      <c r="C2015" s="13">
        <v>3111084</v>
      </c>
      <c r="D2015" t="s">
        <v>38</v>
      </c>
      <c r="E2015" s="13">
        <v>60</v>
      </c>
      <c r="F2015" s="10" t="s">
        <v>20</v>
      </c>
      <c r="J2015" s="138" t="s">
        <v>1292</v>
      </c>
      <c r="K2015" s="138" t="s">
        <v>1292</v>
      </c>
      <c r="L2015" s="138" t="s">
        <v>1292</v>
      </c>
      <c r="M2015" s="21"/>
      <c r="N2015" s="83" t="s">
        <v>1292</v>
      </c>
      <c r="P2015" t="str">
        <f>VLOOKUP(B2015,PTN!A:B,2,FALSE)</f>
        <v>UNIVERSITAS SULTAN AGENG TIRTAYASA</v>
      </c>
      <c r="Q2015" t="str">
        <f t="shared" si="31"/>
        <v>UNIVERSITAS SULTAN AGENG TIRTAYASAAGROEKOTEKNOLOGI</v>
      </c>
    </row>
    <row r="2016" spans="1:17" ht="16.5" thickTop="1" thickBot="1" x14ac:dyDescent="0.3">
      <c r="A2016" s="7">
        <v>2015</v>
      </c>
      <c r="B2016" s="6">
        <v>23</v>
      </c>
      <c r="C2016" s="12">
        <v>3111196</v>
      </c>
      <c r="D2016" t="s">
        <v>113</v>
      </c>
      <c r="E2016" s="12">
        <v>12</v>
      </c>
      <c r="F2016" s="10" t="s">
        <v>20</v>
      </c>
      <c r="J2016" s="138" t="s">
        <v>1292</v>
      </c>
      <c r="K2016" s="138" t="s">
        <v>1292</v>
      </c>
      <c r="L2016" s="138" t="s">
        <v>1292</v>
      </c>
      <c r="M2016" s="24"/>
      <c r="N2016" s="84" t="s">
        <v>1292</v>
      </c>
      <c r="P2016" t="str">
        <f>VLOOKUP(B2016,PTN!A:B,2,FALSE)</f>
        <v>UNIVERSITAS SULTAN AGENG TIRTAYASA</v>
      </c>
      <c r="Q2016" t="str">
        <f t="shared" si="31"/>
        <v>UNIVERSITAS SULTAN AGENG TIRTAYASAGIZI</v>
      </c>
    </row>
    <row r="2017" spans="1:17" ht="16.5" thickTop="1" thickBot="1" x14ac:dyDescent="0.3">
      <c r="A2017" s="7">
        <v>2016</v>
      </c>
      <c r="B2017" s="6">
        <v>23</v>
      </c>
      <c r="C2017" s="13">
        <v>3111181</v>
      </c>
      <c r="D2017" t="s">
        <v>114</v>
      </c>
      <c r="E2017" s="13">
        <v>12</v>
      </c>
      <c r="F2017" s="10" t="s">
        <v>20</v>
      </c>
      <c r="J2017" s="138" t="s">
        <v>1292</v>
      </c>
      <c r="K2017" s="138" t="s">
        <v>1292</v>
      </c>
      <c r="L2017" s="138" t="s">
        <v>1292</v>
      </c>
      <c r="M2017" s="12"/>
      <c r="N2017" s="88" t="s">
        <v>1292</v>
      </c>
      <c r="P2017" t="str">
        <f>VLOOKUP(B2017,PTN!A:B,2,FALSE)</f>
        <v>UNIVERSITAS SULTAN AGENG TIRTAYASA</v>
      </c>
      <c r="Q2017" t="str">
        <f t="shared" si="31"/>
        <v>UNIVERSITAS SULTAN AGENG TIRTAYASAILMU KEOLAHRAGAAN</v>
      </c>
    </row>
    <row r="2018" spans="1:17" ht="15.75" thickBot="1" x14ac:dyDescent="0.3">
      <c r="A2018" s="7">
        <v>2017</v>
      </c>
      <c r="B2018" s="6">
        <v>23</v>
      </c>
      <c r="C2018" s="12">
        <v>3111103</v>
      </c>
      <c r="D2018" t="s">
        <v>67</v>
      </c>
      <c r="E2018" s="12">
        <v>36</v>
      </c>
      <c r="F2018" s="10" t="s">
        <v>20</v>
      </c>
      <c r="J2018" s="138" t="s">
        <v>1292</v>
      </c>
      <c r="K2018" s="138" t="s">
        <v>1292</v>
      </c>
      <c r="L2018" s="138" t="s">
        <v>1292</v>
      </c>
      <c r="M2018" s="13"/>
      <c r="N2018" s="89" t="s">
        <v>1292</v>
      </c>
      <c r="P2018" t="str">
        <f>VLOOKUP(B2018,PTN!A:B,2,FALSE)</f>
        <v>UNIVERSITAS SULTAN AGENG TIRTAYASA</v>
      </c>
      <c r="Q2018" t="str">
        <f t="shared" si="31"/>
        <v>UNIVERSITAS SULTAN AGENG TIRTAYASAPENDIDIKAN BIOLOGI</v>
      </c>
    </row>
    <row r="2019" spans="1:17" ht="15.75" thickBot="1" x14ac:dyDescent="0.3">
      <c r="A2019" s="7">
        <v>2018</v>
      </c>
      <c r="B2019" s="6">
        <v>23</v>
      </c>
      <c r="C2019" s="13">
        <v>3111142</v>
      </c>
      <c r="D2019" t="s">
        <v>42</v>
      </c>
      <c r="E2019" s="13">
        <v>24</v>
      </c>
      <c r="F2019" s="10" t="s">
        <v>20</v>
      </c>
      <c r="J2019" s="138" t="s">
        <v>1292</v>
      </c>
      <c r="K2019" s="138" t="s">
        <v>1292</v>
      </c>
      <c r="L2019" s="138" t="s">
        <v>1292</v>
      </c>
      <c r="M2019" s="12"/>
      <c r="N2019" s="88" t="s">
        <v>1292</v>
      </c>
      <c r="P2019" t="str">
        <f>VLOOKUP(B2019,PTN!A:B,2,FALSE)</f>
        <v>UNIVERSITAS SULTAN AGENG TIRTAYASA</v>
      </c>
      <c r="Q2019" t="str">
        <f t="shared" si="31"/>
        <v>UNIVERSITAS SULTAN AGENG TIRTAYASAPENDIDIKAN FISIKA</v>
      </c>
    </row>
    <row r="2020" spans="1:17" ht="15.75" thickBot="1" x14ac:dyDescent="0.3">
      <c r="A2020" s="7">
        <v>2019</v>
      </c>
      <c r="B2020" s="6">
        <v>23</v>
      </c>
      <c r="C2020" s="12">
        <v>3111165</v>
      </c>
      <c r="D2020" t="s">
        <v>115</v>
      </c>
      <c r="E2020" s="12">
        <v>24</v>
      </c>
      <c r="F2020" s="10" t="s">
        <v>20</v>
      </c>
      <c r="J2020" s="138" t="s">
        <v>1292</v>
      </c>
      <c r="K2020" s="138" t="s">
        <v>1292</v>
      </c>
      <c r="L2020" s="138" t="s">
        <v>1292</v>
      </c>
      <c r="M2020" s="13"/>
      <c r="N2020" s="89" t="s">
        <v>1292</v>
      </c>
      <c r="P2020" t="str">
        <f>VLOOKUP(B2020,PTN!A:B,2,FALSE)</f>
        <v>UNIVERSITAS SULTAN AGENG TIRTAYASA</v>
      </c>
      <c r="Q2020" t="str">
        <f t="shared" si="31"/>
        <v>UNIVERSITAS SULTAN AGENG TIRTAYASAPENDIDIKAN IPA</v>
      </c>
    </row>
    <row r="2021" spans="1:17" ht="15.75" thickBot="1" x14ac:dyDescent="0.3">
      <c r="A2021" s="7">
        <v>2020</v>
      </c>
      <c r="B2021" s="6">
        <v>23</v>
      </c>
      <c r="C2021" s="13">
        <v>3111157</v>
      </c>
      <c r="D2021" t="s">
        <v>43</v>
      </c>
      <c r="E2021" s="13">
        <v>24</v>
      </c>
      <c r="F2021" s="10" t="s">
        <v>20</v>
      </c>
      <c r="J2021" s="138" t="s">
        <v>1292</v>
      </c>
      <c r="K2021" s="138" t="s">
        <v>1292</v>
      </c>
      <c r="L2021" s="138" t="s">
        <v>1292</v>
      </c>
      <c r="M2021" s="12"/>
      <c r="N2021" s="88" t="s">
        <v>1292</v>
      </c>
      <c r="P2021" t="str">
        <f>VLOOKUP(B2021,PTN!A:B,2,FALSE)</f>
        <v>UNIVERSITAS SULTAN AGENG TIRTAYASA</v>
      </c>
      <c r="Q2021" t="str">
        <f t="shared" si="31"/>
        <v>UNIVERSITAS SULTAN AGENG TIRTAYASAPENDIDIKAN KIMIA</v>
      </c>
    </row>
    <row r="2022" spans="1:17" ht="15.75" thickBot="1" x14ac:dyDescent="0.3">
      <c r="A2022" s="7">
        <v>2021</v>
      </c>
      <c r="B2022" s="6">
        <v>23</v>
      </c>
      <c r="C2022" s="12">
        <v>3111111</v>
      </c>
      <c r="D2022" t="s">
        <v>44</v>
      </c>
      <c r="E2022" s="12">
        <v>36</v>
      </c>
      <c r="F2022" s="10" t="s">
        <v>20</v>
      </c>
      <c r="J2022" s="138" t="s">
        <v>1292</v>
      </c>
      <c r="K2022" s="138" t="s">
        <v>1292</v>
      </c>
      <c r="L2022" s="138" t="s">
        <v>1292</v>
      </c>
      <c r="M2022" s="13"/>
      <c r="N2022" s="89" t="s">
        <v>1292</v>
      </c>
      <c r="P2022" t="str">
        <f>VLOOKUP(B2022,PTN!A:B,2,FALSE)</f>
        <v>UNIVERSITAS SULTAN AGENG TIRTAYASA</v>
      </c>
      <c r="Q2022" t="str">
        <f t="shared" si="31"/>
        <v>UNIVERSITAS SULTAN AGENG TIRTAYASAPENDIDIKAN MATEMATIKA</v>
      </c>
    </row>
    <row r="2023" spans="1:17" ht="15.75" thickBot="1" x14ac:dyDescent="0.3">
      <c r="A2023" s="7">
        <v>2022</v>
      </c>
      <c r="B2023" s="6">
        <v>23</v>
      </c>
      <c r="C2023" s="13">
        <v>3111126</v>
      </c>
      <c r="D2023" t="s">
        <v>23</v>
      </c>
      <c r="E2023" s="13">
        <v>24</v>
      </c>
      <c r="F2023" s="10" t="s">
        <v>20</v>
      </c>
      <c r="J2023" s="138" t="s">
        <v>1292</v>
      </c>
      <c r="K2023" s="138" t="s">
        <v>1292</v>
      </c>
      <c r="L2023" s="138" t="s">
        <v>1292</v>
      </c>
      <c r="M2023" s="12"/>
      <c r="N2023" s="88" t="s">
        <v>1292</v>
      </c>
      <c r="P2023" t="str">
        <f>VLOOKUP(B2023,PTN!A:B,2,FALSE)</f>
        <v>UNIVERSITAS SULTAN AGENG TIRTAYASA</v>
      </c>
      <c r="Q2023" t="str">
        <f t="shared" si="31"/>
        <v>UNIVERSITAS SULTAN AGENG TIRTAYASAPENDIDIKAN TEKNIK ELEKTRO</v>
      </c>
    </row>
    <row r="2024" spans="1:17" ht="15.75" thickBot="1" x14ac:dyDescent="0.3">
      <c r="A2024" s="7">
        <v>2023</v>
      </c>
      <c r="B2024" s="6">
        <v>23</v>
      </c>
      <c r="C2024" s="12">
        <v>3111134</v>
      </c>
      <c r="D2024" t="s">
        <v>45</v>
      </c>
      <c r="E2024" s="12">
        <v>24</v>
      </c>
      <c r="F2024" s="10" t="s">
        <v>20</v>
      </c>
      <c r="J2024" s="138" t="s">
        <v>1292</v>
      </c>
      <c r="K2024" s="138" t="s">
        <v>1292</v>
      </c>
      <c r="L2024" s="138" t="s">
        <v>1292</v>
      </c>
      <c r="M2024" s="13"/>
      <c r="N2024" s="89" t="s">
        <v>1292</v>
      </c>
      <c r="P2024" t="str">
        <f>VLOOKUP(B2024,PTN!A:B,2,FALSE)</f>
        <v>UNIVERSITAS SULTAN AGENG TIRTAYASA</v>
      </c>
      <c r="Q2024" t="str">
        <f t="shared" si="31"/>
        <v>UNIVERSITAS SULTAN AGENG TIRTAYASAPENDIDIKAN TEKNIK MESIN</v>
      </c>
    </row>
    <row r="2025" spans="1:17" ht="15.75" thickBot="1" x14ac:dyDescent="0.3">
      <c r="A2025" s="7">
        <v>2024</v>
      </c>
      <c r="B2025" s="6">
        <v>23</v>
      </c>
      <c r="C2025" s="13">
        <v>3111092</v>
      </c>
      <c r="D2025" t="s">
        <v>108</v>
      </c>
      <c r="E2025" s="13">
        <v>36</v>
      </c>
      <c r="F2025" s="10" t="s">
        <v>20</v>
      </c>
      <c r="J2025" s="138" t="s">
        <v>1292</v>
      </c>
      <c r="K2025" s="138" t="s">
        <v>1292</v>
      </c>
      <c r="L2025" s="138" t="s">
        <v>1292</v>
      </c>
      <c r="M2025" s="12"/>
      <c r="N2025" s="88" t="s">
        <v>1292</v>
      </c>
      <c r="P2025" t="str">
        <f>VLOOKUP(B2025,PTN!A:B,2,FALSE)</f>
        <v>UNIVERSITAS SULTAN AGENG TIRTAYASA</v>
      </c>
      <c r="Q2025" t="str">
        <f t="shared" si="31"/>
        <v>UNIVERSITAS SULTAN AGENG TIRTAYASAPERIKANAN</v>
      </c>
    </row>
    <row r="2026" spans="1:17" ht="15.75" thickBot="1" x14ac:dyDescent="0.3">
      <c r="A2026" s="7">
        <v>2025</v>
      </c>
      <c r="B2026" s="6">
        <v>23</v>
      </c>
      <c r="C2026" s="12">
        <v>3111022</v>
      </c>
      <c r="D2026" t="s">
        <v>48</v>
      </c>
      <c r="E2026" s="12">
        <v>36</v>
      </c>
      <c r="F2026" s="10" t="s">
        <v>20</v>
      </c>
      <c r="J2026" s="138" t="s">
        <v>1292</v>
      </c>
      <c r="K2026" s="138" t="s">
        <v>1292</v>
      </c>
      <c r="L2026" s="138" t="s">
        <v>1292</v>
      </c>
      <c r="M2026" s="13"/>
      <c r="N2026" s="89" t="s">
        <v>1292</v>
      </c>
      <c r="P2026" t="str">
        <f>VLOOKUP(B2026,PTN!A:B,2,FALSE)</f>
        <v>UNIVERSITAS SULTAN AGENG TIRTAYASA</v>
      </c>
      <c r="Q2026" t="str">
        <f t="shared" si="31"/>
        <v>UNIVERSITAS SULTAN AGENG TIRTAYASATEKNIK ELEKTRO</v>
      </c>
    </row>
    <row r="2027" spans="1:17" ht="15.75" thickBot="1" x14ac:dyDescent="0.3">
      <c r="A2027" s="7">
        <v>2026</v>
      </c>
      <c r="B2027" s="6">
        <v>23</v>
      </c>
      <c r="C2027" s="13">
        <v>3111037</v>
      </c>
      <c r="D2027" t="s">
        <v>49</v>
      </c>
      <c r="E2027" s="13">
        <v>36</v>
      </c>
      <c r="F2027" s="10" t="s">
        <v>20</v>
      </c>
      <c r="J2027" s="138" t="s">
        <v>1292</v>
      </c>
      <c r="K2027" s="138" t="s">
        <v>1292</v>
      </c>
      <c r="L2027" s="138" t="s">
        <v>1292</v>
      </c>
      <c r="M2027" s="12"/>
      <c r="N2027" s="88" t="s">
        <v>1292</v>
      </c>
      <c r="P2027" t="str">
        <f>VLOOKUP(B2027,PTN!A:B,2,FALSE)</f>
        <v>UNIVERSITAS SULTAN AGENG TIRTAYASA</v>
      </c>
      <c r="Q2027" t="str">
        <f t="shared" si="31"/>
        <v>UNIVERSITAS SULTAN AGENG TIRTAYASATEKNIK INDUSTRI</v>
      </c>
    </row>
    <row r="2028" spans="1:17" ht="15.75" thickBot="1" x14ac:dyDescent="0.3">
      <c r="A2028" s="7">
        <v>2027</v>
      </c>
      <c r="B2028" s="6">
        <v>23</v>
      </c>
      <c r="C2028" s="12">
        <v>3111053</v>
      </c>
      <c r="D2028" t="s">
        <v>51</v>
      </c>
      <c r="E2028" s="12">
        <v>36</v>
      </c>
      <c r="F2028" s="10" t="s">
        <v>20</v>
      </c>
      <c r="J2028" s="138" t="s">
        <v>1292</v>
      </c>
      <c r="K2028" s="138" t="s">
        <v>1292</v>
      </c>
      <c r="L2028" s="138" t="s">
        <v>1292</v>
      </c>
      <c r="M2028" s="13"/>
      <c r="N2028" s="89" t="s">
        <v>1292</v>
      </c>
      <c r="P2028" t="str">
        <f>VLOOKUP(B2028,PTN!A:B,2,FALSE)</f>
        <v>UNIVERSITAS SULTAN AGENG TIRTAYASA</v>
      </c>
      <c r="Q2028" t="str">
        <f t="shared" si="31"/>
        <v>UNIVERSITAS SULTAN AGENG TIRTAYASATEKNIK KIMIA</v>
      </c>
    </row>
    <row r="2029" spans="1:17" ht="15.75" thickBot="1" x14ac:dyDescent="0.3">
      <c r="A2029" s="7">
        <v>2028</v>
      </c>
      <c r="B2029" s="6">
        <v>23</v>
      </c>
      <c r="C2029" s="13">
        <v>3111014</v>
      </c>
      <c r="D2029" t="s">
        <v>53</v>
      </c>
      <c r="E2029" s="13">
        <v>36</v>
      </c>
      <c r="F2029" s="10" t="s">
        <v>20</v>
      </c>
      <c r="J2029" s="138" t="s">
        <v>1292</v>
      </c>
      <c r="K2029" s="138" t="s">
        <v>1292</v>
      </c>
      <c r="L2029" s="138" t="s">
        <v>1292</v>
      </c>
      <c r="M2029" s="12"/>
      <c r="N2029" s="88" t="s">
        <v>1292</v>
      </c>
      <c r="P2029" t="str">
        <f>VLOOKUP(B2029,PTN!A:B,2,FALSE)</f>
        <v>UNIVERSITAS SULTAN AGENG TIRTAYASA</v>
      </c>
      <c r="Q2029" t="str">
        <f t="shared" si="31"/>
        <v>UNIVERSITAS SULTAN AGENG TIRTAYASATEKNIK MESIN</v>
      </c>
    </row>
    <row r="2030" spans="1:17" ht="15.75" thickBot="1" x14ac:dyDescent="0.3">
      <c r="A2030" s="7">
        <v>2029</v>
      </c>
      <c r="B2030" s="6">
        <v>23</v>
      </c>
      <c r="C2030" s="12">
        <v>3111045</v>
      </c>
      <c r="D2030" t="s">
        <v>595</v>
      </c>
      <c r="E2030" s="12">
        <v>36</v>
      </c>
      <c r="F2030" s="10" t="s">
        <v>20</v>
      </c>
      <c r="J2030" s="138" t="s">
        <v>1292</v>
      </c>
      <c r="K2030" s="138" t="s">
        <v>1292</v>
      </c>
      <c r="L2030" s="138" t="s">
        <v>1292</v>
      </c>
      <c r="M2030" s="13"/>
      <c r="N2030" s="89" t="s">
        <v>1292</v>
      </c>
      <c r="P2030" t="str">
        <f>VLOOKUP(B2030,PTN!A:B,2,FALSE)</f>
        <v>UNIVERSITAS SULTAN AGENG TIRTAYASA</v>
      </c>
      <c r="Q2030" t="str">
        <f t="shared" si="31"/>
        <v>UNIVERSITAS SULTAN AGENG TIRTAYASATEKNIK METALURGI</v>
      </c>
    </row>
    <row r="2031" spans="1:17" ht="15.75" thickBot="1" x14ac:dyDescent="0.3">
      <c r="A2031" s="7">
        <v>2030</v>
      </c>
      <c r="B2031" s="6">
        <v>23</v>
      </c>
      <c r="C2031" s="13">
        <v>3111061</v>
      </c>
      <c r="D2031" t="s">
        <v>54</v>
      </c>
      <c r="E2031" s="13">
        <v>24</v>
      </c>
      <c r="F2031" s="10" t="s">
        <v>20</v>
      </c>
      <c r="J2031" s="138">
        <v>610</v>
      </c>
      <c r="K2031" s="138" t="s">
        <v>1292</v>
      </c>
      <c r="L2031" s="138" t="s">
        <v>1292</v>
      </c>
      <c r="M2031" s="12"/>
      <c r="N2031" s="88">
        <v>610</v>
      </c>
      <c r="P2031" t="str">
        <f>VLOOKUP(B2031,PTN!A:B,2,FALSE)</f>
        <v>UNIVERSITAS SULTAN AGENG TIRTAYASA</v>
      </c>
      <c r="Q2031" t="str">
        <f t="shared" si="31"/>
        <v>UNIVERSITAS SULTAN AGENG TIRTAYASATEKNIK SIPIL</v>
      </c>
    </row>
    <row r="2032" spans="1:17" ht="15.75" thickBot="1" x14ac:dyDescent="0.3">
      <c r="A2032" s="7">
        <v>2031</v>
      </c>
      <c r="B2032" s="6">
        <v>23</v>
      </c>
      <c r="C2032" s="14">
        <v>3111173</v>
      </c>
      <c r="D2032" t="s">
        <v>271</v>
      </c>
      <c r="E2032" s="14">
        <v>36</v>
      </c>
      <c r="F2032" s="10" t="s">
        <v>20</v>
      </c>
      <c r="J2032" s="138" t="s">
        <v>1292</v>
      </c>
      <c r="K2032" s="138" t="s">
        <v>1292</v>
      </c>
      <c r="L2032" s="138" t="s">
        <v>1292</v>
      </c>
      <c r="M2032" s="13"/>
      <c r="N2032" s="89" t="s">
        <v>1292</v>
      </c>
      <c r="P2032" t="str">
        <f>VLOOKUP(B2032,PTN!A:B,2,FALSE)</f>
        <v>UNIVERSITAS SULTAN AGENG TIRTAYASA</v>
      </c>
      <c r="Q2032" t="str">
        <f t="shared" si="31"/>
        <v>UNIVERSITAS SULTAN AGENG TIRTAYASATEKNOLOGI PANGAN</v>
      </c>
    </row>
    <row r="2033" spans="1:17" ht="16.5" thickTop="1" thickBot="1" x14ac:dyDescent="0.3">
      <c r="A2033" s="7">
        <v>2032</v>
      </c>
      <c r="B2033" s="6">
        <v>23</v>
      </c>
      <c r="C2033" s="12">
        <v>3112056</v>
      </c>
      <c r="D2033" t="s">
        <v>443</v>
      </c>
      <c r="E2033" s="12">
        <v>48</v>
      </c>
      <c r="F2033" s="10" t="s">
        <v>13</v>
      </c>
      <c r="J2033" s="138">
        <v>572.08000000000004</v>
      </c>
      <c r="K2033" s="138">
        <v>580.21773000000007</v>
      </c>
      <c r="L2033" s="138">
        <v>563.94227000000001</v>
      </c>
      <c r="M2033" s="21"/>
      <c r="N2033" s="83">
        <v>572.08000000000004</v>
      </c>
      <c r="P2033" t="str">
        <f>VLOOKUP(B2033,PTN!A:B,2,FALSE)</f>
        <v>UNIVERSITAS SULTAN AGENG TIRTAYASA</v>
      </c>
      <c r="Q2033" t="str">
        <f t="shared" si="31"/>
        <v>UNIVERSITAS SULTAN AGENG TIRTAYASAADMINISTRASI NEGARA</v>
      </c>
    </row>
    <row r="2034" spans="1:17" ht="15.75" thickBot="1" x14ac:dyDescent="0.3">
      <c r="A2034" s="7">
        <v>2033</v>
      </c>
      <c r="B2034" s="6">
        <v>23</v>
      </c>
      <c r="C2034" s="13">
        <v>3112033</v>
      </c>
      <c r="D2034" t="s">
        <v>55</v>
      </c>
      <c r="E2034" s="13">
        <v>42</v>
      </c>
      <c r="F2034" s="10" t="s">
        <v>13</v>
      </c>
      <c r="J2034" s="138">
        <v>587.02</v>
      </c>
      <c r="K2034" s="138">
        <v>595.15773000000002</v>
      </c>
      <c r="L2034" s="138">
        <v>578.88226999999995</v>
      </c>
      <c r="M2034" s="21"/>
      <c r="N2034" s="83">
        <v>587.02</v>
      </c>
      <c r="P2034" t="str">
        <f>VLOOKUP(B2034,PTN!A:B,2,FALSE)</f>
        <v>UNIVERSITAS SULTAN AGENG TIRTAYASA</v>
      </c>
      <c r="Q2034" t="str">
        <f t="shared" si="31"/>
        <v>UNIVERSITAS SULTAN AGENG TIRTAYASAAKUNTANSI</v>
      </c>
    </row>
    <row r="2035" spans="1:17" ht="16.5" thickTop="1" thickBot="1" x14ac:dyDescent="0.3">
      <c r="A2035" s="7">
        <v>2034</v>
      </c>
      <c r="B2035" s="6">
        <v>23</v>
      </c>
      <c r="C2035" s="12">
        <v>3112122</v>
      </c>
      <c r="D2035" t="s">
        <v>57</v>
      </c>
      <c r="E2035" s="12">
        <v>12</v>
      </c>
      <c r="F2035" s="10" t="s">
        <v>13</v>
      </c>
      <c r="J2035" s="138" t="s">
        <v>1292</v>
      </c>
      <c r="K2035" s="138" t="s">
        <v>1292</v>
      </c>
      <c r="L2035" s="138" t="s">
        <v>1292</v>
      </c>
      <c r="M2035" s="24"/>
      <c r="N2035" s="84" t="s">
        <v>1292</v>
      </c>
      <c r="P2035" t="str">
        <f>VLOOKUP(B2035,PTN!A:B,2,FALSE)</f>
        <v>UNIVERSITAS SULTAN AGENG TIRTAYASA</v>
      </c>
      <c r="Q2035" t="str">
        <f t="shared" si="31"/>
        <v>UNIVERSITAS SULTAN AGENG TIRTAYASAEKONOMI ISLAM</v>
      </c>
    </row>
    <row r="2036" spans="1:17" ht="16.5" thickTop="1" thickBot="1" x14ac:dyDescent="0.3">
      <c r="A2036" s="7">
        <v>2035</v>
      </c>
      <c r="B2036" s="6">
        <v>23</v>
      </c>
      <c r="C2036" s="13">
        <v>3112041</v>
      </c>
      <c r="D2036" t="s">
        <v>69</v>
      </c>
      <c r="E2036" s="13">
        <v>24</v>
      </c>
      <c r="F2036" s="10" t="s">
        <v>13</v>
      </c>
      <c r="J2036" s="138">
        <v>565.9</v>
      </c>
      <c r="K2036" s="138">
        <v>574.03773000000001</v>
      </c>
      <c r="L2036" s="138">
        <v>557.76226999999994</v>
      </c>
      <c r="M2036" s="12"/>
      <c r="N2036" s="88">
        <v>565.9</v>
      </c>
      <c r="P2036" t="str">
        <f>VLOOKUP(B2036,PTN!A:B,2,FALSE)</f>
        <v>UNIVERSITAS SULTAN AGENG TIRTAYASA</v>
      </c>
      <c r="Q2036" t="str">
        <f t="shared" si="31"/>
        <v>UNIVERSITAS SULTAN AGENG TIRTAYASAEKONOMI PEMBANGUNAN</v>
      </c>
    </row>
    <row r="2037" spans="1:17" ht="15.75" thickBot="1" x14ac:dyDescent="0.3">
      <c r="A2037" s="7">
        <v>2036</v>
      </c>
      <c r="B2037" s="6">
        <v>23</v>
      </c>
      <c r="C2037" s="12">
        <v>3112017</v>
      </c>
      <c r="D2037" t="s">
        <v>31</v>
      </c>
      <c r="E2037" s="12">
        <v>120</v>
      </c>
      <c r="F2037" s="10" t="s">
        <v>13</v>
      </c>
      <c r="J2037" s="138" t="s">
        <v>1292</v>
      </c>
      <c r="K2037" s="138" t="s">
        <v>1292</v>
      </c>
      <c r="L2037" s="138" t="s">
        <v>1292</v>
      </c>
      <c r="M2037" s="13"/>
      <c r="N2037" s="89" t="s">
        <v>1292</v>
      </c>
      <c r="P2037" t="str">
        <f>VLOOKUP(B2037,PTN!A:B,2,FALSE)</f>
        <v>UNIVERSITAS SULTAN AGENG TIRTAYASA</v>
      </c>
      <c r="Q2037" t="str">
        <f t="shared" si="31"/>
        <v>UNIVERSITAS SULTAN AGENG TIRTAYASAILMU HUKUM</v>
      </c>
    </row>
    <row r="2038" spans="1:17" ht="15.75" thickBot="1" x14ac:dyDescent="0.3">
      <c r="A2038" s="7">
        <v>2037</v>
      </c>
      <c r="B2038" s="6">
        <v>23</v>
      </c>
      <c r="C2038" s="13">
        <v>3112064</v>
      </c>
      <c r="D2038" t="s">
        <v>60</v>
      </c>
      <c r="E2038" s="13">
        <v>60</v>
      </c>
      <c r="F2038" s="10" t="s">
        <v>13</v>
      </c>
      <c r="J2038" s="138">
        <v>571.14</v>
      </c>
      <c r="K2038" s="138">
        <v>579.27773000000002</v>
      </c>
      <c r="L2038" s="138">
        <v>563.00226999999995</v>
      </c>
      <c r="M2038" s="12"/>
      <c r="N2038" s="88">
        <v>571.14</v>
      </c>
      <c r="P2038" t="str">
        <f>VLOOKUP(B2038,PTN!A:B,2,FALSE)</f>
        <v>UNIVERSITAS SULTAN AGENG TIRTAYASA</v>
      </c>
      <c r="Q2038" t="str">
        <f t="shared" si="31"/>
        <v>UNIVERSITAS SULTAN AGENG TIRTAYASAILMU KOMUNIKASI</v>
      </c>
    </row>
    <row r="2039" spans="1:17" ht="15.75" thickBot="1" x14ac:dyDescent="0.3">
      <c r="A2039" s="7">
        <v>2038</v>
      </c>
      <c r="B2039" s="6">
        <v>23</v>
      </c>
      <c r="C2039" s="12">
        <v>3112192</v>
      </c>
      <c r="D2039" t="s">
        <v>97</v>
      </c>
      <c r="E2039" s="12">
        <v>36</v>
      </c>
      <c r="F2039" s="10" t="s">
        <v>13</v>
      </c>
      <c r="J2039" s="138" t="s">
        <v>1292</v>
      </c>
      <c r="K2039" s="138" t="s">
        <v>1292</v>
      </c>
      <c r="L2039" s="138" t="s">
        <v>1292</v>
      </c>
      <c r="M2039" s="13"/>
      <c r="N2039" s="89" t="s">
        <v>1292</v>
      </c>
      <c r="P2039" t="str">
        <f>VLOOKUP(B2039,PTN!A:B,2,FALSE)</f>
        <v>UNIVERSITAS SULTAN AGENG TIRTAYASA</v>
      </c>
      <c r="Q2039" t="str">
        <f t="shared" si="31"/>
        <v>UNIVERSITAS SULTAN AGENG TIRTAYASAILMU PEMERINTAHAN</v>
      </c>
    </row>
    <row r="2040" spans="1:17" ht="15.75" thickBot="1" x14ac:dyDescent="0.3">
      <c r="A2040" s="7">
        <v>2039</v>
      </c>
      <c r="B2040" s="6">
        <v>23</v>
      </c>
      <c r="C2040" s="13">
        <v>3112025</v>
      </c>
      <c r="D2040" t="s">
        <v>61</v>
      </c>
      <c r="E2040" s="13">
        <v>42</v>
      </c>
      <c r="F2040" s="10" t="s">
        <v>13</v>
      </c>
      <c r="J2040" s="138">
        <v>568.6</v>
      </c>
      <c r="K2040" s="138">
        <v>576.73773000000006</v>
      </c>
      <c r="L2040" s="138">
        <v>560.46226999999999</v>
      </c>
      <c r="M2040" s="12"/>
      <c r="N2040" s="88">
        <v>568.6</v>
      </c>
      <c r="P2040" t="str">
        <f>VLOOKUP(B2040,PTN!A:B,2,FALSE)</f>
        <v>UNIVERSITAS SULTAN AGENG TIRTAYASA</v>
      </c>
      <c r="Q2040" t="str">
        <f t="shared" si="31"/>
        <v>UNIVERSITAS SULTAN AGENG TIRTAYASAMANAJEMEN</v>
      </c>
    </row>
    <row r="2041" spans="1:17" ht="15.75" thickBot="1" x14ac:dyDescent="0.3">
      <c r="A2041" s="7">
        <v>2040</v>
      </c>
      <c r="B2041" s="6">
        <v>23</v>
      </c>
      <c r="C2041" s="12">
        <v>3112114</v>
      </c>
      <c r="D2041" t="s">
        <v>596</v>
      </c>
      <c r="E2041" s="12">
        <v>24</v>
      </c>
      <c r="F2041" s="10" t="s">
        <v>13</v>
      </c>
      <c r="J2041" s="138" t="s">
        <v>1292</v>
      </c>
      <c r="K2041" s="138" t="s">
        <v>1292</v>
      </c>
      <c r="L2041" s="138" t="s">
        <v>1292</v>
      </c>
      <c r="M2041" s="13"/>
      <c r="N2041" s="89" t="s">
        <v>1292</v>
      </c>
      <c r="P2041" t="str">
        <f>VLOOKUP(B2041,PTN!A:B,2,FALSE)</f>
        <v>UNIVERSITAS SULTAN AGENG TIRTAYASA</v>
      </c>
      <c r="Q2041" t="str">
        <f t="shared" si="31"/>
        <v>UNIVERSITAS SULTAN AGENG TIRTAYASAPENDIDIKAN ANAK USIA DINI</v>
      </c>
    </row>
    <row r="2042" spans="1:17" ht="15.75" thickBot="1" x14ac:dyDescent="0.3">
      <c r="A2042" s="7">
        <v>2041</v>
      </c>
      <c r="B2042" s="6">
        <v>23</v>
      </c>
      <c r="C2042" s="13">
        <v>3112087</v>
      </c>
      <c r="D2042" t="s">
        <v>70</v>
      </c>
      <c r="E2042" s="13">
        <v>36</v>
      </c>
      <c r="F2042" s="10" t="s">
        <v>13</v>
      </c>
      <c r="J2042" s="138" t="s">
        <v>1292</v>
      </c>
      <c r="K2042" s="138" t="s">
        <v>1292</v>
      </c>
      <c r="L2042" s="138" t="s">
        <v>1292</v>
      </c>
      <c r="M2042" s="12"/>
      <c r="N2042" s="88" t="s">
        <v>1292</v>
      </c>
      <c r="P2042" t="str">
        <f>VLOOKUP(B2042,PTN!A:B,2,FALSE)</f>
        <v>UNIVERSITAS SULTAN AGENG TIRTAYASA</v>
      </c>
      <c r="Q2042" t="str">
        <f t="shared" si="31"/>
        <v>UNIVERSITAS SULTAN AGENG TIRTAYASAPENDIDIKAN BAHASA INDONESIA</v>
      </c>
    </row>
    <row r="2043" spans="1:17" ht="15.75" thickBot="1" x14ac:dyDescent="0.3">
      <c r="A2043" s="7">
        <v>2042</v>
      </c>
      <c r="B2043" s="6">
        <v>23</v>
      </c>
      <c r="C2043" s="12">
        <v>3112095</v>
      </c>
      <c r="D2043" t="s">
        <v>71</v>
      </c>
      <c r="E2043" s="12">
        <v>36</v>
      </c>
      <c r="F2043" s="10" t="s">
        <v>13</v>
      </c>
      <c r="J2043" s="138" t="s">
        <v>1292</v>
      </c>
      <c r="K2043" s="138" t="s">
        <v>1292</v>
      </c>
      <c r="L2043" s="138" t="s">
        <v>1292</v>
      </c>
      <c r="M2043" s="13"/>
      <c r="N2043" s="89" t="s">
        <v>1292</v>
      </c>
      <c r="P2043" t="str">
        <f>VLOOKUP(B2043,PTN!A:B,2,FALSE)</f>
        <v>UNIVERSITAS SULTAN AGENG TIRTAYASA</v>
      </c>
      <c r="Q2043" t="str">
        <f t="shared" si="31"/>
        <v>UNIVERSITAS SULTAN AGENG TIRTAYASAPENDIDIKAN BAHASA INGGRIS</v>
      </c>
    </row>
    <row r="2044" spans="1:17" ht="15.75" thickBot="1" x14ac:dyDescent="0.3">
      <c r="A2044" s="7">
        <v>2043</v>
      </c>
      <c r="B2044" s="6">
        <v>23</v>
      </c>
      <c r="C2044" s="13">
        <v>3112106</v>
      </c>
      <c r="D2044" t="s">
        <v>73</v>
      </c>
      <c r="E2044" s="13">
        <v>36</v>
      </c>
      <c r="F2044" s="10" t="s">
        <v>13</v>
      </c>
      <c r="J2044" s="138" t="s">
        <v>1292</v>
      </c>
      <c r="K2044" s="138" t="s">
        <v>1292</v>
      </c>
      <c r="L2044" s="138" t="s">
        <v>1292</v>
      </c>
      <c r="M2044" s="12"/>
      <c r="N2044" s="88" t="s">
        <v>1292</v>
      </c>
      <c r="P2044" t="str">
        <f>VLOOKUP(B2044,PTN!A:B,2,FALSE)</f>
        <v>UNIVERSITAS SULTAN AGENG TIRTAYASA</v>
      </c>
      <c r="Q2044" t="str">
        <f t="shared" si="31"/>
        <v>UNIVERSITAS SULTAN AGENG TIRTAYASAPENDIDIKAN GURU SEKOLAH DASAR</v>
      </c>
    </row>
    <row r="2045" spans="1:17" ht="15.75" thickBot="1" x14ac:dyDescent="0.3">
      <c r="A2045" s="7">
        <v>2044</v>
      </c>
      <c r="B2045" s="6">
        <v>23</v>
      </c>
      <c r="C2045" s="12">
        <v>3112153</v>
      </c>
      <c r="D2045" t="s">
        <v>509</v>
      </c>
      <c r="E2045" s="12">
        <v>24</v>
      </c>
      <c r="F2045" s="10" t="s">
        <v>13</v>
      </c>
      <c r="J2045" s="138" t="s">
        <v>1292</v>
      </c>
      <c r="K2045" s="138" t="s">
        <v>1292</v>
      </c>
      <c r="L2045" s="138" t="s">
        <v>1292</v>
      </c>
      <c r="M2045" s="13"/>
      <c r="N2045" s="89" t="s">
        <v>1292</v>
      </c>
      <c r="P2045" t="str">
        <f>VLOOKUP(B2045,PTN!A:B,2,FALSE)</f>
        <v>UNIVERSITAS SULTAN AGENG TIRTAYASA</v>
      </c>
      <c r="Q2045" t="str">
        <f t="shared" si="31"/>
        <v>UNIVERSITAS SULTAN AGENG TIRTAYASAPENDIDIKAN KEWARGANEGARAAN</v>
      </c>
    </row>
    <row r="2046" spans="1:17" ht="15.75" thickBot="1" x14ac:dyDescent="0.3">
      <c r="A2046" s="7">
        <v>2045</v>
      </c>
      <c r="B2046" s="6">
        <v>23</v>
      </c>
      <c r="C2046" s="13">
        <v>3112176</v>
      </c>
      <c r="D2046" t="s">
        <v>597</v>
      </c>
      <c r="E2046" s="13">
        <v>24</v>
      </c>
      <c r="F2046" s="10" t="s">
        <v>13</v>
      </c>
      <c r="J2046" s="138" t="s">
        <v>1292</v>
      </c>
      <c r="K2046" s="138" t="s">
        <v>1292</v>
      </c>
      <c r="L2046" s="138" t="s">
        <v>1292</v>
      </c>
      <c r="M2046" s="12"/>
      <c r="N2046" s="88" t="s">
        <v>1292</v>
      </c>
      <c r="P2046" t="str">
        <f>VLOOKUP(B2046,PTN!A:B,2,FALSE)</f>
        <v>UNIVERSITAS SULTAN AGENG TIRTAYASA</v>
      </c>
      <c r="Q2046" t="str">
        <f t="shared" si="31"/>
        <v>UNIVERSITAS SULTAN AGENG TIRTAYASAPENDIDIKAN KONSELING</v>
      </c>
    </row>
    <row r="2047" spans="1:17" ht="15.75" thickBot="1" x14ac:dyDescent="0.3">
      <c r="A2047" s="7">
        <v>2046</v>
      </c>
      <c r="B2047" s="6">
        <v>23</v>
      </c>
      <c r="C2047" s="12">
        <v>3112184</v>
      </c>
      <c r="D2047" t="s">
        <v>200</v>
      </c>
      <c r="E2047" s="12">
        <v>24</v>
      </c>
      <c r="F2047" s="10" t="s">
        <v>13</v>
      </c>
      <c r="J2047" s="138" t="s">
        <v>1292</v>
      </c>
      <c r="K2047" s="138" t="s">
        <v>1292</v>
      </c>
      <c r="L2047" s="138" t="s">
        <v>1292</v>
      </c>
      <c r="M2047" s="13"/>
      <c r="N2047" s="89" t="s">
        <v>1292</v>
      </c>
      <c r="P2047" t="str">
        <f>VLOOKUP(B2047,PTN!A:B,2,FALSE)</f>
        <v>UNIVERSITAS SULTAN AGENG TIRTAYASA</v>
      </c>
      <c r="Q2047" t="str">
        <f t="shared" si="31"/>
        <v>UNIVERSITAS SULTAN AGENG TIRTAYASAPENDIDIKAN LUAR BIASA</v>
      </c>
    </row>
    <row r="2048" spans="1:17" ht="15.75" thickBot="1" x14ac:dyDescent="0.3">
      <c r="A2048" s="7">
        <v>2047</v>
      </c>
      <c r="B2048" s="6">
        <v>23</v>
      </c>
      <c r="C2048" s="13">
        <v>3112072</v>
      </c>
      <c r="D2048" t="s">
        <v>201</v>
      </c>
      <c r="E2048" s="13">
        <v>36</v>
      </c>
      <c r="F2048" s="10" t="s">
        <v>13</v>
      </c>
      <c r="J2048" s="138" t="s">
        <v>1292</v>
      </c>
      <c r="K2048" s="138" t="s">
        <v>1292</v>
      </c>
      <c r="L2048" s="138" t="s">
        <v>1292</v>
      </c>
      <c r="M2048" s="12"/>
      <c r="N2048" s="88" t="s">
        <v>1292</v>
      </c>
      <c r="P2048" t="str">
        <f>VLOOKUP(B2048,PTN!A:B,2,FALSE)</f>
        <v>UNIVERSITAS SULTAN AGENG TIRTAYASA</v>
      </c>
      <c r="Q2048" t="str">
        <f t="shared" si="31"/>
        <v>UNIVERSITAS SULTAN AGENG TIRTAYASAPENDIDIKAN LUAR SEKOLAH</v>
      </c>
    </row>
    <row r="2049" spans="1:17" ht="15.75" thickBot="1" x14ac:dyDescent="0.3">
      <c r="A2049" s="7">
        <v>2048</v>
      </c>
      <c r="B2049" s="6">
        <v>23</v>
      </c>
      <c r="C2049" s="12">
        <v>3112145</v>
      </c>
      <c r="D2049" t="s">
        <v>75</v>
      </c>
      <c r="E2049" s="12">
        <v>24</v>
      </c>
      <c r="F2049" s="10" t="s">
        <v>13</v>
      </c>
      <c r="J2049" s="138" t="s">
        <v>1292</v>
      </c>
      <c r="K2049" s="138" t="s">
        <v>1292</v>
      </c>
      <c r="L2049" s="138" t="s">
        <v>1292</v>
      </c>
      <c r="M2049" s="13"/>
      <c r="N2049" s="89" t="s">
        <v>1292</v>
      </c>
      <c r="P2049" t="str">
        <f>VLOOKUP(B2049,PTN!A:B,2,FALSE)</f>
        <v>UNIVERSITAS SULTAN AGENG TIRTAYASA</v>
      </c>
      <c r="Q2049" t="str">
        <f t="shared" si="31"/>
        <v>UNIVERSITAS SULTAN AGENG TIRTAYASAPENDIDIKAN SEJARAH</v>
      </c>
    </row>
    <row r="2050" spans="1:17" ht="15.75" thickBot="1" x14ac:dyDescent="0.3">
      <c r="A2050" s="7">
        <v>2049</v>
      </c>
      <c r="B2050" s="6">
        <v>23</v>
      </c>
      <c r="C2050" s="13">
        <v>3112161</v>
      </c>
      <c r="D2050" t="s">
        <v>477</v>
      </c>
      <c r="E2050" s="13">
        <v>24</v>
      </c>
      <c r="F2050" s="10" t="s">
        <v>13</v>
      </c>
      <c r="J2050" s="138" t="s">
        <v>1292</v>
      </c>
      <c r="K2050" s="138" t="s">
        <v>1292</v>
      </c>
      <c r="L2050" s="138" t="s">
        <v>1292</v>
      </c>
      <c r="M2050" s="12"/>
      <c r="N2050" s="88" t="s">
        <v>1292</v>
      </c>
      <c r="P2050" t="str">
        <f>VLOOKUP(B2050,PTN!A:B,2,FALSE)</f>
        <v>UNIVERSITAS SULTAN AGENG TIRTAYASA</v>
      </c>
      <c r="Q2050" t="str">
        <f t="shared" si="31"/>
        <v>UNIVERSITAS SULTAN AGENG TIRTAYASAPENDIDIKAN SENI DRAMA, TARI, DAN MUSIK</v>
      </c>
    </row>
    <row r="2051" spans="1:17" ht="15.75" thickBot="1" x14ac:dyDescent="0.3">
      <c r="A2051" s="7">
        <v>2050</v>
      </c>
      <c r="B2051" s="6">
        <v>23</v>
      </c>
      <c r="C2051" s="14">
        <v>3112137</v>
      </c>
      <c r="D2051" t="s">
        <v>334</v>
      </c>
      <c r="E2051" s="14">
        <v>24</v>
      </c>
      <c r="F2051" s="10" t="s">
        <v>13</v>
      </c>
      <c r="J2051" s="138" t="s">
        <v>1292</v>
      </c>
      <c r="K2051" s="138" t="s">
        <v>1292</v>
      </c>
      <c r="L2051" s="138" t="s">
        <v>1292</v>
      </c>
      <c r="M2051" s="13"/>
      <c r="N2051" s="89" t="s">
        <v>1292</v>
      </c>
      <c r="P2051" t="str">
        <f>VLOOKUP(B2051,PTN!A:B,2,FALSE)</f>
        <v>UNIVERSITAS SULTAN AGENG TIRTAYASA</v>
      </c>
      <c r="Q2051" t="str">
        <f t="shared" ref="Q2051:Q2114" si="32">P2051&amp;D2051</f>
        <v>UNIVERSITAS SULTAN AGENG TIRTAYASAPENDIDIKAN SOSIOLOGI</v>
      </c>
    </row>
    <row r="2052" spans="1:17" ht="16.5" thickTop="1" thickBot="1" x14ac:dyDescent="0.3">
      <c r="A2052" s="7">
        <v>2051</v>
      </c>
      <c r="B2052" s="6">
        <v>66</v>
      </c>
      <c r="C2052" s="12">
        <v>6132061</v>
      </c>
      <c r="D2052" t="s">
        <v>432</v>
      </c>
      <c r="E2052" s="12">
        <v>12</v>
      </c>
      <c r="F2052" s="10" t="s">
        <v>13</v>
      </c>
      <c r="J2052" s="138" t="s">
        <v>1292</v>
      </c>
      <c r="K2052" s="138" t="s">
        <v>1292</v>
      </c>
      <c r="L2052" s="138" t="s">
        <v>1292</v>
      </c>
      <c r="M2052" s="21"/>
      <c r="N2052" s="83" t="s">
        <v>1292</v>
      </c>
      <c r="P2052" t="str">
        <f>VLOOKUP(B2052,PTN!A:B,2,FALSE)</f>
        <v>ISI DENPASAR</v>
      </c>
      <c r="Q2052" t="str">
        <f t="shared" si="32"/>
        <v>ISI DENPASARDESAIN INTERIOR</v>
      </c>
    </row>
    <row r="2053" spans="1:17" ht="16.5" thickTop="1" thickBot="1" x14ac:dyDescent="0.3">
      <c r="A2053" s="7">
        <v>2052</v>
      </c>
      <c r="B2053" s="6">
        <v>66</v>
      </c>
      <c r="C2053" s="13">
        <v>6132076</v>
      </c>
      <c r="D2053" t="s">
        <v>12</v>
      </c>
      <c r="E2053" s="13">
        <v>24</v>
      </c>
      <c r="F2053" s="10" t="s">
        <v>13</v>
      </c>
      <c r="J2053" s="138">
        <v>592</v>
      </c>
      <c r="K2053" s="138" t="s">
        <v>1292</v>
      </c>
      <c r="L2053" s="138" t="s">
        <v>1292</v>
      </c>
      <c r="M2053" s="24"/>
      <c r="N2053" s="84">
        <v>592</v>
      </c>
      <c r="P2053" t="str">
        <f>VLOOKUP(B2053,PTN!A:B,2,FALSE)</f>
        <v>ISI DENPASAR</v>
      </c>
      <c r="Q2053" t="str">
        <f t="shared" si="32"/>
        <v>ISI DENPASARDESAIN KOMUNIKASI VISUAL</v>
      </c>
    </row>
    <row r="2054" spans="1:17" ht="16.5" thickTop="1" thickBot="1" x14ac:dyDescent="0.3">
      <c r="A2054" s="7">
        <v>2053</v>
      </c>
      <c r="B2054" s="6">
        <v>66</v>
      </c>
      <c r="C2054" s="12">
        <v>6132092</v>
      </c>
      <c r="D2054" t="s">
        <v>156</v>
      </c>
      <c r="E2054" s="12">
        <v>12</v>
      </c>
      <c r="F2054" s="10" t="s">
        <v>13</v>
      </c>
      <c r="J2054" s="138" t="s">
        <v>1292</v>
      </c>
      <c r="K2054" s="138" t="s">
        <v>1292</v>
      </c>
      <c r="L2054" s="138" t="s">
        <v>1292</v>
      </c>
      <c r="M2054" s="12"/>
      <c r="N2054" s="88" t="s">
        <v>1292</v>
      </c>
      <c r="P2054" t="str">
        <f>VLOOKUP(B2054,PTN!A:B,2,FALSE)</f>
        <v>ISI DENPASAR</v>
      </c>
      <c r="Q2054" t="str">
        <f t="shared" si="32"/>
        <v>ISI DENPASARFOTOGRAFI</v>
      </c>
    </row>
    <row r="2055" spans="1:17" ht="15.75" thickBot="1" x14ac:dyDescent="0.3">
      <c r="A2055" s="7">
        <v>2054</v>
      </c>
      <c r="B2055" s="6">
        <v>66</v>
      </c>
      <c r="C2055" s="13">
        <v>6132084</v>
      </c>
      <c r="D2055" t="s">
        <v>598</v>
      </c>
      <c r="E2055" s="13">
        <v>8</v>
      </c>
      <c r="F2055" s="10" t="s">
        <v>13</v>
      </c>
      <c r="J2055" s="138" t="s">
        <v>1292</v>
      </c>
      <c r="K2055" s="138" t="s">
        <v>1292</v>
      </c>
      <c r="L2055" s="138" t="s">
        <v>1292</v>
      </c>
      <c r="M2055" s="13"/>
      <c r="N2055" s="89" t="s">
        <v>1292</v>
      </c>
      <c r="P2055" t="str">
        <f>VLOOKUP(B2055,PTN!A:B,2,FALSE)</f>
        <v>ISI DENPASAR</v>
      </c>
      <c r="Q2055" t="str">
        <f t="shared" si="32"/>
        <v>ISI DENPASARKRIYA</v>
      </c>
    </row>
    <row r="2056" spans="1:17" ht="15.75" thickBot="1" x14ac:dyDescent="0.3">
      <c r="A2056" s="7">
        <v>2055</v>
      </c>
      <c r="B2056" s="6">
        <v>66</v>
      </c>
      <c r="C2056" s="12">
        <v>6132045</v>
      </c>
      <c r="D2056" t="s">
        <v>599</v>
      </c>
      <c r="E2056" s="12">
        <v>9</v>
      </c>
      <c r="F2056" s="10" t="s">
        <v>13</v>
      </c>
      <c r="J2056" s="138" t="s">
        <v>1292</v>
      </c>
      <c r="K2056" s="138" t="s">
        <v>1292</v>
      </c>
      <c r="L2056" s="138" t="s">
        <v>1292</v>
      </c>
      <c r="M2056" s="12"/>
      <c r="N2056" s="88" t="s">
        <v>1292</v>
      </c>
      <c r="P2056" t="str">
        <f>VLOOKUP(B2056,PTN!A:B,2,FALSE)</f>
        <v>ISI DENPASAR</v>
      </c>
      <c r="Q2056" t="str">
        <f t="shared" si="32"/>
        <v>ISI DENPASARMUSIK</v>
      </c>
    </row>
    <row r="2057" spans="1:17" ht="15.75" thickBot="1" x14ac:dyDescent="0.3">
      <c r="A2057" s="7">
        <v>2056</v>
      </c>
      <c r="B2057" s="6">
        <v>66</v>
      </c>
      <c r="C2057" s="13">
        <v>6132037</v>
      </c>
      <c r="D2057" t="s">
        <v>477</v>
      </c>
      <c r="E2057" s="13">
        <v>24</v>
      </c>
      <c r="F2057" s="10" t="s">
        <v>13</v>
      </c>
      <c r="J2057" s="138" t="s">
        <v>1292</v>
      </c>
      <c r="K2057" s="138" t="s">
        <v>1292</v>
      </c>
      <c r="L2057" s="138" t="s">
        <v>1292</v>
      </c>
      <c r="M2057" s="13"/>
      <c r="N2057" s="89" t="s">
        <v>1292</v>
      </c>
      <c r="P2057" t="str">
        <f>VLOOKUP(B2057,PTN!A:B,2,FALSE)</f>
        <v>ISI DENPASAR</v>
      </c>
      <c r="Q2057" t="str">
        <f t="shared" si="32"/>
        <v>ISI DENPASARPENDIDIKAN SENI DRAMA, TARI, DAN MUSIK</v>
      </c>
    </row>
    <row r="2058" spans="1:17" ht="15.75" thickBot="1" x14ac:dyDescent="0.3">
      <c r="A2058" s="7">
        <v>2057</v>
      </c>
      <c r="B2058" s="6">
        <v>66</v>
      </c>
      <c r="C2058" s="12">
        <v>6132022</v>
      </c>
      <c r="D2058" t="s">
        <v>15</v>
      </c>
      <c r="E2058" s="12">
        <v>24</v>
      </c>
      <c r="F2058" s="10" t="s">
        <v>13</v>
      </c>
      <c r="J2058" s="138" t="s">
        <v>1292</v>
      </c>
      <c r="K2058" s="138" t="s">
        <v>1292</v>
      </c>
      <c r="L2058" s="138" t="s">
        <v>1292</v>
      </c>
      <c r="M2058" s="12"/>
      <c r="N2058" s="88" t="s">
        <v>1292</v>
      </c>
      <c r="P2058" t="str">
        <f>VLOOKUP(B2058,PTN!A:B,2,FALSE)</f>
        <v>ISI DENPASAR</v>
      </c>
      <c r="Q2058" t="str">
        <f t="shared" si="32"/>
        <v>ISI DENPASARSENI KARAWITAN</v>
      </c>
    </row>
    <row r="2059" spans="1:17" ht="15.75" thickBot="1" x14ac:dyDescent="0.3">
      <c r="A2059" s="7">
        <v>2058</v>
      </c>
      <c r="B2059" s="6">
        <v>66</v>
      </c>
      <c r="C2059" s="13">
        <v>6132053</v>
      </c>
      <c r="D2059" t="s">
        <v>159</v>
      </c>
      <c r="E2059" s="13">
        <v>15</v>
      </c>
      <c r="F2059" s="10" t="s">
        <v>13</v>
      </c>
      <c r="J2059" s="138" t="s">
        <v>1292</v>
      </c>
      <c r="K2059" s="138" t="s">
        <v>1292</v>
      </c>
      <c r="L2059" s="138" t="s">
        <v>1292</v>
      </c>
      <c r="M2059" s="13"/>
      <c r="N2059" s="89" t="s">
        <v>1292</v>
      </c>
      <c r="P2059" t="str">
        <f>VLOOKUP(B2059,PTN!A:B,2,FALSE)</f>
        <v>ISI DENPASAR</v>
      </c>
      <c r="Q2059" t="str">
        <f t="shared" si="32"/>
        <v>ISI DENPASARSENI MURNI</v>
      </c>
    </row>
    <row r="2060" spans="1:17" ht="15.75" thickBot="1" x14ac:dyDescent="0.3">
      <c r="A2060" s="7">
        <v>2059</v>
      </c>
      <c r="B2060" s="6">
        <v>66</v>
      </c>
      <c r="C2060" s="12">
        <v>6132103</v>
      </c>
      <c r="D2060" t="s">
        <v>434</v>
      </c>
      <c r="E2060" s="12">
        <v>5</v>
      </c>
      <c r="F2060" s="10" t="s">
        <v>13</v>
      </c>
      <c r="J2060" s="138" t="s">
        <v>1292</v>
      </c>
      <c r="K2060" s="138" t="s">
        <v>1292</v>
      </c>
      <c r="L2060" s="138" t="s">
        <v>1292</v>
      </c>
      <c r="M2060" s="12"/>
      <c r="N2060" s="88" t="s">
        <v>1292</v>
      </c>
      <c r="P2060" t="str">
        <f>VLOOKUP(B2060,PTN!A:B,2,FALSE)</f>
        <v>ISI DENPASAR</v>
      </c>
      <c r="Q2060" t="str">
        <f t="shared" si="32"/>
        <v>ISI DENPASARSENI PEDALANGAN</v>
      </c>
    </row>
    <row r="2061" spans="1:17" ht="15.75" thickBot="1" x14ac:dyDescent="0.3">
      <c r="A2061" s="7">
        <v>2060</v>
      </c>
      <c r="B2061" s="6">
        <v>66</v>
      </c>
      <c r="C2061" s="16">
        <v>6132014</v>
      </c>
      <c r="D2061" t="s">
        <v>383</v>
      </c>
      <c r="E2061" s="16">
        <v>18</v>
      </c>
      <c r="F2061" s="10" t="s">
        <v>13</v>
      </c>
      <c r="J2061" s="138" t="s">
        <v>1292</v>
      </c>
      <c r="K2061" s="138" t="s">
        <v>1292</v>
      </c>
      <c r="L2061" s="138" t="s">
        <v>1292</v>
      </c>
      <c r="M2061" s="21"/>
      <c r="N2061" s="83" t="s">
        <v>1292</v>
      </c>
      <c r="P2061" t="str">
        <f>VLOOKUP(B2061,PTN!A:B,2,FALSE)</f>
        <v>ISI DENPASAR</v>
      </c>
      <c r="Q2061" t="str">
        <f t="shared" si="32"/>
        <v>ISI DENPASARTARI</v>
      </c>
    </row>
    <row r="2062" spans="1:17" ht="16.5" thickTop="1" thickBot="1" x14ac:dyDescent="0.3">
      <c r="A2062" s="7">
        <v>2061</v>
      </c>
      <c r="B2062" s="6">
        <v>65</v>
      </c>
      <c r="C2062" s="12">
        <v>6121183</v>
      </c>
      <c r="D2062" t="s">
        <v>106</v>
      </c>
      <c r="E2062" s="12">
        <v>5</v>
      </c>
      <c r="F2062" s="10" t="s">
        <v>20</v>
      </c>
      <c r="J2062" s="138" t="s">
        <v>1292</v>
      </c>
      <c r="K2062" s="138" t="s">
        <v>1292</v>
      </c>
      <c r="L2062" s="138" t="s">
        <v>1292</v>
      </c>
      <c r="M2062" s="21"/>
      <c r="N2062" s="83" t="s">
        <v>1292</v>
      </c>
      <c r="P2062" t="str">
        <f>VLOOKUP(B2062,PTN!A:B,2,FALSE)</f>
        <v>UNIVERSITAS PENDIDIKAN GANESHA</v>
      </c>
      <c r="Q2062" t="str">
        <f t="shared" si="32"/>
        <v>UNIVERSITAS PENDIDIKAN GANESHAAKUAKULTUR</v>
      </c>
    </row>
    <row r="2063" spans="1:17" ht="16.5" thickTop="1" thickBot="1" x14ac:dyDescent="0.3">
      <c r="A2063" s="7">
        <v>2062</v>
      </c>
      <c r="B2063" s="6">
        <v>65</v>
      </c>
      <c r="C2063" s="13">
        <v>6121175</v>
      </c>
      <c r="D2063" t="s">
        <v>21</v>
      </c>
      <c r="E2063" s="13">
        <v>5</v>
      </c>
      <c r="F2063" s="10" t="s">
        <v>20</v>
      </c>
      <c r="J2063" s="138" t="s">
        <v>1292</v>
      </c>
      <c r="K2063" s="138" t="s">
        <v>1292</v>
      </c>
      <c r="L2063" s="138" t="s">
        <v>1292</v>
      </c>
      <c r="M2063" s="24"/>
      <c r="N2063" s="84" t="s">
        <v>1292</v>
      </c>
      <c r="P2063" t="str">
        <f>VLOOKUP(B2063,PTN!A:B,2,FALSE)</f>
        <v>UNIVERSITAS PENDIDIKAN GANESHA</v>
      </c>
      <c r="Q2063" t="str">
        <f t="shared" si="32"/>
        <v>UNIVERSITAS PENDIDIKAN GANESHABIOLOGI</v>
      </c>
    </row>
    <row r="2064" spans="1:17" ht="16.5" thickTop="1" thickBot="1" x14ac:dyDescent="0.3">
      <c r="A2064" s="7">
        <v>2063</v>
      </c>
      <c r="B2064" s="6">
        <v>65</v>
      </c>
      <c r="C2064" s="12">
        <v>6121063</v>
      </c>
      <c r="D2064" t="s">
        <v>114</v>
      </c>
      <c r="E2064" s="12">
        <v>6</v>
      </c>
      <c r="F2064" s="10" t="s">
        <v>20</v>
      </c>
      <c r="J2064" s="138" t="s">
        <v>1292</v>
      </c>
      <c r="K2064" s="138" t="s">
        <v>1292</v>
      </c>
      <c r="L2064" s="138" t="s">
        <v>1292</v>
      </c>
      <c r="M2064" s="12"/>
      <c r="N2064" s="88" t="s">
        <v>1292</v>
      </c>
      <c r="P2064" t="str">
        <f>VLOOKUP(B2064,PTN!A:B,2,FALSE)</f>
        <v>UNIVERSITAS PENDIDIKAN GANESHA</v>
      </c>
      <c r="Q2064" t="str">
        <f t="shared" si="32"/>
        <v>UNIVERSITAS PENDIDIKAN GANESHAILMU KEOLAHRAGAAN</v>
      </c>
    </row>
    <row r="2065" spans="1:17" ht="15.75" thickBot="1" x14ac:dyDescent="0.3">
      <c r="A2065" s="7">
        <v>2064</v>
      </c>
      <c r="B2065" s="6">
        <v>65</v>
      </c>
      <c r="C2065" s="13">
        <v>6121202</v>
      </c>
      <c r="D2065" t="s">
        <v>111</v>
      </c>
      <c r="E2065" s="13">
        <v>18</v>
      </c>
      <c r="F2065" s="10" t="s">
        <v>20</v>
      </c>
      <c r="J2065" s="138" t="s">
        <v>1292</v>
      </c>
      <c r="K2065" s="138" t="s">
        <v>1292</v>
      </c>
      <c r="L2065" s="138" t="s">
        <v>1292</v>
      </c>
      <c r="M2065" s="13"/>
      <c r="N2065" s="89" t="s">
        <v>1292</v>
      </c>
      <c r="P2065" t="str">
        <f>VLOOKUP(B2065,PTN!A:B,2,FALSE)</f>
        <v>UNIVERSITAS PENDIDIKAN GANESHA</v>
      </c>
      <c r="Q2065" t="str">
        <f t="shared" si="32"/>
        <v>UNIVERSITAS PENDIDIKAN GANESHAILMU KOMPUTER</v>
      </c>
    </row>
    <row r="2066" spans="1:17" ht="15.75" thickBot="1" x14ac:dyDescent="0.3">
      <c r="A2066" s="7">
        <v>2065</v>
      </c>
      <c r="B2066" s="6">
        <v>65</v>
      </c>
      <c r="C2066" s="12">
        <v>6121217</v>
      </c>
      <c r="D2066" t="s">
        <v>236</v>
      </c>
      <c r="E2066" s="12">
        <v>15</v>
      </c>
      <c r="F2066" s="10" t="s">
        <v>20</v>
      </c>
      <c r="J2066" s="138">
        <v>656.65</v>
      </c>
      <c r="K2066" s="138">
        <v>668.97500000000002</v>
      </c>
      <c r="L2066" s="138">
        <v>644.32499999999993</v>
      </c>
      <c r="M2066" s="12"/>
      <c r="N2066" s="88">
        <v>656.65</v>
      </c>
      <c r="P2066" t="str">
        <f>VLOOKUP(B2066,PTN!A:B,2,FALSE)</f>
        <v>UNIVERSITAS PENDIDIKAN GANESHA</v>
      </c>
      <c r="Q2066" t="str">
        <f t="shared" si="32"/>
        <v>UNIVERSITAS PENDIDIKAN GANESHAKEDOKTERAN</v>
      </c>
    </row>
    <row r="2067" spans="1:17" ht="15.75" thickBot="1" x14ac:dyDescent="0.3">
      <c r="A2067" s="7">
        <v>2066</v>
      </c>
      <c r="B2067" s="6">
        <v>65</v>
      </c>
      <c r="C2067" s="13">
        <v>6121152</v>
      </c>
      <c r="D2067" t="s">
        <v>22</v>
      </c>
      <c r="E2067" s="13">
        <v>5</v>
      </c>
      <c r="F2067" s="10" t="s">
        <v>20</v>
      </c>
      <c r="J2067" s="138" t="s">
        <v>1292</v>
      </c>
      <c r="K2067" s="138" t="s">
        <v>1292</v>
      </c>
      <c r="L2067" s="138" t="s">
        <v>1292</v>
      </c>
      <c r="M2067" s="13"/>
      <c r="N2067" s="89" t="s">
        <v>1292</v>
      </c>
      <c r="P2067" t="str">
        <f>VLOOKUP(B2067,PTN!A:B,2,FALSE)</f>
        <v>UNIVERSITAS PENDIDIKAN GANESHA</v>
      </c>
      <c r="Q2067" t="str">
        <f t="shared" si="32"/>
        <v>UNIVERSITAS PENDIDIKAN GANESHAKIMIA</v>
      </c>
    </row>
    <row r="2068" spans="1:17" ht="15.75" thickBot="1" x14ac:dyDescent="0.3">
      <c r="A2068" s="7">
        <v>2067</v>
      </c>
      <c r="B2068" s="6">
        <v>65</v>
      </c>
      <c r="C2068" s="12">
        <v>6121167</v>
      </c>
      <c r="D2068" t="s">
        <v>66</v>
      </c>
      <c r="E2068" s="12">
        <v>5</v>
      </c>
      <c r="F2068" s="10" t="s">
        <v>20</v>
      </c>
      <c r="J2068" s="138" t="s">
        <v>1292</v>
      </c>
      <c r="K2068" s="138" t="s">
        <v>1292</v>
      </c>
      <c r="L2068" s="138" t="s">
        <v>1292</v>
      </c>
      <c r="M2068" s="12"/>
      <c r="N2068" s="88" t="s">
        <v>1292</v>
      </c>
      <c r="P2068" t="str">
        <f>VLOOKUP(B2068,PTN!A:B,2,FALSE)</f>
        <v>UNIVERSITAS PENDIDIKAN GANESHA</v>
      </c>
      <c r="Q2068" t="str">
        <f t="shared" si="32"/>
        <v>UNIVERSITAS PENDIDIKAN GANESHAMATEMATIKA</v>
      </c>
    </row>
    <row r="2069" spans="1:17" ht="15.75" thickBot="1" x14ac:dyDescent="0.3">
      <c r="A2069" s="7">
        <v>2068</v>
      </c>
      <c r="B2069" s="6">
        <v>65</v>
      </c>
      <c r="C2069" s="13">
        <v>6121024</v>
      </c>
      <c r="D2069" t="s">
        <v>67</v>
      </c>
      <c r="E2069" s="13">
        <v>12</v>
      </c>
      <c r="F2069" s="10" t="s">
        <v>20</v>
      </c>
      <c r="J2069" s="138" t="s">
        <v>1292</v>
      </c>
      <c r="K2069" s="138" t="s">
        <v>1292</v>
      </c>
      <c r="L2069" s="138" t="s">
        <v>1292</v>
      </c>
      <c r="M2069" s="13"/>
      <c r="N2069" s="89" t="s">
        <v>1292</v>
      </c>
      <c r="P2069" t="str">
        <f>VLOOKUP(B2069,PTN!A:B,2,FALSE)</f>
        <v>UNIVERSITAS PENDIDIKAN GANESHA</v>
      </c>
      <c r="Q2069" t="str">
        <f t="shared" si="32"/>
        <v>UNIVERSITAS PENDIDIKAN GANESHAPENDIDIKAN BIOLOGI</v>
      </c>
    </row>
    <row r="2070" spans="1:17" ht="15.75" thickBot="1" x14ac:dyDescent="0.3">
      <c r="A2070" s="7">
        <v>2069</v>
      </c>
      <c r="B2070" s="6">
        <v>65</v>
      </c>
      <c r="C2070" s="12">
        <v>6121047</v>
      </c>
      <c r="D2070" t="s">
        <v>42</v>
      </c>
      <c r="E2070" s="12">
        <v>14</v>
      </c>
      <c r="F2070" s="10" t="s">
        <v>20</v>
      </c>
      <c r="J2070" s="138" t="s">
        <v>1292</v>
      </c>
      <c r="K2070" s="138" t="s">
        <v>1292</v>
      </c>
      <c r="L2070" s="138" t="s">
        <v>1292</v>
      </c>
      <c r="M2070" s="12"/>
      <c r="N2070" s="88" t="s">
        <v>1292</v>
      </c>
      <c r="P2070" t="str">
        <f>VLOOKUP(B2070,PTN!A:B,2,FALSE)</f>
        <v>UNIVERSITAS PENDIDIKAN GANESHA</v>
      </c>
      <c r="Q2070" t="str">
        <f t="shared" si="32"/>
        <v>UNIVERSITAS PENDIDIKAN GANESHAPENDIDIKAN FISIKA</v>
      </c>
    </row>
    <row r="2071" spans="1:17" ht="15.75" thickBot="1" x14ac:dyDescent="0.3">
      <c r="A2071" s="7">
        <v>2070</v>
      </c>
      <c r="B2071" s="6">
        <v>65</v>
      </c>
      <c r="C2071" s="13">
        <v>6121144</v>
      </c>
      <c r="D2071" t="s">
        <v>115</v>
      </c>
      <c r="E2071" s="13">
        <v>18</v>
      </c>
      <c r="F2071" s="10" t="s">
        <v>20</v>
      </c>
      <c r="J2071" s="138" t="s">
        <v>1292</v>
      </c>
      <c r="K2071" s="138" t="s">
        <v>1292</v>
      </c>
      <c r="L2071" s="138" t="s">
        <v>1292</v>
      </c>
      <c r="M2071" s="13"/>
      <c r="N2071" s="89" t="s">
        <v>1292</v>
      </c>
      <c r="P2071" t="str">
        <f>VLOOKUP(B2071,PTN!A:B,2,FALSE)</f>
        <v>UNIVERSITAS PENDIDIKAN GANESHA</v>
      </c>
      <c r="Q2071" t="str">
        <f t="shared" si="32"/>
        <v>UNIVERSITAS PENDIDIKAN GANESHAPENDIDIKAN IPA</v>
      </c>
    </row>
    <row r="2072" spans="1:17" ht="15.75" thickBot="1" x14ac:dyDescent="0.3">
      <c r="A2072" s="7">
        <v>2071</v>
      </c>
      <c r="B2072" s="6">
        <v>65</v>
      </c>
      <c r="C2072" s="12">
        <v>6121032</v>
      </c>
      <c r="D2072" t="s">
        <v>43</v>
      </c>
      <c r="E2072" s="12">
        <v>8</v>
      </c>
      <c r="F2072" s="10" t="s">
        <v>20</v>
      </c>
      <c r="J2072" s="138" t="s">
        <v>1292</v>
      </c>
      <c r="K2072" s="138" t="s">
        <v>1292</v>
      </c>
      <c r="L2072" s="138" t="s">
        <v>1292</v>
      </c>
      <c r="M2072" s="12"/>
      <c r="N2072" s="88" t="s">
        <v>1292</v>
      </c>
      <c r="P2072" t="str">
        <f>VLOOKUP(B2072,PTN!A:B,2,FALSE)</f>
        <v>UNIVERSITAS PENDIDIKAN GANESHA</v>
      </c>
      <c r="Q2072" t="str">
        <f t="shared" si="32"/>
        <v>UNIVERSITAS PENDIDIKAN GANESHAPENDIDIKAN KIMIA</v>
      </c>
    </row>
    <row r="2073" spans="1:17" ht="15.75" thickBot="1" x14ac:dyDescent="0.3">
      <c r="A2073" s="7">
        <v>2072</v>
      </c>
      <c r="B2073" s="6">
        <v>65</v>
      </c>
      <c r="C2073" s="13">
        <v>6121016</v>
      </c>
      <c r="D2073" t="s">
        <v>44</v>
      </c>
      <c r="E2073" s="13">
        <v>28</v>
      </c>
      <c r="F2073" s="10" t="s">
        <v>20</v>
      </c>
      <c r="J2073" s="138" t="s">
        <v>1292</v>
      </c>
      <c r="K2073" s="138" t="s">
        <v>1292</v>
      </c>
      <c r="L2073" s="138" t="s">
        <v>1292</v>
      </c>
      <c r="M2073" s="13"/>
      <c r="N2073" s="89" t="s">
        <v>1292</v>
      </c>
      <c r="P2073" t="str">
        <f>VLOOKUP(B2073,PTN!A:B,2,FALSE)</f>
        <v>UNIVERSITAS PENDIDIKAN GANESHA</v>
      </c>
      <c r="Q2073" t="str">
        <f t="shared" si="32"/>
        <v>UNIVERSITAS PENDIDIKAN GANESHAPENDIDIKAN MATEMATIKA</v>
      </c>
    </row>
    <row r="2074" spans="1:17" ht="15.75" thickBot="1" x14ac:dyDescent="0.3">
      <c r="A2074" s="7">
        <v>2073</v>
      </c>
      <c r="B2074" s="6">
        <v>65</v>
      </c>
      <c r="C2074" s="12">
        <v>6121071</v>
      </c>
      <c r="D2074" t="s">
        <v>23</v>
      </c>
      <c r="E2074" s="12">
        <v>12</v>
      </c>
      <c r="F2074" s="10" t="s">
        <v>20</v>
      </c>
      <c r="J2074" s="138" t="s">
        <v>1292</v>
      </c>
      <c r="K2074" s="138" t="s">
        <v>1292</v>
      </c>
      <c r="L2074" s="138" t="s">
        <v>1292</v>
      </c>
      <c r="M2074" s="12"/>
      <c r="N2074" s="88" t="s">
        <v>1292</v>
      </c>
      <c r="P2074" t="str">
        <f>VLOOKUP(B2074,PTN!A:B,2,FALSE)</f>
        <v>UNIVERSITAS PENDIDIKAN GANESHA</v>
      </c>
      <c r="Q2074" t="str">
        <f t="shared" si="32"/>
        <v>UNIVERSITAS PENDIDIKAN GANESHAPENDIDIKAN TEKNIK ELEKTRO</v>
      </c>
    </row>
    <row r="2075" spans="1:17" ht="15.75" thickBot="1" x14ac:dyDescent="0.3">
      <c r="A2075" s="7">
        <v>2074</v>
      </c>
      <c r="B2075" s="6">
        <v>65</v>
      </c>
      <c r="C2075" s="13">
        <v>6121055</v>
      </c>
      <c r="D2075" t="s">
        <v>502</v>
      </c>
      <c r="E2075" s="13">
        <v>45</v>
      </c>
      <c r="F2075" s="10" t="s">
        <v>20</v>
      </c>
      <c r="J2075" s="138" t="s">
        <v>1292</v>
      </c>
      <c r="K2075" s="138" t="s">
        <v>1292</v>
      </c>
      <c r="L2075" s="138" t="s">
        <v>1292</v>
      </c>
      <c r="M2075" s="13"/>
      <c r="N2075" s="89" t="s">
        <v>1292</v>
      </c>
      <c r="P2075" t="str">
        <f>VLOOKUP(B2075,PTN!A:B,2,FALSE)</f>
        <v>UNIVERSITAS PENDIDIKAN GANESHA</v>
      </c>
      <c r="Q2075" t="str">
        <f t="shared" si="32"/>
        <v>UNIVERSITAS PENDIDIKAN GANESHAPENDIDIKAN TEKNIK INFORMATIKA</v>
      </c>
    </row>
    <row r="2076" spans="1:17" ht="15.75" thickBot="1" x14ac:dyDescent="0.3">
      <c r="A2076" s="7">
        <v>2075</v>
      </c>
      <c r="B2076" s="6">
        <v>65</v>
      </c>
      <c r="C2076" s="12">
        <v>6121136</v>
      </c>
      <c r="D2076" t="s">
        <v>45</v>
      </c>
      <c r="E2076" s="12">
        <v>14</v>
      </c>
      <c r="F2076" s="10" t="s">
        <v>20</v>
      </c>
      <c r="J2076" s="138" t="s">
        <v>1292</v>
      </c>
      <c r="K2076" s="138" t="s">
        <v>1292</v>
      </c>
      <c r="L2076" s="138" t="s">
        <v>1292</v>
      </c>
      <c r="M2076" s="12"/>
      <c r="N2076" s="88" t="s">
        <v>1292</v>
      </c>
      <c r="P2076" t="str">
        <f>VLOOKUP(B2076,PTN!A:B,2,FALSE)</f>
        <v>UNIVERSITAS PENDIDIKAN GANESHA</v>
      </c>
      <c r="Q2076" t="str">
        <f t="shared" si="32"/>
        <v>UNIVERSITAS PENDIDIKAN GANESHAPENDIDIKAN TEKNIK MESIN</v>
      </c>
    </row>
    <row r="2077" spans="1:17" ht="15.75" thickBot="1" x14ac:dyDescent="0.3">
      <c r="A2077" s="7">
        <v>2076</v>
      </c>
      <c r="B2077" s="6">
        <v>65</v>
      </c>
      <c r="C2077" s="16">
        <v>6121191</v>
      </c>
      <c r="D2077" t="s">
        <v>46</v>
      </c>
      <c r="E2077" s="16">
        <v>18</v>
      </c>
      <c r="F2077" s="10" t="s">
        <v>20</v>
      </c>
      <c r="J2077" s="138" t="s">
        <v>1292</v>
      </c>
      <c r="K2077" s="138" t="s">
        <v>1292</v>
      </c>
      <c r="L2077" s="138" t="s">
        <v>1292</v>
      </c>
      <c r="M2077" s="13"/>
      <c r="N2077" s="89" t="s">
        <v>1292</v>
      </c>
      <c r="P2077" t="str">
        <f>VLOOKUP(B2077,PTN!A:B,2,FALSE)</f>
        <v>UNIVERSITAS PENDIDIKAN GANESHA</v>
      </c>
      <c r="Q2077" t="str">
        <f t="shared" si="32"/>
        <v>UNIVERSITAS PENDIDIKAN GANESHASISTEM INFORMASI</v>
      </c>
    </row>
    <row r="2078" spans="1:17" ht="16.5" thickTop="1" thickBot="1" x14ac:dyDescent="0.3">
      <c r="A2078" s="7">
        <v>2077</v>
      </c>
      <c r="B2078" s="6">
        <v>65</v>
      </c>
      <c r="C2078" s="12">
        <v>6122147</v>
      </c>
      <c r="D2078" t="s">
        <v>55</v>
      </c>
      <c r="E2078" s="12">
        <v>53</v>
      </c>
      <c r="F2078" s="10" t="s">
        <v>13</v>
      </c>
      <c r="J2078" s="138" t="s">
        <v>1292</v>
      </c>
      <c r="K2078" s="138" t="s">
        <v>1292</v>
      </c>
      <c r="L2078" s="138" t="s">
        <v>1292</v>
      </c>
      <c r="M2078" s="21"/>
      <c r="N2078" s="83" t="s">
        <v>1292</v>
      </c>
      <c r="P2078" t="str">
        <f>VLOOKUP(B2078,PTN!A:B,2,FALSE)</f>
        <v>UNIVERSITAS PENDIDIKAN GANESHA</v>
      </c>
      <c r="Q2078" t="str">
        <f t="shared" si="32"/>
        <v>UNIVERSITAS PENDIDIKAN GANESHAAKUNTANSI</v>
      </c>
    </row>
    <row r="2079" spans="1:17" ht="15.75" thickBot="1" x14ac:dyDescent="0.3">
      <c r="A2079" s="7">
        <v>2078</v>
      </c>
      <c r="B2079" s="6">
        <v>65</v>
      </c>
      <c r="C2079" s="13">
        <v>6122097</v>
      </c>
      <c r="D2079" t="s">
        <v>27</v>
      </c>
      <c r="E2079" s="13">
        <v>24</v>
      </c>
      <c r="F2079" s="10" t="s">
        <v>13</v>
      </c>
      <c r="J2079" s="138" t="s">
        <v>1292</v>
      </c>
      <c r="K2079" s="138" t="s">
        <v>1292</v>
      </c>
      <c r="L2079" s="138" t="s">
        <v>1292</v>
      </c>
      <c r="M2079" s="21"/>
      <c r="N2079" s="83" t="s">
        <v>1292</v>
      </c>
      <c r="P2079" t="str">
        <f>VLOOKUP(B2079,PTN!A:B,2,FALSE)</f>
        <v>UNIVERSITAS PENDIDIKAN GANESHA</v>
      </c>
      <c r="Q2079" t="str">
        <f t="shared" si="32"/>
        <v>UNIVERSITAS PENDIDIKAN GANESHABIMBINGAN KONSELING</v>
      </c>
    </row>
    <row r="2080" spans="1:17" ht="16.5" thickTop="1" thickBot="1" x14ac:dyDescent="0.3">
      <c r="A2080" s="7">
        <v>2079</v>
      </c>
      <c r="B2080" s="6">
        <v>65</v>
      </c>
      <c r="C2080" s="12">
        <v>6122236</v>
      </c>
      <c r="D2080" t="s">
        <v>31</v>
      </c>
      <c r="E2080" s="12">
        <v>44</v>
      </c>
      <c r="F2080" s="10" t="s">
        <v>13</v>
      </c>
      <c r="J2080" s="138" t="s">
        <v>1292</v>
      </c>
      <c r="K2080" s="138" t="s">
        <v>1292</v>
      </c>
      <c r="L2080" s="138" t="s">
        <v>1292</v>
      </c>
      <c r="M2080" s="24"/>
      <c r="N2080" s="84" t="s">
        <v>1292</v>
      </c>
      <c r="P2080" t="str">
        <f>VLOOKUP(B2080,PTN!A:B,2,FALSE)</f>
        <v>UNIVERSITAS PENDIDIKAN GANESHA</v>
      </c>
      <c r="Q2080" t="str">
        <f t="shared" si="32"/>
        <v>UNIVERSITAS PENDIDIKAN GANESHAILMU HUKUM</v>
      </c>
    </row>
    <row r="2081" spans="1:17" ht="16.5" thickTop="1" thickBot="1" x14ac:dyDescent="0.3">
      <c r="A2081" s="7">
        <v>2080</v>
      </c>
      <c r="B2081" s="6">
        <v>65</v>
      </c>
      <c r="C2081" s="13">
        <v>6122132</v>
      </c>
      <c r="D2081" t="s">
        <v>61</v>
      </c>
      <c r="E2081" s="13">
        <v>53</v>
      </c>
      <c r="F2081" s="10" t="s">
        <v>13</v>
      </c>
      <c r="J2081" s="138" t="s">
        <v>1292</v>
      </c>
      <c r="K2081" s="138" t="s">
        <v>1292</v>
      </c>
      <c r="L2081" s="138" t="s">
        <v>1292</v>
      </c>
      <c r="M2081" s="12"/>
      <c r="N2081" s="88" t="s">
        <v>1292</v>
      </c>
      <c r="P2081" t="str">
        <f>VLOOKUP(B2081,PTN!A:B,2,FALSE)</f>
        <v>UNIVERSITAS PENDIDIKAN GANESHA</v>
      </c>
      <c r="Q2081" t="str">
        <f t="shared" si="32"/>
        <v>UNIVERSITAS PENDIDIKAN GANESHAMANAJEMEN</v>
      </c>
    </row>
    <row r="2082" spans="1:17" ht="15.75" thickBot="1" x14ac:dyDescent="0.3">
      <c r="A2082" s="7">
        <v>2081</v>
      </c>
      <c r="B2082" s="6">
        <v>65</v>
      </c>
      <c r="C2082" s="12">
        <v>6122205</v>
      </c>
      <c r="D2082" t="s">
        <v>226</v>
      </c>
      <c r="E2082" s="12">
        <v>14</v>
      </c>
      <c r="F2082" s="10" t="s">
        <v>13</v>
      </c>
      <c r="J2082" s="138" t="s">
        <v>1292</v>
      </c>
      <c r="K2082" s="138" t="s">
        <v>1292</v>
      </c>
      <c r="L2082" s="138" t="s">
        <v>1292</v>
      </c>
      <c r="M2082" s="13"/>
      <c r="N2082" s="89" t="s">
        <v>1292</v>
      </c>
      <c r="P2082" t="str">
        <f>VLOOKUP(B2082,PTN!A:B,2,FALSE)</f>
        <v>UNIVERSITAS PENDIDIKAN GANESHA</v>
      </c>
      <c r="Q2082" t="str">
        <f t="shared" si="32"/>
        <v>UNIVERSITAS PENDIDIKAN GANESHAPEND. BAHASA JEPANG</v>
      </c>
    </row>
    <row r="2083" spans="1:17" ht="15.75" thickBot="1" x14ac:dyDescent="0.3">
      <c r="A2083" s="7">
        <v>2082</v>
      </c>
      <c r="B2083" s="6">
        <v>65</v>
      </c>
      <c r="C2083" s="13">
        <v>6122213</v>
      </c>
      <c r="D2083" t="s">
        <v>600</v>
      </c>
      <c r="E2083" s="13">
        <v>6</v>
      </c>
      <c r="F2083" s="10" t="s">
        <v>13</v>
      </c>
      <c r="J2083" s="138" t="s">
        <v>1292</v>
      </c>
      <c r="K2083" s="138" t="s">
        <v>1292</v>
      </c>
      <c r="L2083" s="138" t="s">
        <v>1292</v>
      </c>
      <c r="M2083" s="12"/>
      <c r="N2083" s="88" t="s">
        <v>1292</v>
      </c>
      <c r="P2083" t="str">
        <f>VLOOKUP(B2083,PTN!A:B,2,FALSE)</f>
        <v>UNIVERSITAS PENDIDIKAN GANESHA</v>
      </c>
      <c r="Q2083" t="str">
        <f t="shared" si="32"/>
        <v>UNIVERSITAS PENDIDIKAN GANESHAPENDIDIKAN BAHASA BALI</v>
      </c>
    </row>
    <row r="2084" spans="1:17" ht="15.75" thickBot="1" x14ac:dyDescent="0.3">
      <c r="A2084" s="7">
        <v>2083</v>
      </c>
      <c r="B2084" s="6">
        <v>65</v>
      </c>
      <c r="C2084" s="12">
        <v>6122051</v>
      </c>
      <c r="D2084" t="s">
        <v>99</v>
      </c>
      <c r="E2084" s="12">
        <v>17</v>
      </c>
      <c r="F2084" s="10" t="s">
        <v>13</v>
      </c>
      <c r="J2084" s="138" t="s">
        <v>1292</v>
      </c>
      <c r="K2084" s="138" t="s">
        <v>1292</v>
      </c>
      <c r="L2084" s="138" t="s">
        <v>1292</v>
      </c>
      <c r="M2084" s="13"/>
      <c r="N2084" s="89" t="s">
        <v>1292</v>
      </c>
      <c r="P2084" t="str">
        <f>VLOOKUP(B2084,PTN!A:B,2,FALSE)</f>
        <v>UNIVERSITAS PENDIDIKAN GANESHA</v>
      </c>
      <c r="Q2084" t="str">
        <f t="shared" si="32"/>
        <v>UNIVERSITAS PENDIDIKAN GANESHAPENDIDIKAN BAHASA DAN SASTRA INDONESIA</v>
      </c>
    </row>
    <row r="2085" spans="1:17" ht="15.75" thickBot="1" x14ac:dyDescent="0.3">
      <c r="A2085" s="7">
        <v>2084</v>
      </c>
      <c r="B2085" s="6">
        <v>65</v>
      </c>
      <c r="C2085" s="13">
        <v>6122066</v>
      </c>
      <c r="D2085" t="s">
        <v>71</v>
      </c>
      <c r="E2085" s="13">
        <v>74</v>
      </c>
      <c r="F2085" s="10" t="s">
        <v>13</v>
      </c>
      <c r="J2085" s="138" t="s">
        <v>1292</v>
      </c>
      <c r="K2085" s="138" t="s">
        <v>1292</v>
      </c>
      <c r="L2085" s="138" t="s">
        <v>1292</v>
      </c>
      <c r="M2085" s="12"/>
      <c r="N2085" s="88" t="s">
        <v>1292</v>
      </c>
      <c r="P2085" t="str">
        <f>VLOOKUP(B2085,PTN!A:B,2,FALSE)</f>
        <v>UNIVERSITAS PENDIDIKAN GANESHA</v>
      </c>
      <c r="Q2085" t="str">
        <f t="shared" si="32"/>
        <v>UNIVERSITAS PENDIDIKAN GANESHAPENDIDIKAN BAHASA INGGRIS</v>
      </c>
    </row>
    <row r="2086" spans="1:17" ht="15.75" thickBot="1" x14ac:dyDescent="0.3">
      <c r="A2086" s="7">
        <v>2085</v>
      </c>
      <c r="B2086" s="6">
        <v>65</v>
      </c>
      <c r="C2086" s="12">
        <v>6122027</v>
      </c>
      <c r="D2086" t="s">
        <v>100</v>
      </c>
      <c r="E2086" s="12">
        <v>27</v>
      </c>
      <c r="F2086" s="10" t="s">
        <v>13</v>
      </c>
      <c r="J2086" s="138" t="s">
        <v>1292</v>
      </c>
      <c r="K2086" s="138" t="s">
        <v>1292</v>
      </c>
      <c r="L2086" s="138" t="s">
        <v>1292</v>
      </c>
      <c r="M2086" s="13"/>
      <c r="N2086" s="89" t="s">
        <v>1292</v>
      </c>
      <c r="P2086" t="str">
        <f>VLOOKUP(B2086,PTN!A:B,2,FALSE)</f>
        <v>UNIVERSITAS PENDIDIKAN GANESHA</v>
      </c>
      <c r="Q2086" t="str">
        <f t="shared" si="32"/>
        <v>UNIVERSITAS PENDIDIKAN GANESHAPENDIDIKAN EKONOMI</v>
      </c>
    </row>
    <row r="2087" spans="1:17" ht="15.75" thickBot="1" x14ac:dyDescent="0.3">
      <c r="A2087" s="7">
        <v>2086</v>
      </c>
      <c r="B2087" s="6">
        <v>65</v>
      </c>
      <c r="C2087" s="13">
        <v>6122043</v>
      </c>
      <c r="D2087" t="s">
        <v>72</v>
      </c>
      <c r="E2087" s="13">
        <v>9</v>
      </c>
      <c r="F2087" s="10" t="s">
        <v>13</v>
      </c>
      <c r="J2087" s="138" t="s">
        <v>1292</v>
      </c>
      <c r="K2087" s="138" t="s">
        <v>1292</v>
      </c>
      <c r="L2087" s="138" t="s">
        <v>1292</v>
      </c>
      <c r="M2087" s="12"/>
      <c r="N2087" s="88" t="s">
        <v>1292</v>
      </c>
      <c r="P2087" t="str">
        <f>VLOOKUP(B2087,PTN!A:B,2,FALSE)</f>
        <v>UNIVERSITAS PENDIDIKAN GANESHA</v>
      </c>
      <c r="Q2087" t="str">
        <f t="shared" si="32"/>
        <v>UNIVERSITAS PENDIDIKAN GANESHAPENDIDIKAN GEOGRAFI</v>
      </c>
    </row>
    <row r="2088" spans="1:17" ht="15.75" thickBot="1" x14ac:dyDescent="0.3">
      <c r="A2088" s="7">
        <v>2087</v>
      </c>
      <c r="B2088" s="6">
        <v>65</v>
      </c>
      <c r="C2088" s="12">
        <v>6122194</v>
      </c>
      <c r="D2088" t="s">
        <v>593</v>
      </c>
      <c r="E2088" s="12">
        <v>24</v>
      </c>
      <c r="F2088" s="10" t="s">
        <v>13</v>
      </c>
      <c r="J2088" s="138" t="s">
        <v>1292</v>
      </c>
      <c r="K2088" s="138" t="s">
        <v>1292</v>
      </c>
      <c r="L2088" s="138" t="s">
        <v>1292</v>
      </c>
      <c r="M2088" s="13"/>
      <c r="N2088" s="89" t="s">
        <v>1292</v>
      </c>
      <c r="P2088" t="str">
        <f>VLOOKUP(B2088,PTN!A:B,2,FALSE)</f>
        <v>UNIVERSITAS PENDIDIKAN GANESHA</v>
      </c>
      <c r="Q2088" t="str">
        <f t="shared" si="32"/>
        <v>UNIVERSITAS PENDIDIKAN GANESHAPENDIDIKAN GURU ANAK USIA DINI</v>
      </c>
    </row>
    <row r="2089" spans="1:17" ht="15.75" thickBot="1" x14ac:dyDescent="0.3">
      <c r="A2089" s="7">
        <v>2088</v>
      </c>
      <c r="B2089" s="6">
        <v>65</v>
      </c>
      <c r="C2089" s="13">
        <v>6122171</v>
      </c>
      <c r="D2089" t="s">
        <v>73</v>
      </c>
      <c r="E2089" s="13">
        <v>72</v>
      </c>
      <c r="F2089" s="10" t="s">
        <v>13</v>
      </c>
      <c r="J2089" s="138" t="s">
        <v>1292</v>
      </c>
      <c r="K2089" s="138" t="s">
        <v>1292</v>
      </c>
      <c r="L2089" s="138" t="s">
        <v>1292</v>
      </c>
      <c r="M2089" s="12"/>
      <c r="N2089" s="88" t="s">
        <v>1292</v>
      </c>
      <c r="P2089" t="str">
        <f>VLOOKUP(B2089,PTN!A:B,2,FALSE)</f>
        <v>UNIVERSITAS PENDIDIKAN GANESHA</v>
      </c>
      <c r="Q2089" t="str">
        <f t="shared" si="32"/>
        <v>UNIVERSITAS PENDIDIKAN GANESHAPENDIDIKAN GURU SEKOLAH DASAR</v>
      </c>
    </row>
    <row r="2090" spans="1:17" ht="15.75" thickBot="1" x14ac:dyDescent="0.3">
      <c r="A2090" s="7">
        <v>2089</v>
      </c>
      <c r="B2090" s="6">
        <v>65</v>
      </c>
      <c r="C2090" s="12">
        <v>6122124</v>
      </c>
      <c r="D2090" t="s">
        <v>442</v>
      </c>
      <c r="E2090" s="12">
        <v>27</v>
      </c>
      <c r="F2090" s="10" t="s">
        <v>13</v>
      </c>
      <c r="J2090" s="138" t="s">
        <v>1292</v>
      </c>
      <c r="K2090" s="138" t="s">
        <v>1292</v>
      </c>
      <c r="L2090" s="138" t="s">
        <v>1292</v>
      </c>
      <c r="M2090" s="13"/>
      <c r="N2090" s="89" t="s">
        <v>1292</v>
      </c>
      <c r="P2090" t="str">
        <f>VLOOKUP(B2090,PTN!A:B,2,FALSE)</f>
        <v>UNIVERSITAS PENDIDIKAN GANESHA</v>
      </c>
      <c r="Q2090" t="str">
        <f t="shared" si="32"/>
        <v>UNIVERSITAS PENDIDIKAN GANESHAPENDIDIKAN JASMANI KESEHATAN DAN REKREASI</v>
      </c>
    </row>
    <row r="2091" spans="1:17" ht="15.75" thickBot="1" x14ac:dyDescent="0.3">
      <c r="A2091" s="7">
        <v>2090</v>
      </c>
      <c r="B2091" s="6">
        <v>65</v>
      </c>
      <c r="C2091" s="13">
        <v>6122155</v>
      </c>
      <c r="D2091" t="s">
        <v>330</v>
      </c>
      <c r="E2091" s="13">
        <v>8</v>
      </c>
      <c r="F2091" s="10" t="s">
        <v>13</v>
      </c>
      <c r="J2091" s="138" t="s">
        <v>1292</v>
      </c>
      <c r="K2091" s="138" t="s">
        <v>1292</v>
      </c>
      <c r="L2091" s="138" t="s">
        <v>1292</v>
      </c>
      <c r="M2091" s="12"/>
      <c r="N2091" s="88" t="s">
        <v>1292</v>
      </c>
      <c r="P2091" t="str">
        <f>VLOOKUP(B2091,PTN!A:B,2,FALSE)</f>
        <v>UNIVERSITAS PENDIDIKAN GANESHA</v>
      </c>
      <c r="Q2091" t="str">
        <f t="shared" si="32"/>
        <v>UNIVERSITAS PENDIDIKAN GANESHAPENDIDIKAN KEPELATIHAN OLAHRAGA</v>
      </c>
    </row>
    <row r="2092" spans="1:17" ht="15.75" thickBot="1" x14ac:dyDescent="0.3">
      <c r="A2092" s="7">
        <v>2091</v>
      </c>
      <c r="B2092" s="6">
        <v>65</v>
      </c>
      <c r="C2092" s="12">
        <v>6122082</v>
      </c>
      <c r="D2092" t="s">
        <v>102</v>
      </c>
      <c r="E2092" s="12">
        <v>18</v>
      </c>
      <c r="F2092" s="10" t="s">
        <v>13</v>
      </c>
      <c r="J2092" s="138" t="s">
        <v>1292</v>
      </c>
      <c r="K2092" s="138" t="s">
        <v>1292</v>
      </c>
      <c r="L2092" s="138" t="s">
        <v>1292</v>
      </c>
      <c r="M2092" s="13"/>
      <c r="N2092" s="89" t="s">
        <v>1292</v>
      </c>
      <c r="P2092" t="str">
        <f>VLOOKUP(B2092,PTN!A:B,2,FALSE)</f>
        <v>UNIVERSITAS PENDIDIKAN GANESHA</v>
      </c>
      <c r="Q2092" t="str">
        <f t="shared" si="32"/>
        <v>UNIVERSITAS PENDIDIKAN GANESHAPENDIDIKAN KESEJAHTERAAN KELUARGA</v>
      </c>
    </row>
    <row r="2093" spans="1:17" ht="15.75" thickBot="1" x14ac:dyDescent="0.3">
      <c r="A2093" s="7">
        <v>2092</v>
      </c>
      <c r="B2093" s="6">
        <v>65</v>
      </c>
      <c r="C2093" s="13">
        <v>6122012</v>
      </c>
      <c r="D2093" t="s">
        <v>103</v>
      </c>
      <c r="E2093" s="13">
        <v>9</v>
      </c>
      <c r="F2093" s="10" t="s">
        <v>13</v>
      </c>
      <c r="J2093" s="138" t="s">
        <v>1292</v>
      </c>
      <c r="K2093" s="138" t="s">
        <v>1292</v>
      </c>
      <c r="L2093" s="138" t="s">
        <v>1292</v>
      </c>
      <c r="M2093" s="12"/>
      <c r="N2093" s="88" t="s">
        <v>1292</v>
      </c>
      <c r="P2093" t="str">
        <f>VLOOKUP(B2093,PTN!A:B,2,FALSE)</f>
        <v>UNIVERSITAS PENDIDIKAN GANESHA</v>
      </c>
      <c r="Q2093" t="str">
        <f t="shared" si="32"/>
        <v>UNIVERSITAS PENDIDIKAN GANESHAPENDIDIKAN PANCASILA DAN KEWARGANEGARAAN</v>
      </c>
    </row>
    <row r="2094" spans="1:17" ht="15.75" thickBot="1" x14ac:dyDescent="0.3">
      <c r="A2094" s="7">
        <v>2093</v>
      </c>
      <c r="B2094" s="6">
        <v>65</v>
      </c>
      <c r="C2094" s="12">
        <v>6122035</v>
      </c>
      <c r="D2094" t="s">
        <v>75</v>
      </c>
      <c r="E2094" s="12">
        <v>9</v>
      </c>
      <c r="F2094" s="10" t="s">
        <v>13</v>
      </c>
      <c r="J2094" s="138" t="s">
        <v>1292</v>
      </c>
      <c r="K2094" s="138" t="s">
        <v>1292</v>
      </c>
      <c r="L2094" s="138" t="s">
        <v>1292</v>
      </c>
      <c r="M2094" s="13"/>
      <c r="N2094" s="89" t="s">
        <v>1292</v>
      </c>
      <c r="P2094" t="str">
        <f>VLOOKUP(B2094,PTN!A:B,2,FALSE)</f>
        <v>UNIVERSITAS PENDIDIKAN GANESHA</v>
      </c>
      <c r="Q2094" t="str">
        <f t="shared" si="32"/>
        <v>UNIVERSITAS PENDIDIKAN GANESHAPENDIDIKAN SEJARAH</v>
      </c>
    </row>
    <row r="2095" spans="1:17" ht="15.75" thickBot="1" x14ac:dyDescent="0.3">
      <c r="A2095" s="7">
        <v>2094</v>
      </c>
      <c r="B2095" s="6">
        <v>65</v>
      </c>
      <c r="C2095" s="13">
        <v>6122074</v>
      </c>
      <c r="D2095" t="s">
        <v>131</v>
      </c>
      <c r="E2095" s="13">
        <v>14</v>
      </c>
      <c r="F2095" s="10" t="s">
        <v>13</v>
      </c>
      <c r="J2095" s="138" t="s">
        <v>1292</v>
      </c>
      <c r="K2095" s="138" t="s">
        <v>1292</v>
      </c>
      <c r="L2095" s="138" t="s">
        <v>1292</v>
      </c>
      <c r="M2095" s="12"/>
      <c r="N2095" s="88" t="s">
        <v>1292</v>
      </c>
      <c r="P2095" t="str">
        <f>VLOOKUP(B2095,PTN!A:B,2,FALSE)</f>
        <v>UNIVERSITAS PENDIDIKAN GANESHA</v>
      </c>
      <c r="Q2095" t="str">
        <f t="shared" si="32"/>
        <v>UNIVERSITAS PENDIDIKAN GANESHAPENDIDIKAN SENI RUPA</v>
      </c>
    </row>
    <row r="2096" spans="1:17" ht="15.75" thickBot="1" x14ac:dyDescent="0.3">
      <c r="A2096" s="7">
        <v>2095</v>
      </c>
      <c r="B2096" s="6">
        <v>65</v>
      </c>
      <c r="C2096" s="12">
        <v>6122221</v>
      </c>
      <c r="D2096" t="s">
        <v>334</v>
      </c>
      <c r="E2096" s="12">
        <v>14</v>
      </c>
      <c r="F2096" s="10" t="s">
        <v>13</v>
      </c>
      <c r="J2096" s="138" t="s">
        <v>1292</v>
      </c>
      <c r="K2096" s="138" t="s">
        <v>1292</v>
      </c>
      <c r="L2096" s="138" t="s">
        <v>1292</v>
      </c>
      <c r="M2096" s="13"/>
      <c r="N2096" s="89" t="s">
        <v>1292</v>
      </c>
      <c r="P2096" t="str">
        <f>VLOOKUP(B2096,PTN!A:B,2,FALSE)</f>
        <v>UNIVERSITAS PENDIDIKAN GANESHA</v>
      </c>
      <c r="Q2096" t="str">
        <f t="shared" si="32"/>
        <v>UNIVERSITAS PENDIDIKAN GANESHAPENDIDIKAN SOSIOLOGI</v>
      </c>
    </row>
    <row r="2097" spans="1:17" ht="15.75" thickBot="1" x14ac:dyDescent="0.3">
      <c r="A2097" s="7">
        <v>2096</v>
      </c>
      <c r="B2097" s="6">
        <v>65</v>
      </c>
      <c r="C2097" s="13">
        <v>6122244</v>
      </c>
      <c r="D2097" t="s">
        <v>337</v>
      </c>
      <c r="E2097" s="13">
        <v>8</v>
      </c>
      <c r="F2097" s="10" t="s">
        <v>13</v>
      </c>
      <c r="J2097" s="138" t="s">
        <v>1292</v>
      </c>
      <c r="K2097" s="138" t="s">
        <v>1292</v>
      </c>
      <c r="L2097" s="138" t="s">
        <v>1292</v>
      </c>
      <c r="M2097" s="12"/>
      <c r="N2097" s="88" t="s">
        <v>1292</v>
      </c>
      <c r="P2097" t="str">
        <f>VLOOKUP(B2097,PTN!A:B,2,FALSE)</f>
        <v>UNIVERSITAS PENDIDIKAN GANESHA</v>
      </c>
      <c r="Q2097" t="str">
        <f t="shared" si="32"/>
        <v>UNIVERSITAS PENDIDIKAN GANESHAPENDIDIKAN VOKASIONAL SENI KULINER</v>
      </c>
    </row>
    <row r="2098" spans="1:17" ht="15.75" thickBot="1" x14ac:dyDescent="0.3">
      <c r="A2098" s="7">
        <v>2097</v>
      </c>
      <c r="B2098" s="6">
        <v>65</v>
      </c>
      <c r="C2098" s="14">
        <v>6122101</v>
      </c>
      <c r="D2098" t="s">
        <v>210</v>
      </c>
      <c r="E2098" s="14">
        <v>24</v>
      </c>
      <c r="F2098" s="10" t="s">
        <v>13</v>
      </c>
      <c r="J2098" s="138" t="s">
        <v>1292</v>
      </c>
      <c r="K2098" s="138" t="s">
        <v>1292</v>
      </c>
      <c r="L2098" s="138" t="s">
        <v>1292</v>
      </c>
      <c r="M2098" s="13"/>
      <c r="N2098" s="89" t="s">
        <v>1292</v>
      </c>
      <c r="P2098" t="str">
        <f>VLOOKUP(B2098,PTN!A:B,2,FALSE)</f>
        <v>UNIVERSITAS PENDIDIKAN GANESHA</v>
      </c>
      <c r="Q2098" t="str">
        <f t="shared" si="32"/>
        <v>UNIVERSITAS PENDIDIKAN GANESHATEKNOLOGI PENDIDIKAN</v>
      </c>
    </row>
    <row r="2099" spans="1:17" ht="16.5" thickTop="1" thickBot="1" x14ac:dyDescent="0.3">
      <c r="A2099" s="7">
        <v>2098</v>
      </c>
      <c r="B2099" s="6">
        <v>64</v>
      </c>
      <c r="C2099" s="12">
        <v>6111134</v>
      </c>
      <c r="D2099" t="s">
        <v>37</v>
      </c>
      <c r="E2099" s="12">
        <v>40</v>
      </c>
      <c r="F2099" s="10" t="s">
        <v>20</v>
      </c>
      <c r="I2099" s="20"/>
      <c r="J2099" s="138" t="s">
        <v>1292</v>
      </c>
      <c r="K2099" s="138" t="s">
        <v>1292</v>
      </c>
      <c r="L2099" s="138" t="s">
        <v>1292</v>
      </c>
      <c r="M2099" s="21"/>
      <c r="N2099" s="88" t="s">
        <v>1292</v>
      </c>
      <c r="P2099" t="str">
        <f>VLOOKUP(B2099,PTN!A:B,2,FALSE)</f>
        <v>UNIVERSITAS UDAYANA</v>
      </c>
      <c r="Q2099" t="str">
        <f t="shared" si="32"/>
        <v>UNIVERSITAS UDAYANAAGRIBISNIS</v>
      </c>
    </row>
    <row r="2100" spans="1:17" ht="15.75" thickBot="1" x14ac:dyDescent="0.3">
      <c r="A2100" s="7">
        <v>2099</v>
      </c>
      <c r="B2100" s="6">
        <v>64</v>
      </c>
      <c r="C2100" s="13">
        <v>6111142</v>
      </c>
      <c r="D2100" t="s">
        <v>38</v>
      </c>
      <c r="E2100" s="13">
        <v>45</v>
      </c>
      <c r="F2100" s="10" t="s">
        <v>20</v>
      </c>
      <c r="I2100" s="22"/>
      <c r="J2100" s="138" t="s">
        <v>1292</v>
      </c>
      <c r="K2100" s="138" t="s">
        <v>1292</v>
      </c>
      <c r="L2100" s="138" t="s">
        <v>1292</v>
      </c>
      <c r="M2100" s="21"/>
      <c r="N2100" s="89" t="s">
        <v>1292</v>
      </c>
      <c r="P2100" t="str">
        <f>VLOOKUP(B2100,PTN!A:B,2,FALSE)</f>
        <v>UNIVERSITAS UDAYANA</v>
      </c>
      <c r="Q2100" t="str">
        <f t="shared" si="32"/>
        <v>UNIVERSITAS UDAYANAAGROEKOTEKNOLOGI</v>
      </c>
    </row>
    <row r="2101" spans="1:17" ht="16.5" thickTop="1" thickBot="1" x14ac:dyDescent="0.3">
      <c r="A2101" s="7">
        <v>2100</v>
      </c>
      <c r="B2101" s="6">
        <v>64</v>
      </c>
      <c r="C2101" s="12">
        <v>6111246</v>
      </c>
      <c r="D2101" t="s">
        <v>601</v>
      </c>
      <c r="E2101" s="12">
        <v>10</v>
      </c>
      <c r="F2101" s="10" t="s">
        <v>20</v>
      </c>
      <c r="I2101" s="23"/>
      <c r="J2101" s="138" t="s">
        <v>1292</v>
      </c>
      <c r="K2101" s="138" t="s">
        <v>1292</v>
      </c>
      <c r="L2101" s="138" t="s">
        <v>1292</v>
      </c>
      <c r="M2101" s="25"/>
      <c r="N2101" s="90" t="s">
        <v>1292</v>
      </c>
      <c r="P2101" t="str">
        <f>VLOOKUP(B2101,PTN!A:B,2,FALSE)</f>
        <v>UNIVERSITAS UDAYANA</v>
      </c>
      <c r="Q2101" t="str">
        <f t="shared" si="32"/>
        <v>UNIVERSITAS UDAYANAARSITEKTUR PERTAMANAN</v>
      </c>
    </row>
    <row r="2102" spans="1:17" ht="16.5" thickTop="1" thickBot="1" x14ac:dyDescent="0.3">
      <c r="A2102" s="7">
        <v>2101</v>
      </c>
      <c r="B2102" s="6">
        <v>64</v>
      </c>
      <c r="C2102" s="13">
        <v>6111084</v>
      </c>
      <c r="D2102" t="s">
        <v>21</v>
      </c>
      <c r="E2102" s="13">
        <v>14</v>
      </c>
      <c r="F2102" s="10" t="s">
        <v>20</v>
      </c>
      <c r="I2102" s="26"/>
      <c r="J2102" s="138" t="s">
        <v>1292</v>
      </c>
      <c r="K2102" s="138" t="s">
        <v>1292</v>
      </c>
      <c r="L2102" s="138" t="s">
        <v>1292</v>
      </c>
      <c r="M2102" s="27"/>
      <c r="N2102" s="83" t="s">
        <v>1292</v>
      </c>
      <c r="P2102" t="str">
        <f>VLOOKUP(B2102,PTN!A:B,2,FALSE)</f>
        <v>UNIVERSITAS UDAYANA</v>
      </c>
      <c r="Q2102" t="str">
        <f t="shared" si="32"/>
        <v>UNIVERSITAS UDAYANABIOLOGI</v>
      </c>
    </row>
    <row r="2103" spans="1:17" ht="15.75" thickBot="1" x14ac:dyDescent="0.3">
      <c r="A2103" s="7">
        <v>2102</v>
      </c>
      <c r="B2103" s="6">
        <v>64</v>
      </c>
      <c r="C2103" s="12">
        <v>6111181</v>
      </c>
      <c r="D2103" t="s">
        <v>77</v>
      </c>
      <c r="E2103" s="12">
        <v>20</v>
      </c>
      <c r="F2103" s="10" t="s">
        <v>20</v>
      </c>
      <c r="I2103" s="87"/>
      <c r="J2103" s="138">
        <v>633.36</v>
      </c>
      <c r="K2103" s="138">
        <v>640.43500000000006</v>
      </c>
      <c r="L2103" s="138">
        <v>626.28499999999997</v>
      </c>
      <c r="M2103" s="28"/>
      <c r="N2103" s="83">
        <v>633.36</v>
      </c>
      <c r="P2103" t="str">
        <f>VLOOKUP(B2103,PTN!A:B,2,FALSE)</f>
        <v>UNIVERSITAS UDAYANA</v>
      </c>
      <c r="Q2103" t="str">
        <f t="shared" si="32"/>
        <v>UNIVERSITAS UDAYANAFARMASI</v>
      </c>
    </row>
    <row r="2104" spans="1:17" ht="15.75" thickBot="1" x14ac:dyDescent="0.3">
      <c r="A2104" s="7">
        <v>2103</v>
      </c>
      <c r="B2104" s="6">
        <v>64</v>
      </c>
      <c r="C2104" s="13">
        <v>6111103</v>
      </c>
      <c r="D2104" t="s">
        <v>65</v>
      </c>
      <c r="E2104" s="13">
        <v>12</v>
      </c>
      <c r="F2104" s="10" t="s">
        <v>20</v>
      </c>
      <c r="I2104" s="26"/>
      <c r="J2104" s="138" t="s">
        <v>1292</v>
      </c>
      <c r="K2104" s="138" t="s">
        <v>1292</v>
      </c>
      <c r="L2104" s="138" t="s">
        <v>1292</v>
      </c>
      <c r="M2104" s="27"/>
      <c r="N2104" s="83" t="s">
        <v>1292</v>
      </c>
      <c r="P2104" t="str">
        <f>VLOOKUP(B2104,PTN!A:B,2,FALSE)</f>
        <v>UNIVERSITAS UDAYANA</v>
      </c>
      <c r="Q2104" t="str">
        <f t="shared" si="32"/>
        <v>UNIVERSITAS UDAYANAFISIKA</v>
      </c>
    </row>
    <row r="2105" spans="1:17" ht="15.75" thickBot="1" x14ac:dyDescent="0.3">
      <c r="A2105" s="7">
        <v>2104</v>
      </c>
      <c r="B2105" s="6">
        <v>64</v>
      </c>
      <c r="C2105" s="12">
        <v>6111223</v>
      </c>
      <c r="D2105" t="s">
        <v>602</v>
      </c>
      <c r="E2105" s="12">
        <v>12</v>
      </c>
      <c r="F2105" s="10" t="s">
        <v>20</v>
      </c>
      <c r="I2105" s="87"/>
      <c r="J2105" s="138">
        <v>615.03</v>
      </c>
      <c r="K2105" s="138">
        <v>623.93499999999995</v>
      </c>
      <c r="L2105" s="138">
        <v>606.125</v>
      </c>
      <c r="M2105" s="28"/>
      <c r="N2105" s="83">
        <v>615.03</v>
      </c>
      <c r="P2105" t="str">
        <f>VLOOKUP(B2105,PTN!A:B,2,FALSE)</f>
        <v>UNIVERSITAS UDAYANA</v>
      </c>
      <c r="Q2105" t="str">
        <f t="shared" si="32"/>
        <v>UNIVERSITAS UDAYANAFISIOTERAPI</v>
      </c>
    </row>
    <row r="2106" spans="1:17" ht="15.75" thickBot="1" x14ac:dyDescent="0.3">
      <c r="A2106" s="7">
        <v>2105</v>
      </c>
      <c r="B2106" s="6">
        <v>64</v>
      </c>
      <c r="C2106" s="13">
        <v>6111053</v>
      </c>
      <c r="D2106" t="s">
        <v>141</v>
      </c>
      <c r="E2106" s="13">
        <v>16</v>
      </c>
      <c r="F2106" s="10" t="s">
        <v>20</v>
      </c>
      <c r="I2106" s="26"/>
      <c r="J2106" s="138" t="s">
        <v>1292</v>
      </c>
      <c r="K2106" s="138" t="s">
        <v>1292</v>
      </c>
      <c r="L2106" s="138" t="s">
        <v>1292</v>
      </c>
      <c r="M2106" s="27"/>
      <c r="N2106" s="83" t="s">
        <v>1292</v>
      </c>
      <c r="P2106" t="str">
        <f>VLOOKUP(B2106,PTN!A:B,2,FALSE)</f>
        <v>UNIVERSITAS UDAYANA</v>
      </c>
      <c r="Q2106" t="str">
        <f t="shared" si="32"/>
        <v>UNIVERSITAS UDAYANAILMU DAN TEKNOLOGI PANGAN</v>
      </c>
    </row>
    <row r="2107" spans="1:17" ht="15.75" thickBot="1" x14ac:dyDescent="0.3">
      <c r="A2107" s="7">
        <v>2106</v>
      </c>
      <c r="B2107" s="6">
        <v>64</v>
      </c>
      <c r="C2107" s="12">
        <v>6111231</v>
      </c>
      <c r="D2107" t="s">
        <v>40</v>
      </c>
      <c r="E2107" s="12">
        <v>20</v>
      </c>
      <c r="F2107" s="10" t="s">
        <v>20</v>
      </c>
      <c r="I2107" s="87"/>
      <c r="J2107" s="138">
        <v>550</v>
      </c>
      <c r="K2107" s="138" t="s">
        <v>1292</v>
      </c>
      <c r="L2107" s="138" t="s">
        <v>1292</v>
      </c>
      <c r="M2107" s="28"/>
      <c r="N2107" s="83">
        <v>550</v>
      </c>
      <c r="P2107" t="str">
        <f>VLOOKUP(B2107,PTN!A:B,2,FALSE)</f>
        <v>UNIVERSITAS UDAYANA</v>
      </c>
      <c r="Q2107" t="str">
        <f t="shared" si="32"/>
        <v>UNIVERSITAS UDAYANAILMU KELAUTAN</v>
      </c>
    </row>
    <row r="2108" spans="1:17" ht="15.75" thickBot="1" x14ac:dyDescent="0.3">
      <c r="A2108" s="7">
        <v>2107</v>
      </c>
      <c r="B2108" s="6">
        <v>64</v>
      </c>
      <c r="C2108" s="13">
        <v>6111196</v>
      </c>
      <c r="D2108" t="s">
        <v>78</v>
      </c>
      <c r="E2108" s="13">
        <v>18</v>
      </c>
      <c r="F2108" s="10" t="s">
        <v>20</v>
      </c>
      <c r="I2108" s="26"/>
      <c r="J2108" s="138" t="s">
        <v>1292</v>
      </c>
      <c r="K2108" s="138" t="s">
        <v>1292</v>
      </c>
      <c r="L2108" s="138" t="s">
        <v>1292</v>
      </c>
      <c r="M2108" s="27"/>
      <c r="N2108" s="83" t="s">
        <v>1292</v>
      </c>
      <c r="P2108" t="str">
        <f>VLOOKUP(B2108,PTN!A:B,2,FALSE)</f>
        <v>UNIVERSITAS UDAYANA</v>
      </c>
      <c r="Q2108" t="str">
        <f t="shared" si="32"/>
        <v>UNIVERSITAS UDAYANAILMU KEPERAWATAN</v>
      </c>
    </row>
    <row r="2109" spans="1:17" ht="15.75" thickBot="1" x14ac:dyDescent="0.3">
      <c r="A2109" s="7">
        <v>2108</v>
      </c>
      <c r="B2109" s="6">
        <v>64</v>
      </c>
      <c r="C2109" s="12">
        <v>6111173</v>
      </c>
      <c r="D2109" t="s">
        <v>110</v>
      </c>
      <c r="E2109" s="12">
        <v>30</v>
      </c>
      <c r="F2109" s="10" t="s">
        <v>20</v>
      </c>
      <c r="I2109" s="87"/>
      <c r="J2109" s="138" t="s">
        <v>1292</v>
      </c>
      <c r="K2109" s="138" t="s">
        <v>1292</v>
      </c>
      <c r="L2109" s="138" t="s">
        <v>1292</v>
      </c>
      <c r="M2109" s="28"/>
      <c r="N2109" s="83" t="s">
        <v>1292</v>
      </c>
      <c r="P2109" t="str">
        <f>VLOOKUP(B2109,PTN!A:B,2,FALSE)</f>
        <v>UNIVERSITAS UDAYANA</v>
      </c>
      <c r="Q2109" t="str">
        <f t="shared" si="32"/>
        <v>UNIVERSITAS UDAYANAILMU KESEHATAN MASYARAKAT</v>
      </c>
    </row>
    <row r="2110" spans="1:17" ht="15.75" thickBot="1" x14ac:dyDescent="0.3">
      <c r="A2110" s="7">
        <v>2109</v>
      </c>
      <c r="B2110" s="6">
        <v>64</v>
      </c>
      <c r="C2110" s="13">
        <v>6111207</v>
      </c>
      <c r="D2110" t="s">
        <v>603</v>
      </c>
      <c r="E2110" s="13">
        <v>24</v>
      </c>
      <c r="F2110" s="10" t="s">
        <v>20</v>
      </c>
      <c r="I2110" s="26"/>
      <c r="J2110" s="138">
        <v>612.39</v>
      </c>
      <c r="K2110" s="138">
        <v>625.23</v>
      </c>
      <c r="L2110" s="138">
        <v>599.54999999999995</v>
      </c>
      <c r="M2110" s="27"/>
      <c r="N2110" s="83">
        <v>612.39</v>
      </c>
      <c r="P2110" t="str">
        <f>VLOOKUP(B2110,PTN!A:B,2,FALSE)</f>
        <v>UNIVERSITAS UDAYANA</v>
      </c>
      <c r="Q2110" t="str">
        <f t="shared" si="32"/>
        <v>UNIVERSITAS UDAYANAILMU KOMPUTER/TEKNIK INFORMATIKA</v>
      </c>
    </row>
    <row r="2111" spans="1:17" ht="15.75" thickBot="1" x14ac:dyDescent="0.3">
      <c r="A2111" s="7">
        <v>2110</v>
      </c>
      <c r="B2111" s="6">
        <v>64</v>
      </c>
      <c r="C2111" s="12">
        <v>6111022</v>
      </c>
      <c r="D2111" t="s">
        <v>348</v>
      </c>
      <c r="E2111" s="12">
        <v>24</v>
      </c>
      <c r="F2111" s="10" t="s">
        <v>20</v>
      </c>
      <c r="I2111" s="87"/>
      <c r="J2111" s="138">
        <v>610.27</v>
      </c>
      <c r="K2111" s="138">
        <v>623.94999999999993</v>
      </c>
      <c r="L2111" s="138">
        <v>596.59</v>
      </c>
      <c r="M2111" s="28"/>
      <c r="N2111" s="83">
        <v>610.27</v>
      </c>
      <c r="P2111" t="str">
        <f>VLOOKUP(B2111,PTN!A:B,2,FALSE)</f>
        <v>UNIVERSITAS UDAYANA</v>
      </c>
      <c r="Q2111" t="str">
        <f t="shared" si="32"/>
        <v>UNIVERSITAS UDAYANAKEDOKTERAN HEWAN</v>
      </c>
    </row>
    <row r="2112" spans="1:17" ht="15.75" thickBot="1" x14ac:dyDescent="0.3">
      <c r="A2112" s="7">
        <v>2111</v>
      </c>
      <c r="B2112" s="6">
        <v>64</v>
      </c>
      <c r="C2112" s="13">
        <v>6111092</v>
      </c>
      <c r="D2112" t="s">
        <v>22</v>
      </c>
      <c r="E2112" s="13">
        <v>16</v>
      </c>
      <c r="F2112" s="10" t="s">
        <v>20</v>
      </c>
      <c r="I2112" s="26"/>
      <c r="J2112" s="138" t="s">
        <v>1292</v>
      </c>
      <c r="K2112" s="138" t="s">
        <v>1292</v>
      </c>
      <c r="L2112" s="138" t="s">
        <v>1292</v>
      </c>
      <c r="M2112" s="27"/>
      <c r="N2112" s="83" t="s">
        <v>1292</v>
      </c>
      <c r="P2112" t="str">
        <f>VLOOKUP(B2112,PTN!A:B,2,FALSE)</f>
        <v>UNIVERSITAS UDAYANA</v>
      </c>
      <c r="Q2112" t="str">
        <f t="shared" si="32"/>
        <v>UNIVERSITAS UDAYANAKIMIA</v>
      </c>
    </row>
    <row r="2113" spans="1:17" ht="15.75" thickBot="1" x14ac:dyDescent="0.3">
      <c r="A2113" s="7">
        <v>2112</v>
      </c>
      <c r="B2113" s="6">
        <v>64</v>
      </c>
      <c r="C2113" s="12">
        <v>6111254</v>
      </c>
      <c r="D2113" t="s">
        <v>143</v>
      </c>
      <c r="E2113" s="12">
        <v>20</v>
      </c>
      <c r="F2113" s="10" t="s">
        <v>20</v>
      </c>
      <c r="I2113" s="87"/>
      <c r="J2113" s="138" t="s">
        <v>1292</v>
      </c>
      <c r="K2113" s="138" t="s">
        <v>1292</v>
      </c>
      <c r="L2113" s="138" t="s">
        <v>1292</v>
      </c>
      <c r="M2113" s="28"/>
      <c r="N2113" s="83" t="s">
        <v>1292</v>
      </c>
      <c r="P2113" t="str">
        <f>VLOOKUP(B2113,PTN!A:B,2,FALSE)</f>
        <v>UNIVERSITAS UDAYANA</v>
      </c>
      <c r="Q2113" t="str">
        <f t="shared" si="32"/>
        <v>UNIVERSITAS UDAYANAMANAJEMEN SUMBER DAYA PERAIRAN</v>
      </c>
    </row>
    <row r="2114" spans="1:17" ht="15.75" thickBot="1" x14ac:dyDescent="0.3">
      <c r="A2114" s="7">
        <v>2113</v>
      </c>
      <c r="B2114" s="6">
        <v>64</v>
      </c>
      <c r="C2114" s="13">
        <v>6111165</v>
      </c>
      <c r="D2114" t="s">
        <v>66</v>
      </c>
      <c r="E2114" s="13">
        <v>20</v>
      </c>
      <c r="F2114" s="10" t="s">
        <v>20</v>
      </c>
      <c r="I2114" s="26"/>
      <c r="J2114" s="138" t="s">
        <v>1292</v>
      </c>
      <c r="K2114" s="138" t="s">
        <v>1292</v>
      </c>
      <c r="L2114" s="138" t="s">
        <v>1292</v>
      </c>
      <c r="M2114" s="27"/>
      <c r="N2114" s="83" t="s">
        <v>1292</v>
      </c>
      <c r="P2114" t="str">
        <f>VLOOKUP(B2114,PTN!A:B,2,FALSE)</f>
        <v>UNIVERSITAS UDAYANA</v>
      </c>
      <c r="Q2114" t="str">
        <f t="shared" si="32"/>
        <v>UNIVERSITAS UDAYANAMATEMATIKA</v>
      </c>
    </row>
    <row r="2115" spans="1:17" ht="15.75" thickBot="1" x14ac:dyDescent="0.3">
      <c r="A2115" s="7">
        <v>2114</v>
      </c>
      <c r="B2115" s="6">
        <v>64</v>
      </c>
      <c r="C2115" s="12">
        <v>6111014</v>
      </c>
      <c r="D2115" t="s">
        <v>41</v>
      </c>
      <c r="E2115" s="12">
        <v>50</v>
      </c>
      <c r="F2115" s="10" t="s">
        <v>20</v>
      </c>
      <c r="I2115" s="87"/>
      <c r="J2115" s="138">
        <v>691.51</v>
      </c>
      <c r="K2115" s="138">
        <v>700.45</v>
      </c>
      <c r="L2115" s="138">
        <v>682.56999999999994</v>
      </c>
      <c r="M2115" s="28"/>
      <c r="N2115" s="83">
        <v>691.51</v>
      </c>
      <c r="P2115" t="str">
        <f>VLOOKUP(B2115,PTN!A:B,2,FALSE)</f>
        <v>UNIVERSITAS UDAYANA</v>
      </c>
      <c r="Q2115" t="str">
        <f t="shared" ref="Q2115:Q2178" si="33">P2115&amp;D2115</f>
        <v>UNIVERSITAS UDAYANAPENDIDIKAN DOKTER</v>
      </c>
    </row>
    <row r="2116" spans="1:17" ht="15.75" thickBot="1" x14ac:dyDescent="0.3">
      <c r="A2116" s="7">
        <v>2115</v>
      </c>
      <c r="B2116" s="6">
        <v>64</v>
      </c>
      <c r="C2116" s="13">
        <v>6111262</v>
      </c>
      <c r="D2116" t="s">
        <v>85</v>
      </c>
      <c r="E2116" s="13">
        <v>10</v>
      </c>
      <c r="F2116" s="10" t="s">
        <v>20</v>
      </c>
      <c r="I2116" s="26"/>
      <c r="J2116" s="138">
        <v>646.77</v>
      </c>
      <c r="K2116" s="138">
        <v>652.31999999999994</v>
      </c>
      <c r="L2116" s="138">
        <v>641.22</v>
      </c>
      <c r="M2116" s="27"/>
      <c r="N2116" s="83">
        <v>646.77</v>
      </c>
      <c r="P2116" t="str">
        <f>VLOOKUP(B2116,PTN!A:B,2,FALSE)</f>
        <v>UNIVERSITAS UDAYANA</v>
      </c>
      <c r="Q2116" t="str">
        <f t="shared" si="33"/>
        <v>UNIVERSITAS UDAYANAPENDIDIKAN DOKTER GIGI</v>
      </c>
    </row>
    <row r="2117" spans="1:17" ht="15.75" thickBot="1" x14ac:dyDescent="0.3">
      <c r="A2117" s="7">
        <v>2116</v>
      </c>
      <c r="B2117" s="6">
        <v>64</v>
      </c>
      <c r="C2117" s="12">
        <v>6111157</v>
      </c>
      <c r="D2117" t="s">
        <v>88</v>
      </c>
      <c r="E2117" s="12">
        <v>40</v>
      </c>
      <c r="F2117" s="10" t="s">
        <v>20</v>
      </c>
      <c r="I2117" s="87"/>
      <c r="J2117" s="138" t="s">
        <v>1292</v>
      </c>
      <c r="K2117" s="138" t="s">
        <v>1292</v>
      </c>
      <c r="L2117" s="138" t="s">
        <v>1292</v>
      </c>
      <c r="M2117" s="28"/>
      <c r="N2117" s="83" t="s">
        <v>1292</v>
      </c>
      <c r="P2117" t="str">
        <f>VLOOKUP(B2117,PTN!A:B,2,FALSE)</f>
        <v>UNIVERSITAS UDAYANA</v>
      </c>
      <c r="Q2117" t="str">
        <f t="shared" si="33"/>
        <v>UNIVERSITAS UDAYANAPETERNAKAN</v>
      </c>
    </row>
    <row r="2118" spans="1:17" ht="15.75" thickBot="1" x14ac:dyDescent="0.3">
      <c r="A2118" s="7">
        <v>2117</v>
      </c>
      <c r="B2118" s="6">
        <v>64</v>
      </c>
      <c r="C2118" s="13">
        <v>6111037</v>
      </c>
      <c r="D2118" t="s">
        <v>47</v>
      </c>
      <c r="E2118" s="13">
        <v>24</v>
      </c>
      <c r="F2118" s="10" t="s">
        <v>20</v>
      </c>
      <c r="I2118" s="26"/>
      <c r="J2118" s="138">
        <v>609.86</v>
      </c>
      <c r="K2118" s="138">
        <v>617.38</v>
      </c>
      <c r="L2118" s="138">
        <v>602.34</v>
      </c>
      <c r="M2118" s="27"/>
      <c r="N2118" s="83">
        <v>609.86</v>
      </c>
      <c r="P2118" t="str">
        <f>VLOOKUP(B2118,PTN!A:B,2,FALSE)</f>
        <v>UNIVERSITAS UDAYANA</v>
      </c>
      <c r="Q2118" t="str">
        <f t="shared" si="33"/>
        <v>UNIVERSITAS UDAYANATEKNIK ARSITEKTUR</v>
      </c>
    </row>
    <row r="2119" spans="1:17" ht="15.75" thickBot="1" x14ac:dyDescent="0.3">
      <c r="A2119" s="7">
        <v>2118</v>
      </c>
      <c r="B2119" s="6">
        <v>64</v>
      </c>
      <c r="C2119" s="12">
        <v>6111126</v>
      </c>
      <c r="D2119" t="s">
        <v>48</v>
      </c>
      <c r="E2119" s="12">
        <v>30</v>
      </c>
      <c r="F2119" s="10" t="s">
        <v>20</v>
      </c>
      <c r="I2119" s="87"/>
      <c r="J2119" s="138" t="s">
        <v>1292</v>
      </c>
      <c r="K2119" s="138" t="s">
        <v>1292</v>
      </c>
      <c r="L2119" s="138" t="s">
        <v>1292</v>
      </c>
      <c r="M2119" s="28"/>
      <c r="N2119" s="83" t="s">
        <v>1292</v>
      </c>
      <c r="P2119" t="str">
        <f>VLOOKUP(B2119,PTN!A:B,2,FALSE)</f>
        <v>UNIVERSITAS UDAYANA</v>
      </c>
      <c r="Q2119" t="str">
        <f t="shared" si="33"/>
        <v>UNIVERSITAS UDAYANATEKNIK ELEKTRO</v>
      </c>
    </row>
    <row r="2120" spans="1:17" ht="15.75" thickBot="1" x14ac:dyDescent="0.3">
      <c r="A2120" s="7">
        <v>2119</v>
      </c>
      <c r="B2120" s="6">
        <v>64</v>
      </c>
      <c r="C2120" s="13">
        <v>6111111</v>
      </c>
      <c r="D2120" t="s">
        <v>53</v>
      </c>
      <c r="E2120" s="13">
        <v>36</v>
      </c>
      <c r="F2120" s="10" t="s">
        <v>20</v>
      </c>
      <c r="I2120" s="26"/>
      <c r="J2120" s="138" t="s">
        <v>1292</v>
      </c>
      <c r="K2120" s="138" t="s">
        <v>1292</v>
      </c>
      <c r="L2120" s="138" t="s">
        <v>1292</v>
      </c>
      <c r="M2120" s="27"/>
      <c r="N2120" s="83" t="s">
        <v>1292</v>
      </c>
      <c r="P2120" t="str">
        <f>VLOOKUP(B2120,PTN!A:B,2,FALSE)</f>
        <v>UNIVERSITAS UDAYANA</v>
      </c>
      <c r="Q2120" t="str">
        <f t="shared" si="33"/>
        <v>UNIVERSITAS UDAYANATEKNIK MESIN</v>
      </c>
    </row>
    <row r="2121" spans="1:17" ht="15.75" thickBot="1" x14ac:dyDescent="0.3">
      <c r="A2121" s="7">
        <v>2120</v>
      </c>
      <c r="B2121" s="6">
        <v>64</v>
      </c>
      <c r="C2121" s="12">
        <v>6111076</v>
      </c>
      <c r="D2121" t="s">
        <v>95</v>
      </c>
      <c r="E2121" s="12">
        <v>12</v>
      </c>
      <c r="F2121" s="10" t="s">
        <v>20</v>
      </c>
      <c r="I2121" s="87"/>
      <c r="J2121" s="138" t="s">
        <v>1292</v>
      </c>
      <c r="K2121" s="138" t="s">
        <v>1292</v>
      </c>
      <c r="L2121" s="138" t="s">
        <v>1292</v>
      </c>
      <c r="M2121" s="28"/>
      <c r="N2121" s="83" t="s">
        <v>1292</v>
      </c>
      <c r="P2121" t="str">
        <f>VLOOKUP(B2121,PTN!A:B,2,FALSE)</f>
        <v>UNIVERSITAS UDAYANA</v>
      </c>
      <c r="Q2121" t="str">
        <f t="shared" si="33"/>
        <v>UNIVERSITAS UDAYANATEKNIK PERTANIAN</v>
      </c>
    </row>
    <row r="2122" spans="1:17" ht="15.75" thickBot="1" x14ac:dyDescent="0.3">
      <c r="A2122" s="7">
        <v>2121</v>
      </c>
      <c r="B2122" s="6">
        <v>64</v>
      </c>
      <c r="C2122" s="13">
        <v>6111045</v>
      </c>
      <c r="D2122" t="s">
        <v>54</v>
      </c>
      <c r="E2122" s="13">
        <v>36</v>
      </c>
      <c r="F2122" s="10" t="s">
        <v>20</v>
      </c>
      <c r="I2122" s="26"/>
      <c r="J2122" s="138">
        <v>607.84</v>
      </c>
      <c r="K2122" s="138">
        <v>617.15</v>
      </c>
      <c r="L2122" s="138">
        <v>598.53000000000009</v>
      </c>
      <c r="M2122" s="27"/>
      <c r="N2122" s="83">
        <v>607.84</v>
      </c>
      <c r="P2122" t="str">
        <f>VLOOKUP(B2122,PTN!A:B,2,FALSE)</f>
        <v>UNIVERSITAS UDAYANA</v>
      </c>
      <c r="Q2122" t="str">
        <f t="shared" si="33"/>
        <v>UNIVERSITAS UDAYANATEKNIK SIPIL</v>
      </c>
    </row>
    <row r="2123" spans="1:17" ht="15.75" thickBot="1" x14ac:dyDescent="0.3">
      <c r="A2123" s="7">
        <v>2122</v>
      </c>
      <c r="B2123" s="6">
        <v>64</v>
      </c>
      <c r="C2123" s="12">
        <v>6111061</v>
      </c>
      <c r="D2123" t="s">
        <v>166</v>
      </c>
      <c r="E2123" s="12">
        <v>16</v>
      </c>
      <c r="F2123" s="10" t="s">
        <v>20</v>
      </c>
      <c r="I2123" s="87"/>
      <c r="J2123" s="138" t="s">
        <v>1292</v>
      </c>
      <c r="K2123" s="138" t="s">
        <v>1292</v>
      </c>
      <c r="L2123" s="138" t="s">
        <v>1292</v>
      </c>
      <c r="M2123" s="28"/>
      <c r="N2123" s="83" t="s">
        <v>1292</v>
      </c>
      <c r="P2123" t="str">
        <f>VLOOKUP(B2123,PTN!A:B,2,FALSE)</f>
        <v>UNIVERSITAS UDAYANA</v>
      </c>
      <c r="Q2123" t="str">
        <f t="shared" si="33"/>
        <v>UNIVERSITAS UDAYANATEKNOLOGI INDUSTRI PERTANIAN</v>
      </c>
    </row>
    <row r="2124" spans="1:17" ht="15.75" thickBot="1" x14ac:dyDescent="0.3">
      <c r="A2124" s="7">
        <v>2123</v>
      </c>
      <c r="B2124" s="6">
        <v>64</v>
      </c>
      <c r="C2124" s="16">
        <v>6111215</v>
      </c>
      <c r="D2124" t="s">
        <v>26</v>
      </c>
      <c r="E2124" s="16">
        <v>36</v>
      </c>
      <c r="F2124" s="10" t="s">
        <v>20</v>
      </c>
      <c r="I2124" s="26"/>
      <c r="J2124" s="138" t="s">
        <v>1292</v>
      </c>
      <c r="K2124" s="138" t="s">
        <v>1292</v>
      </c>
      <c r="L2124" s="138" t="s">
        <v>1292</v>
      </c>
      <c r="M2124" s="27"/>
      <c r="N2124" s="83" t="s">
        <v>1292</v>
      </c>
      <c r="P2124" t="str">
        <f>VLOOKUP(B2124,PTN!A:B,2,FALSE)</f>
        <v>UNIVERSITAS UDAYANA</v>
      </c>
      <c r="Q2124" t="str">
        <f t="shared" si="33"/>
        <v>UNIVERSITAS UDAYANATEKNOLOGI INFORMASI</v>
      </c>
    </row>
    <row r="2125" spans="1:17" ht="16.5" thickTop="1" thickBot="1" x14ac:dyDescent="0.3">
      <c r="A2125" s="7">
        <v>2124</v>
      </c>
      <c r="B2125" s="6">
        <v>64</v>
      </c>
      <c r="C2125" s="12">
        <v>6112203</v>
      </c>
      <c r="D2125" t="s">
        <v>443</v>
      </c>
      <c r="E2125" s="12">
        <v>14</v>
      </c>
      <c r="F2125" s="10" t="s">
        <v>13</v>
      </c>
      <c r="I2125" s="20"/>
      <c r="J2125" s="138">
        <v>575.94000000000005</v>
      </c>
      <c r="K2125" s="138">
        <v>584.07773000000009</v>
      </c>
      <c r="L2125" s="138">
        <v>567.80227000000002</v>
      </c>
      <c r="M2125" s="21"/>
      <c r="N2125" s="83">
        <v>575.94000000000005</v>
      </c>
      <c r="P2125" t="str">
        <f>VLOOKUP(B2125,PTN!A:B,2,FALSE)</f>
        <v>UNIVERSITAS UDAYANA</v>
      </c>
      <c r="Q2125" t="str">
        <f t="shared" si="33"/>
        <v>UNIVERSITAS UDAYANAADMINISTRASI NEGARA</v>
      </c>
    </row>
    <row r="2126" spans="1:17" ht="15.75" thickBot="1" x14ac:dyDescent="0.3">
      <c r="A2126" s="7">
        <v>2125</v>
      </c>
      <c r="B2126" s="6">
        <v>64</v>
      </c>
      <c r="C2126" s="13">
        <v>6112064</v>
      </c>
      <c r="D2126" t="s">
        <v>55</v>
      </c>
      <c r="E2126" s="13">
        <v>60</v>
      </c>
      <c r="F2126" s="10" t="s">
        <v>13</v>
      </c>
      <c r="I2126" s="22"/>
      <c r="J2126" s="138">
        <v>604.5</v>
      </c>
      <c r="K2126" s="138">
        <v>612.63773000000003</v>
      </c>
      <c r="L2126" s="138">
        <v>596.36226999999997</v>
      </c>
      <c r="M2126" s="21"/>
      <c r="N2126" s="83">
        <v>604.5</v>
      </c>
      <c r="P2126" t="str">
        <f>VLOOKUP(B2126,PTN!A:B,2,FALSE)</f>
        <v>UNIVERSITAS UDAYANA</v>
      </c>
      <c r="Q2126" t="str">
        <f t="shared" si="33"/>
        <v>UNIVERSITAS UDAYANAAKUNTANSI</v>
      </c>
    </row>
    <row r="2127" spans="1:17" ht="16.5" thickTop="1" thickBot="1" x14ac:dyDescent="0.3">
      <c r="A2127" s="7">
        <v>2126</v>
      </c>
      <c r="B2127" s="6">
        <v>64</v>
      </c>
      <c r="C2127" s="12">
        <v>6112025</v>
      </c>
      <c r="D2127" t="s">
        <v>154</v>
      </c>
      <c r="E2127" s="12">
        <v>12</v>
      </c>
      <c r="F2127" s="10" t="s">
        <v>13</v>
      </c>
      <c r="I2127" s="23"/>
      <c r="J2127" s="138" t="s">
        <v>1292</v>
      </c>
      <c r="K2127" s="138" t="s">
        <v>1292</v>
      </c>
      <c r="L2127" s="138" t="s">
        <v>1292</v>
      </c>
      <c r="M2127" s="25"/>
      <c r="N2127" s="83" t="s">
        <v>1292</v>
      </c>
      <c r="P2127" t="str">
        <f>VLOOKUP(B2127,PTN!A:B,2,FALSE)</f>
        <v>UNIVERSITAS UDAYANA</v>
      </c>
      <c r="Q2127" t="str">
        <f t="shared" si="33"/>
        <v>UNIVERSITAS UDAYANAANTROPOLOGI BUDAYA</v>
      </c>
    </row>
    <row r="2128" spans="1:17" ht="16.5" thickTop="1" thickBot="1" x14ac:dyDescent="0.3">
      <c r="A2128" s="7">
        <v>2127</v>
      </c>
      <c r="B2128" s="6">
        <v>64</v>
      </c>
      <c r="C2128" s="13">
        <v>6112017</v>
      </c>
      <c r="D2128" t="s">
        <v>240</v>
      </c>
      <c r="E2128" s="13">
        <v>12</v>
      </c>
      <c r="F2128" s="10" t="s">
        <v>13</v>
      </c>
      <c r="I2128" s="26"/>
      <c r="J2128" s="138" t="s">
        <v>1292</v>
      </c>
      <c r="K2128" s="138" t="s">
        <v>1292</v>
      </c>
      <c r="L2128" s="138" t="s">
        <v>1292</v>
      </c>
      <c r="M2128" s="27"/>
      <c r="N2128" s="83" t="s">
        <v>1292</v>
      </c>
      <c r="P2128" t="str">
        <f>VLOOKUP(B2128,PTN!A:B,2,FALSE)</f>
        <v>UNIVERSITAS UDAYANA</v>
      </c>
      <c r="Q2128" t="str">
        <f t="shared" si="33"/>
        <v>UNIVERSITAS UDAYANAARKEOLOGI</v>
      </c>
    </row>
    <row r="2129" spans="1:17" ht="15.75" thickBot="1" x14ac:dyDescent="0.3">
      <c r="A2129" s="7">
        <v>2128</v>
      </c>
      <c r="B2129" s="6">
        <v>64</v>
      </c>
      <c r="C2129" s="12">
        <v>6112145</v>
      </c>
      <c r="D2129" t="s">
        <v>604</v>
      </c>
      <c r="E2129" s="12">
        <v>20</v>
      </c>
      <c r="F2129" s="10" t="s">
        <v>13</v>
      </c>
      <c r="I2129" s="87"/>
      <c r="J2129" s="138">
        <v>579.25</v>
      </c>
      <c r="K2129" s="138">
        <v>587.38773000000003</v>
      </c>
      <c r="L2129" s="138">
        <v>571.11226999999997</v>
      </c>
      <c r="M2129" s="28"/>
      <c r="N2129" s="83">
        <v>579.25</v>
      </c>
      <c r="P2129" t="str">
        <f>VLOOKUP(B2129,PTN!A:B,2,FALSE)</f>
        <v>UNIVERSITAS UDAYANA</v>
      </c>
      <c r="Q2129" t="str">
        <f t="shared" si="33"/>
        <v>UNIVERSITAS UDAYANADESTINASI PARIWISATA</v>
      </c>
    </row>
    <row r="2130" spans="1:17" ht="15.75" thickBot="1" x14ac:dyDescent="0.3">
      <c r="A2130" s="7">
        <v>2129</v>
      </c>
      <c r="B2130" s="6">
        <v>64</v>
      </c>
      <c r="C2130" s="13">
        <v>6112056</v>
      </c>
      <c r="D2130" t="s">
        <v>69</v>
      </c>
      <c r="E2130" s="13">
        <v>60</v>
      </c>
      <c r="F2130" s="10" t="s">
        <v>13</v>
      </c>
      <c r="I2130" s="26"/>
      <c r="J2130" s="138" t="s">
        <v>1292</v>
      </c>
      <c r="K2130" s="138" t="s">
        <v>1292</v>
      </c>
      <c r="L2130" s="138" t="s">
        <v>1292</v>
      </c>
      <c r="M2130" s="27"/>
      <c r="N2130" s="83" t="s">
        <v>1292</v>
      </c>
      <c r="P2130" t="str">
        <f>VLOOKUP(B2130,PTN!A:B,2,FALSE)</f>
        <v>UNIVERSITAS UDAYANA</v>
      </c>
      <c r="Q2130" t="str">
        <f t="shared" si="33"/>
        <v>UNIVERSITAS UDAYANAEKONOMI PEMBANGUNAN</v>
      </c>
    </row>
    <row r="2131" spans="1:17" ht="15.75" thickBot="1" x14ac:dyDescent="0.3">
      <c r="A2131" s="7">
        <v>2130</v>
      </c>
      <c r="B2131" s="6">
        <v>64</v>
      </c>
      <c r="C2131" s="12">
        <v>6112161</v>
      </c>
      <c r="D2131" t="s">
        <v>223</v>
      </c>
      <c r="E2131" s="12">
        <v>14</v>
      </c>
      <c r="F2131" s="10" t="s">
        <v>13</v>
      </c>
      <c r="I2131" s="87"/>
      <c r="J2131" s="138">
        <v>604.97</v>
      </c>
      <c r="K2131" s="138">
        <v>613.10773000000006</v>
      </c>
      <c r="L2131" s="138">
        <v>596.83226999999999</v>
      </c>
      <c r="M2131" s="28"/>
      <c r="N2131" s="83">
        <v>604.97</v>
      </c>
      <c r="P2131" t="str">
        <f>VLOOKUP(B2131,PTN!A:B,2,FALSE)</f>
        <v>UNIVERSITAS UDAYANA</v>
      </c>
      <c r="Q2131" t="str">
        <f t="shared" si="33"/>
        <v>UNIVERSITAS UDAYANAHUBUNGAN INTERNASIONAL</v>
      </c>
    </row>
    <row r="2132" spans="1:17" ht="15.75" thickBot="1" x14ac:dyDescent="0.3">
      <c r="A2132" s="7">
        <v>2131</v>
      </c>
      <c r="B2132" s="6">
        <v>64</v>
      </c>
      <c r="C2132" s="13">
        <v>6112041</v>
      </c>
      <c r="D2132" t="s">
        <v>31</v>
      </c>
      <c r="E2132" s="13">
        <v>104</v>
      </c>
      <c r="F2132" s="10" t="s">
        <v>13</v>
      </c>
      <c r="I2132" s="26"/>
      <c r="J2132" s="138">
        <v>583.12</v>
      </c>
      <c r="K2132" s="138">
        <v>591.25773000000004</v>
      </c>
      <c r="L2132" s="138">
        <v>574.98226999999997</v>
      </c>
      <c r="M2132" s="27"/>
      <c r="N2132" s="83">
        <v>583.12</v>
      </c>
      <c r="P2132" t="str">
        <f>VLOOKUP(B2132,PTN!A:B,2,FALSE)</f>
        <v>UNIVERSITAS UDAYANA</v>
      </c>
      <c r="Q2132" t="str">
        <f t="shared" si="33"/>
        <v>UNIVERSITAS UDAYANAILMU HUKUM</v>
      </c>
    </row>
    <row r="2133" spans="1:17" ht="15.75" thickBot="1" x14ac:dyDescent="0.3">
      <c r="A2133" s="7">
        <v>2132</v>
      </c>
      <c r="B2133" s="6">
        <v>64</v>
      </c>
      <c r="C2133" s="12">
        <v>6112211</v>
      </c>
      <c r="D2133" t="s">
        <v>60</v>
      </c>
      <c r="E2133" s="12">
        <v>14</v>
      </c>
      <c r="F2133" s="10" t="s">
        <v>13</v>
      </c>
      <c r="I2133" s="87"/>
      <c r="J2133" s="138">
        <v>598.24</v>
      </c>
      <c r="K2133" s="138">
        <v>606.37773000000004</v>
      </c>
      <c r="L2133" s="138">
        <v>590.10226999999998</v>
      </c>
      <c r="M2133" s="28"/>
      <c r="N2133" s="83">
        <v>598.24</v>
      </c>
      <c r="P2133" t="str">
        <f>VLOOKUP(B2133,PTN!A:B,2,FALSE)</f>
        <v>UNIVERSITAS UDAYANA</v>
      </c>
      <c r="Q2133" t="str">
        <f t="shared" si="33"/>
        <v>UNIVERSITAS UDAYANAILMU KOMUNIKASI</v>
      </c>
    </row>
    <row r="2134" spans="1:17" ht="15.75" thickBot="1" x14ac:dyDescent="0.3">
      <c r="A2134" s="7">
        <v>2133</v>
      </c>
      <c r="B2134" s="6">
        <v>64</v>
      </c>
      <c r="C2134" s="13">
        <v>6112226</v>
      </c>
      <c r="D2134" t="s">
        <v>33</v>
      </c>
      <c r="E2134" s="13">
        <v>14</v>
      </c>
      <c r="F2134" s="10" t="s">
        <v>13</v>
      </c>
      <c r="I2134" s="26"/>
      <c r="J2134" s="138" t="s">
        <v>1292</v>
      </c>
      <c r="K2134" s="138" t="s">
        <v>1292</v>
      </c>
      <c r="L2134" s="138" t="s">
        <v>1292</v>
      </c>
      <c r="M2134" s="27"/>
      <c r="N2134" s="83" t="s">
        <v>1292</v>
      </c>
      <c r="P2134" t="str">
        <f>VLOOKUP(B2134,PTN!A:B,2,FALSE)</f>
        <v>UNIVERSITAS UDAYANA</v>
      </c>
      <c r="Q2134" t="str">
        <f t="shared" si="33"/>
        <v>UNIVERSITAS UDAYANAILMU POLITIK</v>
      </c>
    </row>
    <row r="2135" spans="1:17" ht="15.75" thickBot="1" x14ac:dyDescent="0.3">
      <c r="A2135" s="7">
        <v>2134</v>
      </c>
      <c r="B2135" s="6">
        <v>64</v>
      </c>
      <c r="C2135" s="12">
        <v>6112033</v>
      </c>
      <c r="D2135" t="s">
        <v>148</v>
      </c>
      <c r="E2135" s="12">
        <v>12</v>
      </c>
      <c r="F2135" s="10" t="s">
        <v>13</v>
      </c>
      <c r="I2135" s="87"/>
      <c r="J2135" s="138" t="s">
        <v>1292</v>
      </c>
      <c r="K2135" s="138" t="s">
        <v>1292</v>
      </c>
      <c r="L2135" s="138" t="s">
        <v>1292</v>
      </c>
      <c r="M2135" s="28"/>
      <c r="N2135" s="83" t="s">
        <v>1292</v>
      </c>
      <c r="P2135" t="str">
        <f>VLOOKUP(B2135,PTN!A:B,2,FALSE)</f>
        <v>UNIVERSITAS UDAYANA</v>
      </c>
      <c r="Q2135" t="str">
        <f t="shared" si="33"/>
        <v>UNIVERSITAS UDAYANAILMU SEJARAH</v>
      </c>
    </row>
    <row r="2136" spans="1:17" ht="15.75" thickBot="1" x14ac:dyDescent="0.3">
      <c r="A2136" s="7">
        <v>2135</v>
      </c>
      <c r="B2136" s="6">
        <v>64</v>
      </c>
      <c r="C2136" s="13">
        <v>6112153</v>
      </c>
      <c r="D2136" t="s">
        <v>605</v>
      </c>
      <c r="E2136" s="13">
        <v>20</v>
      </c>
      <c r="F2136" s="10" t="s">
        <v>13</v>
      </c>
      <c r="I2136" s="26"/>
      <c r="J2136" s="138" t="s">
        <v>1292</v>
      </c>
      <c r="K2136" s="138" t="s">
        <v>1292</v>
      </c>
      <c r="L2136" s="138" t="s">
        <v>1292</v>
      </c>
      <c r="M2136" s="27"/>
      <c r="N2136" s="83" t="s">
        <v>1292</v>
      </c>
      <c r="P2136" t="str">
        <f>VLOOKUP(B2136,PTN!A:B,2,FALSE)</f>
        <v>UNIVERSITAS UDAYANA</v>
      </c>
      <c r="Q2136" t="str">
        <f t="shared" si="33"/>
        <v>UNIVERSITAS UDAYANAINDUSTRI PERJALANAN WISATA</v>
      </c>
    </row>
    <row r="2137" spans="1:17" ht="15.75" thickBot="1" x14ac:dyDescent="0.3">
      <c r="A2137" s="7">
        <v>2136</v>
      </c>
      <c r="B2137" s="6">
        <v>64</v>
      </c>
      <c r="C2137" s="12">
        <v>6112072</v>
      </c>
      <c r="D2137" t="s">
        <v>61</v>
      </c>
      <c r="E2137" s="12">
        <v>60</v>
      </c>
      <c r="F2137" s="10" t="s">
        <v>13</v>
      </c>
      <c r="I2137" s="87"/>
      <c r="J2137" s="138">
        <v>587.01</v>
      </c>
      <c r="K2137" s="138">
        <v>595.14773000000002</v>
      </c>
      <c r="L2137" s="138">
        <v>578.87226999999996</v>
      </c>
      <c r="M2137" s="28"/>
      <c r="N2137" s="83">
        <v>587.01</v>
      </c>
      <c r="P2137" t="str">
        <f>VLOOKUP(B2137,PTN!A:B,2,FALSE)</f>
        <v>UNIVERSITAS UDAYANA</v>
      </c>
      <c r="Q2137" t="str">
        <f t="shared" si="33"/>
        <v>UNIVERSITAS UDAYANAMANAJEMEN</v>
      </c>
    </row>
    <row r="2138" spans="1:17" ht="15.75" thickBot="1" x14ac:dyDescent="0.3">
      <c r="A2138" s="7">
        <v>2137</v>
      </c>
      <c r="B2138" s="6">
        <v>64</v>
      </c>
      <c r="C2138" s="13">
        <v>6112184</v>
      </c>
      <c r="D2138" t="s">
        <v>36</v>
      </c>
      <c r="E2138" s="13">
        <v>18</v>
      </c>
      <c r="F2138" s="10" t="s">
        <v>13</v>
      </c>
      <c r="I2138" s="26"/>
      <c r="J2138" s="138">
        <v>596.65</v>
      </c>
      <c r="K2138" s="138">
        <v>604.78773000000001</v>
      </c>
      <c r="L2138" s="138">
        <v>588.51226999999994</v>
      </c>
      <c r="M2138" s="27"/>
      <c r="N2138" s="83">
        <v>596.65</v>
      </c>
      <c r="P2138" t="str">
        <f>VLOOKUP(B2138,PTN!A:B,2,FALSE)</f>
        <v>UNIVERSITAS UDAYANA</v>
      </c>
      <c r="Q2138" t="str">
        <f t="shared" si="33"/>
        <v>UNIVERSITAS UDAYANAPSIKOLOGI</v>
      </c>
    </row>
    <row r="2139" spans="1:17" ht="15.75" thickBot="1" x14ac:dyDescent="0.3">
      <c r="A2139" s="7">
        <v>2138</v>
      </c>
      <c r="B2139" s="6">
        <v>64</v>
      </c>
      <c r="C2139" s="12">
        <v>6112106</v>
      </c>
      <c r="D2139" t="s">
        <v>606</v>
      </c>
      <c r="E2139" s="12">
        <v>4</v>
      </c>
      <c r="F2139" s="10" t="s">
        <v>13</v>
      </c>
      <c r="I2139" s="87"/>
      <c r="J2139" s="138" t="s">
        <v>1292</v>
      </c>
      <c r="K2139" s="138" t="s">
        <v>1292</v>
      </c>
      <c r="L2139" s="138" t="s">
        <v>1292</v>
      </c>
      <c r="M2139" s="28"/>
      <c r="N2139" s="83" t="s">
        <v>1292</v>
      </c>
      <c r="P2139" t="str">
        <f>VLOOKUP(B2139,PTN!A:B,2,FALSE)</f>
        <v>UNIVERSITAS UDAYANA</v>
      </c>
      <c r="Q2139" t="str">
        <f t="shared" si="33"/>
        <v>UNIVERSITAS UDAYANASASTRA DAERAH JAWA KUNA</v>
      </c>
    </row>
    <row r="2140" spans="1:17" ht="15.75" thickBot="1" x14ac:dyDescent="0.3">
      <c r="A2140" s="7">
        <v>2139</v>
      </c>
      <c r="B2140" s="6">
        <v>64</v>
      </c>
      <c r="C2140" s="13">
        <v>6112114</v>
      </c>
      <c r="D2140" t="s">
        <v>607</v>
      </c>
      <c r="E2140" s="13">
        <v>10</v>
      </c>
      <c r="F2140" s="10" t="s">
        <v>13</v>
      </c>
      <c r="I2140" s="26"/>
      <c r="J2140" s="138" t="s">
        <v>1292</v>
      </c>
      <c r="K2140" s="138" t="s">
        <v>1292</v>
      </c>
      <c r="L2140" s="138" t="s">
        <v>1292</v>
      </c>
      <c r="M2140" s="27"/>
      <c r="N2140" s="83" t="s">
        <v>1292</v>
      </c>
      <c r="P2140" t="str">
        <f>VLOOKUP(B2140,PTN!A:B,2,FALSE)</f>
        <v>UNIVERSITAS UDAYANA</v>
      </c>
      <c r="Q2140" t="str">
        <f t="shared" si="33"/>
        <v>UNIVERSITAS UDAYANASASTRA DAERAH UNTUK SASTRA BALI</v>
      </c>
    </row>
    <row r="2141" spans="1:17" ht="15.75" thickBot="1" x14ac:dyDescent="0.3">
      <c r="A2141" s="7">
        <v>2140</v>
      </c>
      <c r="B2141" s="6">
        <v>64</v>
      </c>
      <c r="C2141" s="12">
        <v>6112087</v>
      </c>
      <c r="D2141" t="s">
        <v>62</v>
      </c>
      <c r="E2141" s="12">
        <v>14</v>
      </c>
      <c r="F2141" s="10" t="s">
        <v>13</v>
      </c>
      <c r="I2141" s="87"/>
      <c r="J2141" s="138" t="s">
        <v>1292</v>
      </c>
      <c r="K2141" s="138" t="s">
        <v>1292</v>
      </c>
      <c r="L2141" s="138" t="s">
        <v>1292</v>
      </c>
      <c r="M2141" s="28"/>
      <c r="N2141" s="83" t="s">
        <v>1292</v>
      </c>
      <c r="P2141" t="str">
        <f>VLOOKUP(B2141,PTN!A:B,2,FALSE)</f>
        <v>UNIVERSITAS UDAYANA</v>
      </c>
      <c r="Q2141" t="str">
        <f t="shared" si="33"/>
        <v>UNIVERSITAS UDAYANASASTRA INDONESIA</v>
      </c>
    </row>
    <row r="2142" spans="1:17" ht="15.75" thickBot="1" x14ac:dyDescent="0.3">
      <c r="A2142" s="7">
        <v>2141</v>
      </c>
      <c r="B2142" s="6">
        <v>64</v>
      </c>
      <c r="C2142" s="13">
        <v>6112095</v>
      </c>
      <c r="D2142" t="s">
        <v>139</v>
      </c>
      <c r="E2142" s="13">
        <v>46</v>
      </c>
      <c r="F2142" s="10" t="s">
        <v>13</v>
      </c>
      <c r="I2142" s="26"/>
      <c r="J2142" s="138">
        <v>573.36</v>
      </c>
      <c r="K2142" s="138">
        <v>581.49773000000005</v>
      </c>
      <c r="L2142" s="138">
        <v>565.22226999999998</v>
      </c>
      <c r="M2142" s="27"/>
      <c r="N2142" s="83">
        <v>573.36</v>
      </c>
      <c r="P2142" t="str">
        <f>VLOOKUP(B2142,PTN!A:B,2,FALSE)</f>
        <v>UNIVERSITAS UDAYANA</v>
      </c>
      <c r="Q2142" t="str">
        <f t="shared" si="33"/>
        <v>UNIVERSITAS UDAYANASASTRA INGGRIS</v>
      </c>
    </row>
    <row r="2143" spans="1:17" ht="15.75" thickBot="1" x14ac:dyDescent="0.3">
      <c r="A2143" s="7">
        <v>2142</v>
      </c>
      <c r="B2143" s="6">
        <v>64</v>
      </c>
      <c r="C2143" s="12">
        <v>6112122</v>
      </c>
      <c r="D2143" t="s">
        <v>153</v>
      </c>
      <c r="E2143" s="12">
        <v>17</v>
      </c>
      <c r="F2143" s="10" t="s">
        <v>13</v>
      </c>
      <c r="I2143" s="87"/>
      <c r="J2143" s="138" t="s">
        <v>1292</v>
      </c>
      <c r="K2143" s="138" t="s">
        <v>1292</v>
      </c>
      <c r="L2143" s="138" t="s">
        <v>1292</v>
      </c>
      <c r="M2143" s="28"/>
      <c r="N2143" s="83" t="s">
        <v>1292</v>
      </c>
      <c r="P2143" t="str">
        <f>VLOOKUP(B2143,PTN!A:B,2,FALSE)</f>
        <v>UNIVERSITAS UDAYANA</v>
      </c>
      <c r="Q2143" t="str">
        <f t="shared" si="33"/>
        <v>UNIVERSITAS UDAYANASASTRA JEPANG</v>
      </c>
    </row>
    <row r="2144" spans="1:17" ht="15.75" thickBot="1" x14ac:dyDescent="0.3">
      <c r="A2144" s="7">
        <v>2143</v>
      </c>
      <c r="B2144" s="6">
        <v>64</v>
      </c>
      <c r="C2144" s="16">
        <v>6112176</v>
      </c>
      <c r="D2144" t="s">
        <v>63</v>
      </c>
      <c r="E2144" s="16">
        <v>14</v>
      </c>
      <c r="F2144" s="10" t="s">
        <v>13</v>
      </c>
      <c r="I2144" s="26"/>
      <c r="J2144" s="138" t="s">
        <v>1292</v>
      </c>
      <c r="K2144" s="138" t="s">
        <v>1292</v>
      </c>
      <c r="L2144" s="138" t="s">
        <v>1292</v>
      </c>
      <c r="M2144" s="27"/>
      <c r="N2144" s="83" t="s">
        <v>1292</v>
      </c>
      <c r="P2144" t="str">
        <f>VLOOKUP(B2144,PTN!A:B,2,FALSE)</f>
        <v>UNIVERSITAS UDAYANA</v>
      </c>
      <c r="Q2144" t="str">
        <f t="shared" si="33"/>
        <v>UNIVERSITAS UDAYANASOSIOLOGI</v>
      </c>
    </row>
    <row r="2145" spans="1:17" ht="16.5" thickTop="1" thickBot="1" x14ac:dyDescent="0.3">
      <c r="A2145" s="7">
        <v>2144</v>
      </c>
      <c r="B2145" s="6">
        <v>67</v>
      </c>
      <c r="C2145" s="12">
        <v>6211023</v>
      </c>
      <c r="D2145" t="s">
        <v>37</v>
      </c>
      <c r="E2145" s="12">
        <v>64</v>
      </c>
      <c r="F2145" s="10" t="s">
        <v>20</v>
      </c>
      <c r="I2145" s="20"/>
      <c r="J2145" s="138" t="s">
        <v>1292</v>
      </c>
      <c r="K2145" s="138" t="s">
        <v>1292</v>
      </c>
      <c r="L2145" s="138" t="s">
        <v>1292</v>
      </c>
      <c r="M2145" s="21"/>
      <c r="N2145" s="83" t="s">
        <v>1292</v>
      </c>
      <c r="P2145" t="str">
        <f>VLOOKUP(B2145,PTN!A:B,2,FALSE)</f>
        <v>UNIVERSITAS MATARAM</v>
      </c>
      <c r="Q2145" t="str">
        <f t="shared" si="33"/>
        <v>UNIVERSITAS MATARAMAGRIBISNIS</v>
      </c>
    </row>
    <row r="2146" spans="1:17" ht="15.75" thickBot="1" x14ac:dyDescent="0.3">
      <c r="A2146" s="7">
        <v>2145</v>
      </c>
      <c r="B2146" s="6">
        <v>67</v>
      </c>
      <c r="C2146" s="13">
        <v>6211015</v>
      </c>
      <c r="D2146" t="s">
        <v>38</v>
      </c>
      <c r="E2146" s="13">
        <v>30</v>
      </c>
      <c r="F2146" s="10" t="s">
        <v>20</v>
      </c>
      <c r="I2146" s="22"/>
      <c r="J2146" s="138" t="s">
        <v>1292</v>
      </c>
      <c r="K2146" s="138" t="s">
        <v>1292</v>
      </c>
      <c r="L2146" s="138" t="s">
        <v>1292</v>
      </c>
      <c r="M2146" s="21"/>
      <c r="N2146" s="83" t="s">
        <v>1292</v>
      </c>
      <c r="P2146" t="str">
        <f>VLOOKUP(B2146,PTN!A:B,2,FALSE)</f>
        <v>UNIVERSITAS MATARAM</v>
      </c>
      <c r="Q2146" t="str">
        <f t="shared" si="33"/>
        <v>UNIVERSITAS MATARAMAGROEKOTEKNOLOGI</v>
      </c>
    </row>
    <row r="2147" spans="1:17" ht="16.5" thickTop="1" thickBot="1" x14ac:dyDescent="0.3">
      <c r="A2147" s="7">
        <v>2146</v>
      </c>
      <c r="B2147" s="6">
        <v>67</v>
      </c>
      <c r="C2147" s="12">
        <v>6211174</v>
      </c>
      <c r="D2147" t="s">
        <v>21</v>
      </c>
      <c r="E2147" s="12">
        <v>16</v>
      </c>
      <c r="F2147" s="10" t="s">
        <v>20</v>
      </c>
      <c r="I2147" s="23"/>
      <c r="J2147" s="138" t="s">
        <v>1292</v>
      </c>
      <c r="K2147" s="138" t="s">
        <v>1292</v>
      </c>
      <c r="L2147" s="138" t="s">
        <v>1292</v>
      </c>
      <c r="M2147" s="25"/>
      <c r="N2147" s="83" t="s">
        <v>1292</v>
      </c>
      <c r="P2147" t="str">
        <f>VLOOKUP(B2147,PTN!A:B,2,FALSE)</f>
        <v>UNIVERSITAS MATARAM</v>
      </c>
      <c r="Q2147" t="str">
        <f t="shared" si="33"/>
        <v>UNIVERSITAS MATARAMBIOLOGI</v>
      </c>
    </row>
    <row r="2148" spans="1:17" ht="16.5" thickTop="1" thickBot="1" x14ac:dyDescent="0.3">
      <c r="A2148" s="7">
        <v>2147</v>
      </c>
      <c r="B2148" s="6">
        <v>67</v>
      </c>
      <c r="C2148" s="13">
        <v>6211255</v>
      </c>
      <c r="D2148" t="s">
        <v>39</v>
      </c>
      <c r="E2148" s="13">
        <v>20</v>
      </c>
      <c r="F2148" s="10" t="s">
        <v>20</v>
      </c>
      <c r="I2148" s="26"/>
      <c r="J2148" s="138" t="s">
        <v>1292</v>
      </c>
      <c r="K2148" s="138" t="s">
        <v>1292</v>
      </c>
      <c r="L2148" s="138" t="s">
        <v>1292</v>
      </c>
      <c r="M2148" s="27"/>
      <c r="N2148" s="83" t="s">
        <v>1292</v>
      </c>
      <c r="P2148" t="str">
        <f>VLOOKUP(B2148,PTN!A:B,2,FALSE)</f>
        <v>UNIVERSITAS MATARAM</v>
      </c>
      <c r="Q2148" t="str">
        <f t="shared" si="33"/>
        <v>UNIVERSITAS MATARAMBUDIDAYA PERAIRAN</v>
      </c>
    </row>
    <row r="2149" spans="1:17" ht="15.75" thickBot="1" x14ac:dyDescent="0.3">
      <c r="A2149" s="7">
        <v>2148</v>
      </c>
      <c r="B2149" s="6">
        <v>67</v>
      </c>
      <c r="C2149" s="12">
        <v>6211271</v>
      </c>
      <c r="D2149" t="s">
        <v>77</v>
      </c>
      <c r="E2149" s="12">
        <v>15</v>
      </c>
      <c r="F2149" s="10" t="s">
        <v>20</v>
      </c>
      <c r="I2149" s="87"/>
      <c r="J2149" s="138">
        <v>590</v>
      </c>
      <c r="K2149" s="138" t="s">
        <v>1292</v>
      </c>
      <c r="L2149" s="138" t="s">
        <v>1292</v>
      </c>
      <c r="M2149" s="28"/>
      <c r="N2149" s="83">
        <v>590</v>
      </c>
      <c r="P2149" t="str">
        <f>VLOOKUP(B2149,PTN!A:B,2,FALSE)</f>
        <v>UNIVERSITAS MATARAM</v>
      </c>
      <c r="Q2149" t="str">
        <f t="shared" si="33"/>
        <v>UNIVERSITAS MATARAMFARMASI</v>
      </c>
    </row>
    <row r="2150" spans="1:17" ht="15.75" thickBot="1" x14ac:dyDescent="0.3">
      <c r="A2150" s="7">
        <v>2149</v>
      </c>
      <c r="B2150" s="6">
        <v>67</v>
      </c>
      <c r="C2150" s="13">
        <v>6211197</v>
      </c>
      <c r="D2150" t="s">
        <v>65</v>
      </c>
      <c r="E2150" s="13">
        <v>16</v>
      </c>
      <c r="F2150" s="10" t="s">
        <v>20</v>
      </c>
      <c r="I2150" s="26"/>
      <c r="J2150" s="138" t="s">
        <v>1292</v>
      </c>
      <c r="K2150" s="138" t="s">
        <v>1292</v>
      </c>
      <c r="L2150" s="138" t="s">
        <v>1292</v>
      </c>
      <c r="M2150" s="27"/>
      <c r="N2150" s="83" t="s">
        <v>1292</v>
      </c>
      <c r="P2150" t="str">
        <f>VLOOKUP(B2150,PTN!A:B,2,FALSE)</f>
        <v>UNIVERSITAS MATARAM</v>
      </c>
      <c r="Q2150" t="str">
        <f t="shared" si="33"/>
        <v>UNIVERSITAS MATARAMFISIKA</v>
      </c>
    </row>
    <row r="2151" spans="1:17" ht="15.75" thickBot="1" x14ac:dyDescent="0.3">
      <c r="A2151" s="7">
        <v>2150</v>
      </c>
      <c r="B2151" s="6">
        <v>67</v>
      </c>
      <c r="C2151" s="12">
        <v>6211232</v>
      </c>
      <c r="D2151" t="s">
        <v>141</v>
      </c>
      <c r="E2151" s="12">
        <v>24</v>
      </c>
      <c r="F2151" s="10" t="s">
        <v>20</v>
      </c>
      <c r="I2151" s="87"/>
      <c r="J2151" s="138" t="s">
        <v>1292</v>
      </c>
      <c r="K2151" s="138" t="s">
        <v>1292</v>
      </c>
      <c r="L2151" s="138" t="s">
        <v>1292</v>
      </c>
      <c r="M2151" s="28"/>
      <c r="N2151" s="83" t="s">
        <v>1292</v>
      </c>
      <c r="P2151" t="str">
        <f>VLOOKUP(B2151,PTN!A:B,2,FALSE)</f>
        <v>UNIVERSITAS MATARAM</v>
      </c>
      <c r="Q2151" t="str">
        <f t="shared" si="33"/>
        <v>UNIVERSITAS MATARAMILMU DAN TEKNOLOGI PANGAN</v>
      </c>
    </row>
    <row r="2152" spans="1:17" ht="15.75" thickBot="1" x14ac:dyDescent="0.3">
      <c r="A2152" s="7">
        <v>2151</v>
      </c>
      <c r="B2152" s="6">
        <v>67</v>
      </c>
      <c r="C2152" s="13">
        <v>6211286</v>
      </c>
      <c r="D2152" t="s">
        <v>79</v>
      </c>
      <c r="E2152" s="13">
        <v>12</v>
      </c>
      <c r="F2152" s="10" t="s">
        <v>20</v>
      </c>
      <c r="I2152" s="26"/>
      <c r="J2152" s="138" t="s">
        <v>1292</v>
      </c>
      <c r="K2152" s="138" t="s">
        <v>1292</v>
      </c>
      <c r="L2152" s="138" t="s">
        <v>1292</v>
      </c>
      <c r="M2152" s="27"/>
      <c r="N2152" s="83" t="s">
        <v>1292</v>
      </c>
      <c r="P2152" t="str">
        <f>VLOOKUP(B2152,PTN!A:B,2,FALSE)</f>
        <v>UNIVERSITAS MATARAM</v>
      </c>
      <c r="Q2152" t="str">
        <f t="shared" si="33"/>
        <v>UNIVERSITAS MATARAMILMU TANAH</v>
      </c>
    </row>
    <row r="2153" spans="1:17" ht="15.75" thickBot="1" x14ac:dyDescent="0.3">
      <c r="A2153" s="7">
        <v>2152</v>
      </c>
      <c r="B2153" s="6">
        <v>67</v>
      </c>
      <c r="C2153" s="12">
        <v>6211062</v>
      </c>
      <c r="D2153" t="s">
        <v>81</v>
      </c>
      <c r="E2153" s="12">
        <v>20</v>
      </c>
      <c r="F2153" s="10" t="s">
        <v>20</v>
      </c>
      <c r="I2153" s="87"/>
      <c r="J2153" s="138" t="s">
        <v>1292</v>
      </c>
      <c r="K2153" s="138" t="s">
        <v>1292</v>
      </c>
      <c r="L2153" s="138" t="s">
        <v>1292</v>
      </c>
      <c r="M2153" s="28"/>
      <c r="N2153" s="83" t="s">
        <v>1292</v>
      </c>
      <c r="P2153" t="str">
        <f>VLOOKUP(B2153,PTN!A:B,2,FALSE)</f>
        <v>UNIVERSITAS MATARAM</v>
      </c>
      <c r="Q2153" t="str">
        <f t="shared" si="33"/>
        <v>UNIVERSITAS MATARAMKEHUTANAN</v>
      </c>
    </row>
    <row r="2154" spans="1:17" ht="15.75" thickBot="1" x14ac:dyDescent="0.3">
      <c r="A2154" s="7">
        <v>2153</v>
      </c>
      <c r="B2154" s="6">
        <v>67</v>
      </c>
      <c r="C2154" s="13">
        <v>6211247</v>
      </c>
      <c r="D2154" t="s">
        <v>142</v>
      </c>
      <c r="E2154" s="13">
        <v>24</v>
      </c>
      <c r="F2154" s="10" t="s">
        <v>20</v>
      </c>
      <c r="I2154" s="26"/>
      <c r="J2154" s="138" t="s">
        <v>1292</v>
      </c>
      <c r="K2154" s="138" t="s">
        <v>1292</v>
      </c>
      <c r="L2154" s="138" t="s">
        <v>1292</v>
      </c>
      <c r="M2154" s="27"/>
      <c r="N2154" s="83" t="s">
        <v>1292</v>
      </c>
      <c r="P2154" t="str">
        <f>VLOOKUP(B2154,PTN!A:B,2,FALSE)</f>
        <v>UNIVERSITAS MATARAM</v>
      </c>
      <c r="Q2154" t="str">
        <f t="shared" si="33"/>
        <v>UNIVERSITAS MATARAMKETEKNIKAN PERTANIAN</v>
      </c>
    </row>
    <row r="2155" spans="1:17" ht="15.75" thickBot="1" x14ac:dyDescent="0.3">
      <c r="A2155" s="7">
        <v>2154</v>
      </c>
      <c r="B2155" s="6">
        <v>67</v>
      </c>
      <c r="C2155" s="12">
        <v>6211201</v>
      </c>
      <c r="D2155" t="s">
        <v>22</v>
      </c>
      <c r="E2155" s="12">
        <v>16</v>
      </c>
      <c r="F2155" s="10" t="s">
        <v>20</v>
      </c>
      <c r="I2155" s="87"/>
      <c r="J2155" s="138" t="s">
        <v>1292</v>
      </c>
      <c r="K2155" s="138" t="s">
        <v>1292</v>
      </c>
      <c r="L2155" s="138" t="s">
        <v>1292</v>
      </c>
      <c r="M2155" s="28"/>
      <c r="N2155" s="83" t="s">
        <v>1292</v>
      </c>
      <c r="P2155" t="str">
        <f>VLOOKUP(B2155,PTN!A:B,2,FALSE)</f>
        <v>UNIVERSITAS MATARAM</v>
      </c>
      <c r="Q2155" t="str">
        <f t="shared" si="33"/>
        <v>UNIVERSITAS MATARAMKIMIA</v>
      </c>
    </row>
    <row r="2156" spans="1:17" ht="15.75" thickBot="1" x14ac:dyDescent="0.3">
      <c r="A2156" s="7">
        <v>2155</v>
      </c>
      <c r="B2156" s="6">
        <v>67</v>
      </c>
      <c r="C2156" s="13">
        <v>6211182</v>
      </c>
      <c r="D2156" t="s">
        <v>66</v>
      </c>
      <c r="E2156" s="13">
        <v>16</v>
      </c>
      <c r="F2156" s="10" t="s">
        <v>20</v>
      </c>
      <c r="I2156" s="26"/>
      <c r="J2156" s="138" t="s">
        <v>1292</v>
      </c>
      <c r="K2156" s="138" t="s">
        <v>1292</v>
      </c>
      <c r="L2156" s="138" t="s">
        <v>1292</v>
      </c>
      <c r="M2156" s="27"/>
      <c r="N2156" s="83" t="s">
        <v>1292</v>
      </c>
      <c r="P2156" t="str">
        <f>VLOOKUP(B2156,PTN!A:B,2,FALSE)</f>
        <v>UNIVERSITAS MATARAM</v>
      </c>
      <c r="Q2156" t="str">
        <f t="shared" si="33"/>
        <v>UNIVERSITAS MATARAMMATEMATIKA</v>
      </c>
    </row>
    <row r="2157" spans="1:17" ht="15.75" thickBot="1" x14ac:dyDescent="0.3">
      <c r="A2157" s="7">
        <v>2156</v>
      </c>
      <c r="B2157" s="6">
        <v>67</v>
      </c>
      <c r="C2157" s="12">
        <v>6211104</v>
      </c>
      <c r="D2157" t="s">
        <v>67</v>
      </c>
      <c r="E2157" s="12">
        <v>24</v>
      </c>
      <c r="F2157" s="10" t="s">
        <v>20</v>
      </c>
      <c r="I2157" s="87"/>
      <c r="J2157" s="138" t="s">
        <v>1292</v>
      </c>
      <c r="K2157" s="138" t="s">
        <v>1292</v>
      </c>
      <c r="L2157" s="138" t="s">
        <v>1292</v>
      </c>
      <c r="M2157" s="28"/>
      <c r="N2157" s="83" t="s">
        <v>1292</v>
      </c>
      <c r="P2157" t="str">
        <f>VLOOKUP(B2157,PTN!A:B,2,FALSE)</f>
        <v>UNIVERSITAS MATARAM</v>
      </c>
      <c r="Q2157" t="str">
        <f t="shared" si="33"/>
        <v>UNIVERSITAS MATARAMPENDIDIKAN BIOLOGI</v>
      </c>
    </row>
    <row r="2158" spans="1:17" ht="15.75" thickBot="1" x14ac:dyDescent="0.3">
      <c r="A2158" s="7">
        <v>2157</v>
      </c>
      <c r="B2158" s="6">
        <v>67</v>
      </c>
      <c r="C2158" s="13">
        <v>6211224</v>
      </c>
      <c r="D2158" t="s">
        <v>41</v>
      </c>
      <c r="E2158" s="13">
        <v>20</v>
      </c>
      <c r="F2158" s="10" t="s">
        <v>20</v>
      </c>
      <c r="I2158" s="26"/>
      <c r="J2158" s="138">
        <v>663.78</v>
      </c>
      <c r="K2158" s="138">
        <v>670.60500000000002</v>
      </c>
      <c r="L2158" s="138">
        <v>656.95499999999993</v>
      </c>
      <c r="M2158" s="27"/>
      <c r="N2158" s="83">
        <v>663.78</v>
      </c>
      <c r="P2158" t="str">
        <f>VLOOKUP(B2158,PTN!A:B,2,FALSE)</f>
        <v>UNIVERSITAS MATARAM</v>
      </c>
      <c r="Q2158" t="str">
        <f t="shared" si="33"/>
        <v>UNIVERSITAS MATARAMPENDIDIKAN DOKTER</v>
      </c>
    </row>
    <row r="2159" spans="1:17" ht="15.75" thickBot="1" x14ac:dyDescent="0.3">
      <c r="A2159" s="7">
        <v>2158</v>
      </c>
      <c r="B2159" s="6">
        <v>67</v>
      </c>
      <c r="C2159" s="12">
        <v>6211127</v>
      </c>
      <c r="D2159" t="s">
        <v>42</v>
      </c>
      <c r="E2159" s="12">
        <v>20</v>
      </c>
      <c r="F2159" s="10" t="s">
        <v>20</v>
      </c>
      <c r="I2159" s="87"/>
      <c r="J2159" s="138" t="s">
        <v>1292</v>
      </c>
      <c r="K2159" s="138" t="s">
        <v>1292</v>
      </c>
      <c r="L2159" s="138" t="s">
        <v>1292</v>
      </c>
      <c r="M2159" s="28"/>
      <c r="N2159" s="83" t="s">
        <v>1292</v>
      </c>
      <c r="P2159" t="str">
        <f>VLOOKUP(B2159,PTN!A:B,2,FALSE)</f>
        <v>UNIVERSITAS MATARAM</v>
      </c>
      <c r="Q2159" t="str">
        <f t="shared" si="33"/>
        <v>UNIVERSITAS MATARAMPENDIDIKAN FISIKA</v>
      </c>
    </row>
    <row r="2160" spans="1:17" ht="15.75" thickBot="1" x14ac:dyDescent="0.3">
      <c r="A2160" s="7">
        <v>2159</v>
      </c>
      <c r="B2160" s="6">
        <v>67</v>
      </c>
      <c r="C2160" s="13">
        <v>6211112</v>
      </c>
      <c r="D2160" t="s">
        <v>43</v>
      </c>
      <c r="E2160" s="13">
        <v>20</v>
      </c>
      <c r="F2160" s="10" t="s">
        <v>20</v>
      </c>
      <c r="I2160" s="26"/>
      <c r="J2160" s="138" t="s">
        <v>1292</v>
      </c>
      <c r="K2160" s="138" t="s">
        <v>1292</v>
      </c>
      <c r="L2160" s="138" t="s">
        <v>1292</v>
      </c>
      <c r="M2160" s="27"/>
      <c r="N2160" s="83" t="s">
        <v>1292</v>
      </c>
      <c r="P2160" t="str">
        <f>VLOOKUP(B2160,PTN!A:B,2,FALSE)</f>
        <v>UNIVERSITAS MATARAM</v>
      </c>
      <c r="Q2160" t="str">
        <f t="shared" si="33"/>
        <v>UNIVERSITAS MATARAMPENDIDIKAN KIMIA</v>
      </c>
    </row>
    <row r="2161" spans="1:17" ht="15.75" thickBot="1" x14ac:dyDescent="0.3">
      <c r="A2161" s="7">
        <v>2160</v>
      </c>
      <c r="B2161" s="6">
        <v>67</v>
      </c>
      <c r="C2161" s="12">
        <v>6211135</v>
      </c>
      <c r="D2161" t="s">
        <v>44</v>
      </c>
      <c r="E2161" s="12">
        <v>36</v>
      </c>
      <c r="F2161" s="10" t="s">
        <v>20</v>
      </c>
      <c r="I2161" s="87"/>
      <c r="J2161" s="138" t="s">
        <v>1292</v>
      </c>
      <c r="K2161" s="138" t="s">
        <v>1292</v>
      </c>
      <c r="L2161" s="138" t="s">
        <v>1292</v>
      </c>
      <c r="M2161" s="28"/>
      <c r="N2161" s="83" t="s">
        <v>1292</v>
      </c>
      <c r="P2161" t="str">
        <f>VLOOKUP(B2161,PTN!A:B,2,FALSE)</f>
        <v>UNIVERSITAS MATARAM</v>
      </c>
      <c r="Q2161" t="str">
        <f t="shared" si="33"/>
        <v>UNIVERSITAS MATARAMPENDIDIKAN MATEMATIKA</v>
      </c>
    </row>
    <row r="2162" spans="1:17" ht="15.75" thickBot="1" x14ac:dyDescent="0.3">
      <c r="A2162" s="7">
        <v>2161</v>
      </c>
      <c r="B2162" s="6">
        <v>67</v>
      </c>
      <c r="C2162" s="13">
        <v>6211216</v>
      </c>
      <c r="D2162" t="s">
        <v>88</v>
      </c>
      <c r="E2162" s="13">
        <v>60</v>
      </c>
      <c r="F2162" s="10" t="s">
        <v>20</v>
      </c>
      <c r="I2162" s="26"/>
      <c r="J2162" s="138" t="s">
        <v>1292</v>
      </c>
      <c r="K2162" s="138" t="s">
        <v>1292</v>
      </c>
      <c r="L2162" s="138" t="s">
        <v>1292</v>
      </c>
      <c r="M2162" s="27"/>
      <c r="N2162" s="83" t="s">
        <v>1292</v>
      </c>
      <c r="P2162" t="str">
        <f>VLOOKUP(B2162,PTN!A:B,2,FALSE)</f>
        <v>UNIVERSITAS MATARAM</v>
      </c>
      <c r="Q2162" t="str">
        <f t="shared" si="33"/>
        <v>UNIVERSITAS MATARAMPETERNAKAN</v>
      </c>
    </row>
    <row r="2163" spans="1:17" ht="15.75" thickBot="1" x14ac:dyDescent="0.3">
      <c r="A2163" s="7">
        <v>2162</v>
      </c>
      <c r="B2163" s="6">
        <v>67</v>
      </c>
      <c r="C2163" s="12">
        <v>6211166</v>
      </c>
      <c r="D2163" t="s">
        <v>48</v>
      </c>
      <c r="E2163" s="12">
        <v>30</v>
      </c>
      <c r="F2163" s="10" t="s">
        <v>20</v>
      </c>
      <c r="I2163" s="87"/>
      <c r="J2163" s="138" t="s">
        <v>1292</v>
      </c>
      <c r="K2163" s="138" t="s">
        <v>1292</v>
      </c>
      <c r="L2163" s="138" t="s">
        <v>1292</v>
      </c>
      <c r="M2163" s="28"/>
      <c r="N2163" s="83" t="s">
        <v>1292</v>
      </c>
      <c r="P2163" t="str">
        <f>VLOOKUP(B2163,PTN!A:B,2,FALSE)</f>
        <v>UNIVERSITAS MATARAM</v>
      </c>
      <c r="Q2163" t="str">
        <f t="shared" si="33"/>
        <v>UNIVERSITAS MATARAMTEKNIK ELEKTRO</v>
      </c>
    </row>
    <row r="2164" spans="1:17" ht="15.75" thickBot="1" x14ac:dyDescent="0.3">
      <c r="A2164" s="7">
        <v>2163</v>
      </c>
      <c r="B2164" s="6">
        <v>67</v>
      </c>
      <c r="C2164" s="13">
        <v>6211263</v>
      </c>
      <c r="D2164" t="s">
        <v>50</v>
      </c>
      <c r="E2164" s="13">
        <v>20</v>
      </c>
      <c r="F2164" s="10" t="s">
        <v>20</v>
      </c>
      <c r="I2164" s="26"/>
      <c r="J2164" s="138" t="s">
        <v>1292</v>
      </c>
      <c r="K2164" s="138" t="s">
        <v>1292</v>
      </c>
      <c r="L2164" s="138" t="s">
        <v>1292</v>
      </c>
      <c r="M2164" s="27"/>
      <c r="N2164" s="83" t="s">
        <v>1292</v>
      </c>
      <c r="P2164" t="str">
        <f>VLOOKUP(B2164,PTN!A:B,2,FALSE)</f>
        <v>UNIVERSITAS MATARAM</v>
      </c>
      <c r="Q2164" t="str">
        <f t="shared" si="33"/>
        <v>UNIVERSITAS MATARAMTEKNIK INFORMATIKA</v>
      </c>
    </row>
    <row r="2165" spans="1:17" ht="15.75" thickBot="1" x14ac:dyDescent="0.3">
      <c r="A2165" s="7">
        <v>2164</v>
      </c>
      <c r="B2165" s="6">
        <v>67</v>
      </c>
      <c r="C2165" s="12">
        <v>6211151</v>
      </c>
      <c r="D2165" t="s">
        <v>53</v>
      </c>
      <c r="E2165" s="12">
        <v>30</v>
      </c>
      <c r="F2165" s="10" t="s">
        <v>20</v>
      </c>
      <c r="I2165" s="87"/>
      <c r="J2165" s="138" t="s">
        <v>1292</v>
      </c>
      <c r="K2165" s="138" t="s">
        <v>1292</v>
      </c>
      <c r="L2165" s="138" t="s">
        <v>1292</v>
      </c>
      <c r="M2165" s="28"/>
      <c r="N2165" s="83" t="s">
        <v>1292</v>
      </c>
      <c r="P2165" t="str">
        <f>VLOOKUP(B2165,PTN!A:B,2,FALSE)</f>
        <v>UNIVERSITAS MATARAM</v>
      </c>
      <c r="Q2165" t="str">
        <f t="shared" si="33"/>
        <v>UNIVERSITAS MATARAMTEKNIK MESIN</v>
      </c>
    </row>
    <row r="2166" spans="1:17" ht="15.75" thickBot="1" x14ac:dyDescent="0.3">
      <c r="A2166" s="7">
        <v>2165</v>
      </c>
      <c r="B2166" s="6">
        <v>67</v>
      </c>
      <c r="C2166" s="16">
        <v>6211143</v>
      </c>
      <c r="D2166" t="s">
        <v>54</v>
      </c>
      <c r="E2166" s="16">
        <v>40</v>
      </c>
      <c r="F2166" s="10" t="s">
        <v>20</v>
      </c>
      <c r="I2166" s="26"/>
      <c r="J2166" s="138" t="s">
        <v>1292</v>
      </c>
      <c r="K2166" s="138" t="s">
        <v>1292</v>
      </c>
      <c r="L2166" s="138" t="s">
        <v>1292</v>
      </c>
      <c r="M2166" s="27"/>
      <c r="N2166" s="83" t="s">
        <v>1292</v>
      </c>
      <c r="P2166" t="str">
        <f>VLOOKUP(B2166,PTN!A:B,2,FALSE)</f>
        <v>UNIVERSITAS MATARAM</v>
      </c>
      <c r="Q2166" t="str">
        <f t="shared" si="33"/>
        <v>UNIVERSITAS MATARAMTEKNIK SIPIL</v>
      </c>
    </row>
    <row r="2167" spans="1:17" ht="16.5" thickTop="1" thickBot="1" x14ac:dyDescent="0.3">
      <c r="A2167" s="7">
        <v>2166</v>
      </c>
      <c r="B2167" s="6">
        <v>67</v>
      </c>
      <c r="C2167" s="12">
        <v>6212034</v>
      </c>
      <c r="D2167" t="s">
        <v>55</v>
      </c>
      <c r="E2167" s="12">
        <v>50</v>
      </c>
      <c r="F2167" s="10" t="s">
        <v>13</v>
      </c>
      <c r="I2167" s="20"/>
      <c r="J2167" s="138" t="s">
        <v>1292</v>
      </c>
      <c r="K2167" s="138" t="s">
        <v>1292</v>
      </c>
      <c r="L2167" s="138" t="s">
        <v>1292</v>
      </c>
      <c r="M2167" s="21"/>
      <c r="N2167" s="83" t="s">
        <v>1292</v>
      </c>
      <c r="P2167" t="str">
        <f>VLOOKUP(B2167,PTN!A:B,2,FALSE)</f>
        <v>UNIVERSITAS MATARAM</v>
      </c>
      <c r="Q2167" t="str">
        <f t="shared" si="33"/>
        <v>UNIVERSITAS MATARAMAKUNTANSI</v>
      </c>
    </row>
    <row r="2168" spans="1:17" ht="15.75" thickBot="1" x14ac:dyDescent="0.3">
      <c r="A2168" s="7">
        <v>2167</v>
      </c>
      <c r="B2168" s="6">
        <v>67</v>
      </c>
      <c r="C2168" s="13">
        <v>6212011</v>
      </c>
      <c r="D2168" t="s">
        <v>69</v>
      </c>
      <c r="E2168" s="13">
        <v>50</v>
      </c>
      <c r="F2168" s="10" t="s">
        <v>13</v>
      </c>
      <c r="I2168" s="22"/>
      <c r="J2168" s="138" t="s">
        <v>1292</v>
      </c>
      <c r="K2168" s="138" t="s">
        <v>1292</v>
      </c>
      <c r="L2168" s="138" t="s">
        <v>1292</v>
      </c>
      <c r="M2168" s="21"/>
      <c r="N2168" s="83" t="s">
        <v>1292</v>
      </c>
      <c r="P2168" t="str">
        <f>VLOOKUP(B2168,PTN!A:B,2,FALSE)</f>
        <v>UNIVERSITAS MATARAM</v>
      </c>
      <c r="Q2168" t="str">
        <f t="shared" si="33"/>
        <v>UNIVERSITAS MATARAMEKONOMI PEMBANGUNAN</v>
      </c>
    </row>
    <row r="2169" spans="1:17" ht="16.5" thickTop="1" thickBot="1" x14ac:dyDescent="0.3">
      <c r="A2169" s="7">
        <v>2168</v>
      </c>
      <c r="B2169" s="6">
        <v>67</v>
      </c>
      <c r="C2169" s="12">
        <v>6212107</v>
      </c>
      <c r="D2169" t="s">
        <v>223</v>
      </c>
      <c r="E2169" s="12">
        <v>24</v>
      </c>
      <c r="F2169" s="10" t="s">
        <v>13</v>
      </c>
      <c r="I2169" s="23"/>
      <c r="J2169" s="138" t="s">
        <v>1292</v>
      </c>
      <c r="K2169" s="138" t="s">
        <v>1292</v>
      </c>
      <c r="L2169" s="138" t="s">
        <v>1292</v>
      </c>
      <c r="M2169" s="25"/>
      <c r="N2169" s="83" t="s">
        <v>1292</v>
      </c>
      <c r="P2169" t="str">
        <f>VLOOKUP(B2169,PTN!A:B,2,FALSE)</f>
        <v>UNIVERSITAS MATARAM</v>
      </c>
      <c r="Q2169" t="str">
        <f t="shared" si="33"/>
        <v>UNIVERSITAS MATARAMHUBUNGAN INTERNASIONAL</v>
      </c>
    </row>
    <row r="2170" spans="1:17" ht="16.5" thickTop="1" thickBot="1" x14ac:dyDescent="0.3">
      <c r="A2170" s="7">
        <v>2169</v>
      </c>
      <c r="B2170" s="6">
        <v>67</v>
      </c>
      <c r="C2170" s="13">
        <v>6212042</v>
      </c>
      <c r="D2170" t="s">
        <v>31</v>
      </c>
      <c r="E2170" s="13">
        <v>120</v>
      </c>
      <c r="F2170" s="10" t="s">
        <v>13</v>
      </c>
      <c r="I2170" s="26"/>
      <c r="J2170" s="138" t="s">
        <v>1292</v>
      </c>
      <c r="K2170" s="138" t="s">
        <v>1292</v>
      </c>
      <c r="L2170" s="138" t="s">
        <v>1292</v>
      </c>
      <c r="M2170" s="27"/>
      <c r="N2170" s="83" t="s">
        <v>1292</v>
      </c>
      <c r="P2170" t="str">
        <f>VLOOKUP(B2170,PTN!A:B,2,FALSE)</f>
        <v>UNIVERSITAS MATARAM</v>
      </c>
      <c r="Q2170" t="str">
        <f t="shared" si="33"/>
        <v>UNIVERSITAS MATARAMILMU HUKUM</v>
      </c>
    </row>
    <row r="2171" spans="1:17" ht="15.75" thickBot="1" x14ac:dyDescent="0.3">
      <c r="A2171" s="7">
        <v>2170</v>
      </c>
      <c r="B2171" s="6">
        <v>67</v>
      </c>
      <c r="C2171" s="12">
        <v>6212115</v>
      </c>
      <c r="D2171" t="s">
        <v>60</v>
      </c>
      <c r="E2171" s="12">
        <v>24</v>
      </c>
      <c r="F2171" s="10" t="s">
        <v>13</v>
      </c>
      <c r="I2171" s="87"/>
      <c r="J2171" s="138" t="s">
        <v>1292</v>
      </c>
      <c r="K2171" s="138" t="s">
        <v>1292</v>
      </c>
      <c r="L2171" s="138" t="s">
        <v>1292</v>
      </c>
      <c r="M2171" s="28"/>
      <c r="N2171" s="83" t="s">
        <v>1292</v>
      </c>
      <c r="P2171" t="str">
        <f>VLOOKUP(B2171,PTN!A:B,2,FALSE)</f>
        <v>UNIVERSITAS MATARAM</v>
      </c>
      <c r="Q2171" t="str">
        <f t="shared" si="33"/>
        <v>UNIVERSITAS MATARAMILMU KOMUNIKASI</v>
      </c>
    </row>
    <row r="2172" spans="1:17" ht="15.75" thickBot="1" x14ac:dyDescent="0.3">
      <c r="A2172" s="7">
        <v>2171</v>
      </c>
      <c r="B2172" s="6">
        <v>67</v>
      </c>
      <c r="C2172" s="13">
        <v>6212026</v>
      </c>
      <c r="D2172" t="s">
        <v>61</v>
      </c>
      <c r="E2172" s="13">
        <v>70</v>
      </c>
      <c r="F2172" s="10" t="s">
        <v>13</v>
      </c>
      <c r="I2172" s="26"/>
      <c r="J2172" s="138" t="s">
        <v>1292</v>
      </c>
      <c r="K2172" s="138" t="s">
        <v>1292</v>
      </c>
      <c r="L2172" s="138" t="s">
        <v>1292</v>
      </c>
      <c r="M2172" s="27"/>
      <c r="N2172" s="83" t="s">
        <v>1292</v>
      </c>
      <c r="P2172" t="str">
        <f>VLOOKUP(B2172,PTN!A:B,2,FALSE)</f>
        <v>UNIVERSITAS MATARAM</v>
      </c>
      <c r="Q2172" t="str">
        <f t="shared" si="33"/>
        <v>UNIVERSITAS MATARAMMANAJEMEN</v>
      </c>
    </row>
    <row r="2173" spans="1:17" ht="15.75" thickBot="1" x14ac:dyDescent="0.3">
      <c r="A2173" s="7">
        <v>2172</v>
      </c>
      <c r="B2173" s="6">
        <v>67</v>
      </c>
      <c r="C2173" s="12">
        <v>6212096</v>
      </c>
      <c r="D2173" t="s">
        <v>596</v>
      </c>
      <c r="E2173" s="12">
        <v>20</v>
      </c>
      <c r="F2173" s="10" t="s">
        <v>13</v>
      </c>
      <c r="I2173" s="87"/>
      <c r="J2173" s="138" t="s">
        <v>1292</v>
      </c>
      <c r="K2173" s="138" t="s">
        <v>1292</v>
      </c>
      <c r="L2173" s="138" t="s">
        <v>1292</v>
      </c>
      <c r="M2173" s="28"/>
      <c r="N2173" s="83" t="s">
        <v>1292</v>
      </c>
      <c r="P2173" t="str">
        <f>VLOOKUP(B2173,PTN!A:B,2,FALSE)</f>
        <v>UNIVERSITAS MATARAM</v>
      </c>
      <c r="Q2173" t="str">
        <f t="shared" si="33"/>
        <v>UNIVERSITAS MATARAMPENDIDIKAN ANAK USIA DINI</v>
      </c>
    </row>
    <row r="2174" spans="1:17" ht="15.75" thickBot="1" x14ac:dyDescent="0.3">
      <c r="A2174" s="7">
        <v>2173</v>
      </c>
      <c r="B2174" s="6">
        <v>67</v>
      </c>
      <c r="C2174" s="13">
        <v>6212057</v>
      </c>
      <c r="D2174" t="s">
        <v>99</v>
      </c>
      <c r="E2174" s="13">
        <v>47</v>
      </c>
      <c r="F2174" s="10" t="s">
        <v>13</v>
      </c>
      <c r="I2174" s="26"/>
      <c r="J2174" s="138" t="s">
        <v>1292</v>
      </c>
      <c r="K2174" s="138" t="s">
        <v>1292</v>
      </c>
      <c r="L2174" s="138" t="s">
        <v>1292</v>
      </c>
      <c r="M2174" s="27"/>
      <c r="N2174" s="83" t="s">
        <v>1292</v>
      </c>
      <c r="P2174" t="str">
        <f>VLOOKUP(B2174,PTN!A:B,2,FALSE)</f>
        <v>UNIVERSITAS MATARAM</v>
      </c>
      <c r="Q2174" t="str">
        <f t="shared" si="33"/>
        <v>UNIVERSITAS MATARAMPENDIDIKAN BAHASA DAN SASTRA INDONESIA</v>
      </c>
    </row>
    <row r="2175" spans="1:17" ht="15.75" thickBot="1" x14ac:dyDescent="0.3">
      <c r="A2175" s="7">
        <v>2174</v>
      </c>
      <c r="B2175" s="6">
        <v>67</v>
      </c>
      <c r="C2175" s="12">
        <v>6212065</v>
      </c>
      <c r="D2175" t="s">
        <v>71</v>
      </c>
      <c r="E2175" s="12">
        <v>44</v>
      </c>
      <c r="F2175" s="10" t="s">
        <v>13</v>
      </c>
      <c r="I2175" s="87"/>
      <c r="J2175" s="138" t="s">
        <v>1292</v>
      </c>
      <c r="K2175" s="138" t="s">
        <v>1292</v>
      </c>
      <c r="L2175" s="138" t="s">
        <v>1292</v>
      </c>
      <c r="M2175" s="28"/>
      <c r="N2175" s="83" t="s">
        <v>1292</v>
      </c>
      <c r="P2175" t="str">
        <f>VLOOKUP(B2175,PTN!A:B,2,FALSE)</f>
        <v>UNIVERSITAS MATARAM</v>
      </c>
      <c r="Q2175" t="str">
        <f t="shared" si="33"/>
        <v>UNIVERSITAS MATARAMPENDIDIKAN BAHASA INGGRIS</v>
      </c>
    </row>
    <row r="2176" spans="1:17" ht="15.75" thickBot="1" x14ac:dyDescent="0.3">
      <c r="A2176" s="7">
        <v>2175</v>
      </c>
      <c r="B2176" s="6">
        <v>67</v>
      </c>
      <c r="C2176" s="13">
        <v>6212081</v>
      </c>
      <c r="D2176" t="s">
        <v>73</v>
      </c>
      <c r="E2176" s="13">
        <v>68</v>
      </c>
      <c r="F2176" s="10" t="s">
        <v>13</v>
      </c>
      <c r="I2176" s="26"/>
      <c r="J2176" s="138" t="s">
        <v>1292</v>
      </c>
      <c r="K2176" s="138" t="s">
        <v>1292</v>
      </c>
      <c r="L2176" s="138" t="s">
        <v>1292</v>
      </c>
      <c r="M2176" s="27"/>
      <c r="N2176" s="83" t="s">
        <v>1292</v>
      </c>
      <c r="P2176" t="str">
        <f>VLOOKUP(B2176,PTN!A:B,2,FALSE)</f>
        <v>UNIVERSITAS MATARAM</v>
      </c>
      <c r="Q2176" t="str">
        <f t="shared" si="33"/>
        <v>UNIVERSITAS MATARAMPENDIDIKAN GURU SEKOLAH DASAR</v>
      </c>
    </row>
    <row r="2177" spans="1:17" ht="15.75" thickBot="1" x14ac:dyDescent="0.3">
      <c r="A2177" s="7">
        <v>2176</v>
      </c>
      <c r="B2177" s="6">
        <v>67</v>
      </c>
      <c r="C2177" s="12">
        <v>6212073</v>
      </c>
      <c r="D2177" t="s">
        <v>103</v>
      </c>
      <c r="E2177" s="12">
        <v>36</v>
      </c>
      <c r="F2177" s="10" t="s">
        <v>13</v>
      </c>
      <c r="I2177" s="87"/>
      <c r="J2177" s="138" t="s">
        <v>1292</v>
      </c>
      <c r="K2177" s="138" t="s">
        <v>1292</v>
      </c>
      <c r="L2177" s="138" t="s">
        <v>1292</v>
      </c>
      <c r="M2177" s="28"/>
      <c r="N2177" s="83" t="s">
        <v>1292</v>
      </c>
      <c r="P2177" t="str">
        <f>VLOOKUP(B2177,PTN!A:B,2,FALSE)</f>
        <v>UNIVERSITAS MATARAM</v>
      </c>
      <c r="Q2177" t="str">
        <f t="shared" si="33"/>
        <v>UNIVERSITAS MATARAMPENDIDIKAN PANCASILA DAN KEWARGANEGARAAN</v>
      </c>
    </row>
    <row r="2178" spans="1:17" ht="15.75" thickBot="1" x14ac:dyDescent="0.3">
      <c r="A2178" s="7">
        <v>2177</v>
      </c>
      <c r="B2178" s="6">
        <v>67</v>
      </c>
      <c r="C2178" s="13">
        <v>6212131</v>
      </c>
      <c r="D2178" t="s">
        <v>334</v>
      </c>
      <c r="E2178" s="13">
        <v>20</v>
      </c>
      <c r="F2178" s="10" t="s">
        <v>13</v>
      </c>
      <c r="I2178" s="26"/>
      <c r="J2178" s="138" t="s">
        <v>1292</v>
      </c>
      <c r="K2178" s="138" t="s">
        <v>1292</v>
      </c>
      <c r="L2178" s="138" t="s">
        <v>1292</v>
      </c>
      <c r="M2178" s="27"/>
      <c r="N2178" s="83" t="s">
        <v>1292</v>
      </c>
      <c r="P2178" t="str">
        <f>VLOOKUP(B2178,PTN!A:B,2,FALSE)</f>
        <v>UNIVERSITAS MATARAM</v>
      </c>
      <c r="Q2178" t="str">
        <f t="shared" si="33"/>
        <v>UNIVERSITAS MATARAMPENDIDIKAN SOSIOLOGI</v>
      </c>
    </row>
    <row r="2179" spans="1:17" ht="15.75" thickBot="1" x14ac:dyDescent="0.3">
      <c r="A2179" s="7">
        <v>2178</v>
      </c>
      <c r="B2179" s="6">
        <v>67</v>
      </c>
      <c r="C2179" s="14">
        <v>6212123</v>
      </c>
      <c r="D2179" t="s">
        <v>63</v>
      </c>
      <c r="E2179" s="14">
        <v>24</v>
      </c>
      <c r="F2179" s="10" t="s">
        <v>13</v>
      </c>
      <c r="I2179" s="20"/>
      <c r="J2179" s="138" t="s">
        <v>1292</v>
      </c>
      <c r="K2179" s="138" t="s">
        <v>1292</v>
      </c>
      <c r="L2179" s="138" t="s">
        <v>1292</v>
      </c>
      <c r="M2179" s="21"/>
      <c r="N2179" s="83" t="s">
        <v>1292</v>
      </c>
      <c r="P2179" t="str">
        <f>VLOOKUP(B2179,PTN!A:B,2,FALSE)</f>
        <v>UNIVERSITAS MATARAM</v>
      </c>
      <c r="Q2179" t="str">
        <f t="shared" ref="Q2179:Q2242" si="34">P2179&amp;D2179</f>
        <v>UNIVERSITAS MATARAMSOSIOLOGI</v>
      </c>
    </row>
    <row r="2180" spans="1:17" ht="16.5" thickTop="1" thickBot="1" x14ac:dyDescent="0.3">
      <c r="A2180" s="7">
        <v>2179</v>
      </c>
      <c r="B2180" s="6">
        <v>68</v>
      </c>
      <c r="C2180" s="12">
        <v>6311094</v>
      </c>
      <c r="D2180" t="s">
        <v>37</v>
      </c>
      <c r="E2180" s="12">
        <v>70</v>
      </c>
      <c r="F2180" s="10" t="s">
        <v>20</v>
      </c>
      <c r="I2180" s="22"/>
      <c r="J2180" s="138" t="s">
        <v>1292</v>
      </c>
      <c r="K2180" s="138" t="s">
        <v>1292</v>
      </c>
      <c r="L2180" s="138" t="s">
        <v>1292</v>
      </c>
      <c r="M2180" s="21"/>
      <c r="N2180" s="83" t="s">
        <v>1292</v>
      </c>
      <c r="P2180" t="str">
        <f>VLOOKUP(B2180,PTN!A:B,2,FALSE)</f>
        <v>UNIVERSITAS NUSA CENDANA</v>
      </c>
      <c r="Q2180" t="str">
        <f t="shared" si="34"/>
        <v>UNIVERSITAS NUSA CENDANAAGRIBISNIS</v>
      </c>
    </row>
    <row r="2181" spans="1:17" ht="16.5" thickTop="1" thickBot="1" x14ac:dyDescent="0.3">
      <c r="A2181" s="7">
        <v>2180</v>
      </c>
      <c r="B2181" s="6">
        <v>68</v>
      </c>
      <c r="C2181" s="13">
        <v>6311086</v>
      </c>
      <c r="D2181" t="s">
        <v>608</v>
      </c>
      <c r="E2181" s="13">
        <v>80</v>
      </c>
      <c r="F2181" s="10" t="s">
        <v>20</v>
      </c>
      <c r="I2181" s="23"/>
      <c r="J2181" s="138" t="s">
        <v>1292</v>
      </c>
      <c r="K2181" s="138" t="s">
        <v>1292</v>
      </c>
      <c r="L2181" s="138" t="s">
        <v>1292</v>
      </c>
      <c r="M2181" s="25"/>
      <c r="N2181" s="83" t="s">
        <v>1292</v>
      </c>
      <c r="P2181" t="str">
        <f>VLOOKUP(B2181,PTN!A:B,2,FALSE)</f>
        <v>UNIVERSITAS NUSA CENDANA</v>
      </c>
      <c r="Q2181" t="str">
        <f t="shared" si="34"/>
        <v>UNIVERSITAS NUSA CENDANAAGRONOMI/AGROEKOTEKNOLOGI</v>
      </c>
    </row>
    <row r="2182" spans="1:17" ht="16.5" thickTop="1" thickBot="1" x14ac:dyDescent="0.3">
      <c r="A2182" s="7">
        <v>2181</v>
      </c>
      <c r="B2182" s="6">
        <v>68</v>
      </c>
      <c r="C2182" s="12">
        <v>6311144</v>
      </c>
      <c r="D2182" t="s">
        <v>21</v>
      </c>
      <c r="E2182" s="12">
        <v>25</v>
      </c>
      <c r="F2182" s="10" t="s">
        <v>20</v>
      </c>
      <c r="I2182" s="26"/>
      <c r="J2182" s="138" t="s">
        <v>1292</v>
      </c>
      <c r="K2182" s="138" t="s">
        <v>1292</v>
      </c>
      <c r="L2182" s="138" t="s">
        <v>1292</v>
      </c>
      <c r="M2182" s="27"/>
      <c r="N2182" s="83" t="s">
        <v>1292</v>
      </c>
      <c r="P2182" t="str">
        <f>VLOOKUP(B2182,PTN!A:B,2,FALSE)</f>
        <v>UNIVERSITAS NUSA CENDANA</v>
      </c>
      <c r="Q2182" t="str">
        <f t="shared" si="34"/>
        <v>UNIVERSITAS NUSA CENDANABIOLOGI</v>
      </c>
    </row>
    <row r="2183" spans="1:17" ht="15.75" thickBot="1" x14ac:dyDescent="0.3">
      <c r="A2183" s="7">
        <v>2182</v>
      </c>
      <c r="B2183" s="6">
        <v>68</v>
      </c>
      <c r="C2183" s="13">
        <v>6311241</v>
      </c>
      <c r="D2183" t="s">
        <v>609</v>
      </c>
      <c r="E2183" s="13">
        <v>20</v>
      </c>
      <c r="F2183" s="10" t="s">
        <v>20</v>
      </c>
      <c r="I2183" s="87"/>
      <c r="J2183" s="138" t="s">
        <v>1292</v>
      </c>
      <c r="K2183" s="138" t="s">
        <v>1292</v>
      </c>
      <c r="L2183" s="138" t="s">
        <v>1292</v>
      </c>
      <c r="M2183" s="28"/>
      <c r="N2183" s="83" t="s">
        <v>1292</v>
      </c>
      <c r="P2183" t="str">
        <f>VLOOKUP(B2183,PTN!A:B,2,FALSE)</f>
        <v>UNIVERSITAS NUSA CENDANA</v>
      </c>
      <c r="Q2183" t="str">
        <f t="shared" si="34"/>
        <v>UNIVERSITAS NUSA CENDANABUDIDAYA PERIKANAN</v>
      </c>
    </row>
    <row r="2184" spans="1:17" ht="15.75" thickBot="1" x14ac:dyDescent="0.3">
      <c r="A2184" s="7">
        <v>2183</v>
      </c>
      <c r="B2184" s="6">
        <v>68</v>
      </c>
      <c r="C2184" s="12">
        <v>6311152</v>
      </c>
      <c r="D2184" t="s">
        <v>65</v>
      </c>
      <c r="E2184" s="12">
        <v>25</v>
      </c>
      <c r="F2184" s="10" t="s">
        <v>20</v>
      </c>
      <c r="I2184" s="26"/>
      <c r="J2184" s="138" t="s">
        <v>1292</v>
      </c>
      <c r="K2184" s="138" t="s">
        <v>1292</v>
      </c>
      <c r="L2184" s="138" t="s">
        <v>1292</v>
      </c>
      <c r="M2184" s="27"/>
      <c r="N2184" s="83" t="s">
        <v>1292</v>
      </c>
      <c r="P2184" t="str">
        <f>VLOOKUP(B2184,PTN!A:B,2,FALSE)</f>
        <v>UNIVERSITAS NUSA CENDANA</v>
      </c>
      <c r="Q2184" t="str">
        <f t="shared" si="34"/>
        <v>UNIVERSITAS NUSA CENDANAFISIKA</v>
      </c>
    </row>
    <row r="2185" spans="1:17" ht="15.75" thickBot="1" x14ac:dyDescent="0.3">
      <c r="A2185" s="7">
        <v>2184</v>
      </c>
      <c r="B2185" s="6">
        <v>68</v>
      </c>
      <c r="C2185" s="13">
        <v>6311121</v>
      </c>
      <c r="D2185" t="s">
        <v>110</v>
      </c>
      <c r="E2185" s="13">
        <v>75</v>
      </c>
      <c r="F2185" s="10" t="s">
        <v>20</v>
      </c>
      <c r="I2185" s="87"/>
      <c r="J2185" s="138" t="s">
        <v>1292</v>
      </c>
      <c r="K2185" s="138" t="s">
        <v>1292</v>
      </c>
      <c r="L2185" s="138" t="s">
        <v>1292</v>
      </c>
      <c r="M2185" s="28"/>
      <c r="N2185" s="83" t="s">
        <v>1292</v>
      </c>
      <c r="P2185" t="str">
        <f>VLOOKUP(B2185,PTN!A:B,2,FALSE)</f>
        <v>UNIVERSITAS NUSA CENDANA</v>
      </c>
      <c r="Q2185" t="str">
        <f t="shared" si="34"/>
        <v>UNIVERSITAS NUSA CENDANAILMU KESEHATAN MASYARAKAT</v>
      </c>
    </row>
    <row r="2186" spans="1:17" ht="15.75" thickBot="1" x14ac:dyDescent="0.3">
      <c r="A2186" s="7">
        <v>2185</v>
      </c>
      <c r="B2186" s="6">
        <v>68</v>
      </c>
      <c r="C2186" s="12">
        <v>6311202</v>
      </c>
      <c r="D2186" t="s">
        <v>111</v>
      </c>
      <c r="E2186" s="12">
        <v>25</v>
      </c>
      <c r="F2186" s="10" t="s">
        <v>20</v>
      </c>
      <c r="I2186" s="26"/>
      <c r="J2186" s="138" t="s">
        <v>1292</v>
      </c>
      <c r="K2186" s="138" t="s">
        <v>1292</v>
      </c>
      <c r="L2186" s="138" t="s">
        <v>1292</v>
      </c>
      <c r="M2186" s="27"/>
      <c r="N2186" s="83" t="s">
        <v>1292</v>
      </c>
      <c r="P2186" t="str">
        <f>VLOOKUP(B2186,PTN!A:B,2,FALSE)</f>
        <v>UNIVERSITAS NUSA CENDANA</v>
      </c>
      <c r="Q2186" t="str">
        <f t="shared" si="34"/>
        <v>UNIVERSITAS NUSA CENDANAILMU KOMPUTER</v>
      </c>
    </row>
    <row r="2187" spans="1:17" ht="15.75" thickBot="1" x14ac:dyDescent="0.3">
      <c r="A2187" s="7">
        <v>2186</v>
      </c>
      <c r="B2187" s="6">
        <v>68</v>
      </c>
      <c r="C2187" s="13">
        <v>6311113</v>
      </c>
      <c r="D2187" t="s">
        <v>212</v>
      </c>
      <c r="E2187" s="13">
        <v>125</v>
      </c>
      <c r="F2187" s="10" t="s">
        <v>20</v>
      </c>
      <c r="I2187" s="87"/>
      <c r="J2187" s="138" t="s">
        <v>1292</v>
      </c>
      <c r="K2187" s="138" t="s">
        <v>1292</v>
      </c>
      <c r="L2187" s="138" t="s">
        <v>1292</v>
      </c>
      <c r="M2187" s="28"/>
      <c r="N2187" s="83" t="s">
        <v>1292</v>
      </c>
      <c r="P2187" t="str">
        <f>VLOOKUP(B2187,PTN!A:B,2,FALSE)</f>
        <v>UNIVERSITAS NUSA CENDANA</v>
      </c>
      <c r="Q2187" t="str">
        <f t="shared" si="34"/>
        <v>UNIVERSITAS NUSA CENDANAILMU PETERNAKAN</v>
      </c>
    </row>
    <row r="2188" spans="1:17" ht="15.75" thickBot="1" x14ac:dyDescent="0.3">
      <c r="A2188" s="7">
        <v>2187</v>
      </c>
      <c r="B2188" s="6">
        <v>68</v>
      </c>
      <c r="C2188" s="12">
        <v>6311256</v>
      </c>
      <c r="D2188" t="s">
        <v>348</v>
      </c>
      <c r="E2188" s="12">
        <v>15</v>
      </c>
      <c r="F2188" s="10" t="s">
        <v>20</v>
      </c>
      <c r="I2188" s="26"/>
      <c r="J2188" s="138" t="s">
        <v>1292</v>
      </c>
      <c r="K2188" s="138" t="s">
        <v>1292</v>
      </c>
      <c r="L2188" s="138" t="s">
        <v>1292</v>
      </c>
      <c r="M2188" s="27"/>
      <c r="N2188" s="83" t="s">
        <v>1292</v>
      </c>
      <c r="P2188" t="str">
        <f>VLOOKUP(B2188,PTN!A:B,2,FALSE)</f>
        <v>UNIVERSITAS NUSA CENDANA</v>
      </c>
      <c r="Q2188" t="str">
        <f t="shared" si="34"/>
        <v>UNIVERSITAS NUSA CENDANAKEDOKTERAN HEWAN</v>
      </c>
    </row>
    <row r="2189" spans="1:17" ht="15.75" thickBot="1" x14ac:dyDescent="0.3">
      <c r="A2189" s="7">
        <v>2188</v>
      </c>
      <c r="B2189" s="6">
        <v>68</v>
      </c>
      <c r="C2189" s="13">
        <v>6311264</v>
      </c>
      <c r="D2189" t="s">
        <v>81</v>
      </c>
      <c r="E2189" s="13">
        <v>20</v>
      </c>
      <c r="F2189" s="10" t="s">
        <v>20</v>
      </c>
      <c r="I2189" s="87"/>
      <c r="J2189" s="138" t="s">
        <v>1292</v>
      </c>
      <c r="K2189" s="138" t="s">
        <v>1292</v>
      </c>
      <c r="L2189" s="138" t="s">
        <v>1292</v>
      </c>
      <c r="M2189" s="28"/>
      <c r="N2189" s="83" t="s">
        <v>1292</v>
      </c>
      <c r="P2189" t="str">
        <f>VLOOKUP(B2189,PTN!A:B,2,FALSE)</f>
        <v>UNIVERSITAS NUSA CENDANA</v>
      </c>
      <c r="Q2189" t="str">
        <f t="shared" si="34"/>
        <v>UNIVERSITAS NUSA CENDANAKEHUTANAN</v>
      </c>
    </row>
    <row r="2190" spans="1:17" ht="15.75" thickBot="1" x14ac:dyDescent="0.3">
      <c r="A2190" s="7">
        <v>2189</v>
      </c>
      <c r="B2190" s="6">
        <v>68</v>
      </c>
      <c r="C2190" s="12">
        <v>6311167</v>
      </c>
      <c r="D2190" t="s">
        <v>22</v>
      </c>
      <c r="E2190" s="12">
        <v>25</v>
      </c>
      <c r="F2190" s="10" t="s">
        <v>20</v>
      </c>
      <c r="I2190" s="26"/>
      <c r="J2190" s="138" t="s">
        <v>1292</v>
      </c>
      <c r="K2190" s="138" t="s">
        <v>1292</v>
      </c>
      <c r="L2190" s="138" t="s">
        <v>1292</v>
      </c>
      <c r="M2190" s="27"/>
      <c r="N2190" s="83" t="s">
        <v>1292</v>
      </c>
      <c r="P2190" t="str">
        <f>VLOOKUP(B2190,PTN!A:B,2,FALSE)</f>
        <v>UNIVERSITAS NUSA CENDANA</v>
      </c>
      <c r="Q2190" t="str">
        <f t="shared" si="34"/>
        <v>UNIVERSITAS NUSA CENDANAKIMIA</v>
      </c>
    </row>
    <row r="2191" spans="1:17" ht="15.75" thickBot="1" x14ac:dyDescent="0.3">
      <c r="A2191" s="7">
        <v>2190</v>
      </c>
      <c r="B2191" s="6">
        <v>68</v>
      </c>
      <c r="C2191" s="13">
        <v>6311272</v>
      </c>
      <c r="D2191" t="s">
        <v>143</v>
      </c>
      <c r="E2191" s="13">
        <v>20</v>
      </c>
      <c r="F2191" s="10" t="s">
        <v>20</v>
      </c>
      <c r="I2191" s="87"/>
      <c r="J2191" s="138" t="s">
        <v>1292</v>
      </c>
      <c r="K2191" s="138" t="s">
        <v>1292</v>
      </c>
      <c r="L2191" s="138" t="s">
        <v>1292</v>
      </c>
      <c r="M2191" s="28"/>
      <c r="N2191" s="83" t="s">
        <v>1292</v>
      </c>
      <c r="P2191" t="str">
        <f>VLOOKUP(B2191,PTN!A:B,2,FALSE)</f>
        <v>UNIVERSITAS NUSA CENDANA</v>
      </c>
      <c r="Q2191" t="str">
        <f t="shared" si="34"/>
        <v>UNIVERSITAS NUSA CENDANAMANAJEMEN SUMBER DAYA PERAIRAN</v>
      </c>
    </row>
    <row r="2192" spans="1:17" ht="15.75" thickBot="1" x14ac:dyDescent="0.3">
      <c r="A2192" s="7">
        <v>2191</v>
      </c>
      <c r="B2192" s="6">
        <v>68</v>
      </c>
      <c r="C2192" s="12">
        <v>6311136</v>
      </c>
      <c r="D2192" t="s">
        <v>66</v>
      </c>
      <c r="E2192" s="12">
        <v>25</v>
      </c>
      <c r="F2192" s="10" t="s">
        <v>20</v>
      </c>
      <c r="I2192" s="26"/>
      <c r="J2192" s="138" t="s">
        <v>1292</v>
      </c>
      <c r="K2192" s="138" t="s">
        <v>1292</v>
      </c>
      <c r="L2192" s="138" t="s">
        <v>1292</v>
      </c>
      <c r="M2192" s="27"/>
      <c r="N2192" s="83" t="s">
        <v>1292</v>
      </c>
      <c r="P2192" t="str">
        <f>VLOOKUP(B2192,PTN!A:B,2,FALSE)</f>
        <v>UNIVERSITAS NUSA CENDANA</v>
      </c>
      <c r="Q2192" t="str">
        <f t="shared" si="34"/>
        <v>UNIVERSITAS NUSA CENDANAMATEMATIKA</v>
      </c>
    </row>
    <row r="2193" spans="1:17" ht="15.75" thickBot="1" x14ac:dyDescent="0.3">
      <c r="A2193" s="7">
        <v>2192</v>
      </c>
      <c r="B2193" s="6">
        <v>68</v>
      </c>
      <c r="C2193" s="13">
        <v>6311024</v>
      </c>
      <c r="D2193" t="s">
        <v>214</v>
      </c>
      <c r="E2193" s="13">
        <v>25</v>
      </c>
      <c r="F2193" s="10" t="s">
        <v>20</v>
      </c>
      <c r="I2193" s="87"/>
      <c r="J2193" s="138" t="s">
        <v>1292</v>
      </c>
      <c r="K2193" s="138" t="s">
        <v>1292</v>
      </c>
      <c r="L2193" s="138" t="s">
        <v>1292</v>
      </c>
      <c r="M2193" s="28"/>
      <c r="N2193" s="83" t="s">
        <v>1292</v>
      </c>
      <c r="P2193" t="str">
        <f>VLOOKUP(B2193,PTN!A:B,2,FALSE)</f>
        <v>UNIVERSITAS NUSA CENDANA</v>
      </c>
      <c r="Q2193" t="str">
        <f t="shared" si="34"/>
        <v>UNIVERSITAS NUSA CENDANAPEND. BIOLOGI</v>
      </c>
    </row>
    <row r="2194" spans="1:17" ht="15.75" thickBot="1" x14ac:dyDescent="0.3">
      <c r="A2194" s="7">
        <v>2193</v>
      </c>
      <c r="B2194" s="6">
        <v>68</v>
      </c>
      <c r="C2194" s="12">
        <v>6311032</v>
      </c>
      <c r="D2194" t="s">
        <v>216</v>
      </c>
      <c r="E2194" s="12">
        <v>25</v>
      </c>
      <c r="F2194" s="10" t="s">
        <v>20</v>
      </c>
      <c r="I2194" s="26"/>
      <c r="J2194" s="138" t="s">
        <v>1292</v>
      </c>
      <c r="K2194" s="138" t="s">
        <v>1292</v>
      </c>
      <c r="L2194" s="138" t="s">
        <v>1292</v>
      </c>
      <c r="M2194" s="27"/>
      <c r="N2194" s="83" t="s">
        <v>1292</v>
      </c>
      <c r="P2194" t="str">
        <f>VLOOKUP(B2194,PTN!A:B,2,FALSE)</f>
        <v>UNIVERSITAS NUSA CENDANA</v>
      </c>
      <c r="Q2194" t="str">
        <f t="shared" si="34"/>
        <v>UNIVERSITAS NUSA CENDANAPEND. FISIKA</v>
      </c>
    </row>
    <row r="2195" spans="1:17" ht="15.75" thickBot="1" x14ac:dyDescent="0.3">
      <c r="A2195" s="7">
        <v>2194</v>
      </c>
      <c r="B2195" s="6">
        <v>68</v>
      </c>
      <c r="C2195" s="13">
        <v>6311233</v>
      </c>
      <c r="D2195" t="s">
        <v>41</v>
      </c>
      <c r="E2195" s="13">
        <v>15</v>
      </c>
      <c r="F2195" s="10" t="s">
        <v>20</v>
      </c>
      <c r="I2195" s="87"/>
      <c r="J2195" s="138">
        <v>640.20000000000005</v>
      </c>
      <c r="K2195" s="138">
        <v>649.68000000000006</v>
      </c>
      <c r="L2195" s="138">
        <v>630.72</v>
      </c>
      <c r="M2195" s="28"/>
      <c r="N2195" s="83">
        <v>640.20000000000005</v>
      </c>
      <c r="P2195" t="str">
        <f>VLOOKUP(B2195,PTN!A:B,2,FALSE)</f>
        <v>UNIVERSITAS NUSA CENDANA</v>
      </c>
      <c r="Q2195" t="str">
        <f t="shared" si="34"/>
        <v>UNIVERSITAS NUSA CENDANAPENDIDIKAN DOKTER</v>
      </c>
    </row>
    <row r="2196" spans="1:17" ht="15.75" thickBot="1" x14ac:dyDescent="0.3">
      <c r="A2196" s="7">
        <v>2195</v>
      </c>
      <c r="B2196" s="6">
        <v>68</v>
      </c>
      <c r="C2196" s="12">
        <v>6311047</v>
      </c>
      <c r="D2196" t="s">
        <v>217</v>
      </c>
      <c r="E2196" s="12">
        <v>38</v>
      </c>
      <c r="F2196" s="10" t="s">
        <v>20</v>
      </c>
      <c r="I2196" s="26"/>
      <c r="J2196" s="138" t="s">
        <v>1292</v>
      </c>
      <c r="K2196" s="138" t="s">
        <v>1292</v>
      </c>
      <c r="L2196" s="138" t="s">
        <v>1292</v>
      </c>
      <c r="M2196" s="27"/>
      <c r="N2196" s="83" t="s">
        <v>1292</v>
      </c>
      <c r="P2196" t="str">
        <f>VLOOKUP(B2196,PTN!A:B,2,FALSE)</f>
        <v>UNIVERSITAS NUSA CENDANA</v>
      </c>
      <c r="Q2196" t="str">
        <f t="shared" si="34"/>
        <v>UNIVERSITAS NUSA CENDANAPEND. KIMIA</v>
      </c>
    </row>
    <row r="2197" spans="1:17" ht="15.75" thickBot="1" x14ac:dyDescent="0.3">
      <c r="A2197" s="7">
        <v>2196</v>
      </c>
      <c r="B2197" s="6">
        <v>68</v>
      </c>
      <c r="C2197" s="13">
        <v>6311016</v>
      </c>
      <c r="D2197" t="s">
        <v>218</v>
      </c>
      <c r="E2197" s="13">
        <v>25</v>
      </c>
      <c r="F2197" s="10" t="s">
        <v>20</v>
      </c>
      <c r="I2197" s="87"/>
      <c r="J2197" s="138" t="s">
        <v>1292</v>
      </c>
      <c r="K2197" s="138" t="s">
        <v>1292</v>
      </c>
      <c r="L2197" s="138" t="s">
        <v>1292</v>
      </c>
      <c r="M2197" s="28"/>
      <c r="N2197" s="83" t="s">
        <v>1292</v>
      </c>
      <c r="P2197" t="str">
        <f>VLOOKUP(B2197,PTN!A:B,2,FALSE)</f>
        <v>UNIVERSITAS NUSA CENDANA</v>
      </c>
      <c r="Q2197" t="str">
        <f t="shared" si="34"/>
        <v>UNIVERSITAS NUSA CENDANAPEND. MATEMATIKA</v>
      </c>
    </row>
    <row r="2198" spans="1:17" ht="15.75" thickBot="1" x14ac:dyDescent="0.3">
      <c r="A2198" s="7">
        <v>2197</v>
      </c>
      <c r="B2198" s="6">
        <v>68</v>
      </c>
      <c r="C2198" s="12">
        <v>6311055</v>
      </c>
      <c r="D2198" t="s">
        <v>565</v>
      </c>
      <c r="E2198" s="12">
        <v>20</v>
      </c>
      <c r="F2198" s="10" t="s">
        <v>20</v>
      </c>
      <c r="I2198" s="26"/>
      <c r="J2198" s="138" t="s">
        <v>1292</v>
      </c>
      <c r="K2198" s="138" t="s">
        <v>1292</v>
      </c>
      <c r="L2198" s="138" t="s">
        <v>1292</v>
      </c>
      <c r="M2198" s="27"/>
      <c r="N2198" s="83" t="s">
        <v>1292</v>
      </c>
      <c r="P2198" t="str">
        <f>VLOOKUP(B2198,PTN!A:B,2,FALSE)</f>
        <v>UNIVERSITAS NUSA CENDANA</v>
      </c>
      <c r="Q2198" t="str">
        <f t="shared" si="34"/>
        <v>UNIVERSITAS NUSA CENDANAPEND. TEKNIK BANGUNAN</v>
      </c>
    </row>
    <row r="2199" spans="1:17" ht="15.75" thickBot="1" x14ac:dyDescent="0.3">
      <c r="A2199" s="7">
        <v>2198</v>
      </c>
      <c r="B2199" s="6">
        <v>68</v>
      </c>
      <c r="C2199" s="13">
        <v>6311071</v>
      </c>
      <c r="D2199" t="s">
        <v>566</v>
      </c>
      <c r="E2199" s="13">
        <v>20</v>
      </c>
      <c r="F2199" s="10" t="s">
        <v>20</v>
      </c>
      <c r="I2199" s="87"/>
      <c r="J2199" s="138" t="s">
        <v>1292</v>
      </c>
      <c r="K2199" s="138" t="s">
        <v>1292</v>
      </c>
      <c r="L2199" s="138" t="s">
        <v>1292</v>
      </c>
      <c r="M2199" s="28"/>
      <c r="N2199" s="83" t="s">
        <v>1292</v>
      </c>
      <c r="P2199" t="str">
        <f>VLOOKUP(B2199,PTN!A:B,2,FALSE)</f>
        <v>UNIVERSITAS NUSA CENDANA</v>
      </c>
      <c r="Q2199" t="str">
        <f t="shared" si="34"/>
        <v>UNIVERSITAS NUSA CENDANAPEND. TEKNIK ELEKTRO</v>
      </c>
    </row>
    <row r="2200" spans="1:17" ht="15.75" thickBot="1" x14ac:dyDescent="0.3">
      <c r="A2200" s="7">
        <v>2199</v>
      </c>
      <c r="B2200" s="6">
        <v>68</v>
      </c>
      <c r="C2200" s="12">
        <v>6311063</v>
      </c>
      <c r="D2200" t="s">
        <v>567</v>
      </c>
      <c r="E2200" s="12">
        <v>20</v>
      </c>
      <c r="F2200" s="10" t="s">
        <v>20</v>
      </c>
      <c r="I2200" s="26"/>
      <c r="J2200" s="138" t="s">
        <v>1292</v>
      </c>
      <c r="K2200" s="138" t="s">
        <v>1292</v>
      </c>
      <c r="L2200" s="138" t="s">
        <v>1292</v>
      </c>
      <c r="M2200" s="27"/>
      <c r="N2200" s="83" t="s">
        <v>1292</v>
      </c>
      <c r="P2200" t="str">
        <f>VLOOKUP(B2200,PTN!A:B,2,FALSE)</f>
        <v>UNIVERSITAS NUSA CENDANA</v>
      </c>
      <c r="Q2200" t="str">
        <f t="shared" si="34"/>
        <v>UNIVERSITAS NUSA CENDANAPEND. TEKNIK MESIN</v>
      </c>
    </row>
    <row r="2201" spans="1:17" ht="15.75" thickBot="1" x14ac:dyDescent="0.3">
      <c r="A2201" s="7">
        <v>2200</v>
      </c>
      <c r="B2201" s="6">
        <v>68</v>
      </c>
      <c r="C2201" s="13">
        <v>6311217</v>
      </c>
      <c r="D2201" t="s">
        <v>47</v>
      </c>
      <c r="E2201" s="13">
        <v>15</v>
      </c>
      <c r="F2201" s="10" t="s">
        <v>20</v>
      </c>
      <c r="I2201" s="87"/>
      <c r="J2201" s="138" t="s">
        <v>1292</v>
      </c>
      <c r="K2201" s="138" t="s">
        <v>1292</v>
      </c>
      <c r="L2201" s="138" t="s">
        <v>1292</v>
      </c>
      <c r="M2201" s="28"/>
      <c r="N2201" s="83" t="s">
        <v>1292</v>
      </c>
      <c r="P2201" t="str">
        <f>VLOOKUP(B2201,PTN!A:B,2,FALSE)</f>
        <v>UNIVERSITAS NUSA CENDANA</v>
      </c>
      <c r="Q2201" t="str">
        <f t="shared" si="34"/>
        <v>UNIVERSITAS NUSA CENDANATEKNIK ARSITEKTUR</v>
      </c>
    </row>
    <row r="2202" spans="1:17" ht="15.75" thickBot="1" x14ac:dyDescent="0.3">
      <c r="A2202" s="7">
        <v>2201</v>
      </c>
      <c r="B2202" s="6">
        <v>68</v>
      </c>
      <c r="C2202" s="12">
        <v>6311183</v>
      </c>
      <c r="D2202" t="s">
        <v>48</v>
      </c>
      <c r="E2202" s="12">
        <v>25</v>
      </c>
      <c r="F2202" s="10" t="s">
        <v>20</v>
      </c>
      <c r="I2202" s="26"/>
      <c r="J2202" s="138" t="s">
        <v>1292</v>
      </c>
      <c r="K2202" s="138" t="s">
        <v>1292</v>
      </c>
      <c r="L2202" s="138" t="s">
        <v>1292</v>
      </c>
      <c r="M2202" s="27"/>
      <c r="N2202" s="83" t="s">
        <v>1292</v>
      </c>
      <c r="P2202" t="str">
        <f>VLOOKUP(B2202,PTN!A:B,2,FALSE)</f>
        <v>UNIVERSITAS NUSA CENDANA</v>
      </c>
      <c r="Q2202" t="str">
        <f t="shared" si="34"/>
        <v>UNIVERSITAS NUSA CENDANATEKNIK ELEKTRO</v>
      </c>
    </row>
    <row r="2203" spans="1:17" ht="15.75" thickBot="1" x14ac:dyDescent="0.3">
      <c r="A2203" s="7">
        <v>2202</v>
      </c>
      <c r="B2203" s="6">
        <v>68</v>
      </c>
      <c r="C2203" s="13">
        <v>6311191</v>
      </c>
      <c r="D2203" t="s">
        <v>53</v>
      </c>
      <c r="E2203" s="13">
        <v>25</v>
      </c>
      <c r="F2203" s="10" t="s">
        <v>20</v>
      </c>
      <c r="I2203" s="87"/>
      <c r="J2203" s="138" t="s">
        <v>1292</v>
      </c>
      <c r="K2203" s="138" t="s">
        <v>1292</v>
      </c>
      <c r="L2203" s="138" t="s">
        <v>1292</v>
      </c>
      <c r="M2203" s="28"/>
      <c r="N2203" s="83" t="s">
        <v>1292</v>
      </c>
      <c r="P2203" t="str">
        <f>VLOOKUP(B2203,PTN!A:B,2,FALSE)</f>
        <v>UNIVERSITAS NUSA CENDANA</v>
      </c>
      <c r="Q2203" t="str">
        <f t="shared" si="34"/>
        <v>UNIVERSITAS NUSA CENDANATEKNIK MESIN</v>
      </c>
    </row>
    <row r="2204" spans="1:17" ht="15.75" thickBot="1" x14ac:dyDescent="0.3">
      <c r="A2204" s="7">
        <v>2203</v>
      </c>
      <c r="B2204" s="6">
        <v>68</v>
      </c>
      <c r="C2204" s="12">
        <v>6311225</v>
      </c>
      <c r="D2204" t="s">
        <v>239</v>
      </c>
      <c r="E2204" s="12">
        <v>15</v>
      </c>
      <c r="F2204" s="10" t="s">
        <v>20</v>
      </c>
      <c r="I2204" s="26"/>
      <c r="J2204" s="138" t="s">
        <v>1292</v>
      </c>
      <c r="K2204" s="138" t="s">
        <v>1292</v>
      </c>
      <c r="L2204" s="138" t="s">
        <v>1292</v>
      </c>
      <c r="M2204" s="27"/>
      <c r="N2204" s="83" t="s">
        <v>1292</v>
      </c>
      <c r="P2204" t="str">
        <f>VLOOKUP(B2204,PTN!A:B,2,FALSE)</f>
        <v>UNIVERSITAS NUSA CENDANA</v>
      </c>
      <c r="Q2204" t="str">
        <f t="shared" si="34"/>
        <v>UNIVERSITAS NUSA CENDANATEKNIK PERTAMBANGAN</v>
      </c>
    </row>
    <row r="2205" spans="1:17" ht="15.75" thickBot="1" x14ac:dyDescent="0.3">
      <c r="A2205" s="7">
        <v>2204</v>
      </c>
      <c r="B2205" s="6">
        <v>68</v>
      </c>
      <c r="C2205" s="16">
        <v>6311175</v>
      </c>
      <c r="D2205" t="s">
        <v>54</v>
      </c>
      <c r="E2205" s="16">
        <v>25</v>
      </c>
      <c r="F2205" s="10" t="s">
        <v>20</v>
      </c>
      <c r="I2205" s="87"/>
      <c r="J2205" s="138" t="s">
        <v>1292</v>
      </c>
      <c r="K2205" s="138" t="s">
        <v>1292</v>
      </c>
      <c r="L2205" s="138" t="s">
        <v>1292</v>
      </c>
      <c r="M2205" s="28"/>
      <c r="N2205" s="83" t="s">
        <v>1292</v>
      </c>
      <c r="P2205" t="str">
        <f>VLOOKUP(B2205,PTN!A:B,2,FALSE)</f>
        <v>UNIVERSITAS NUSA CENDANA</v>
      </c>
      <c r="Q2205" t="str">
        <f t="shared" si="34"/>
        <v>UNIVERSITAS NUSA CENDANATEKNIK SIPIL</v>
      </c>
    </row>
    <row r="2206" spans="1:17" ht="16.5" thickTop="1" thickBot="1" x14ac:dyDescent="0.3">
      <c r="A2206" s="7">
        <v>2205</v>
      </c>
      <c r="B2206" s="6">
        <v>68</v>
      </c>
      <c r="C2206" s="12">
        <v>6312194</v>
      </c>
      <c r="D2206" t="s">
        <v>55</v>
      </c>
      <c r="E2206" s="12">
        <v>64</v>
      </c>
      <c r="F2206" s="10" t="s">
        <v>13</v>
      </c>
      <c r="I2206" s="20"/>
      <c r="J2206" s="138" t="s">
        <v>1292</v>
      </c>
      <c r="K2206" s="138" t="s">
        <v>1292</v>
      </c>
      <c r="L2206" s="138" t="s">
        <v>1292</v>
      </c>
      <c r="M2206" s="21"/>
      <c r="N2206" s="83" t="s">
        <v>1292</v>
      </c>
      <c r="P2206" t="str">
        <f>VLOOKUP(B2206,PTN!A:B,2,FALSE)</f>
        <v>UNIVERSITAS NUSA CENDANA</v>
      </c>
      <c r="Q2206" t="str">
        <f t="shared" si="34"/>
        <v>UNIVERSITAS NUSA CENDANAAKUNTANSI</v>
      </c>
    </row>
    <row r="2207" spans="1:17" ht="15.75" thickBot="1" x14ac:dyDescent="0.3">
      <c r="A2207" s="7">
        <v>2206</v>
      </c>
      <c r="B2207" s="6">
        <v>68</v>
      </c>
      <c r="C2207" s="13">
        <v>6312074</v>
      </c>
      <c r="D2207" t="s">
        <v>27</v>
      </c>
      <c r="E2207" s="13">
        <v>38</v>
      </c>
      <c r="F2207" s="10" t="s">
        <v>13</v>
      </c>
      <c r="I2207" s="22"/>
      <c r="J2207" s="138" t="s">
        <v>1292</v>
      </c>
      <c r="K2207" s="138" t="s">
        <v>1292</v>
      </c>
      <c r="L2207" s="138" t="s">
        <v>1292</v>
      </c>
      <c r="M2207" s="21"/>
      <c r="N2207" s="83" t="s">
        <v>1292</v>
      </c>
      <c r="P2207" t="str">
        <f>VLOOKUP(B2207,PTN!A:B,2,FALSE)</f>
        <v>UNIVERSITAS NUSA CENDANA</v>
      </c>
      <c r="Q2207" t="str">
        <f t="shared" si="34"/>
        <v>UNIVERSITAS NUSA CENDANABIMBINGAN KONSELING</v>
      </c>
    </row>
    <row r="2208" spans="1:17" ht="16.5" thickTop="1" thickBot="1" x14ac:dyDescent="0.3">
      <c r="A2208" s="7">
        <v>2207</v>
      </c>
      <c r="B2208" s="6">
        <v>68</v>
      </c>
      <c r="C2208" s="12">
        <v>6312186</v>
      </c>
      <c r="D2208" t="s">
        <v>69</v>
      </c>
      <c r="E2208" s="12">
        <v>26</v>
      </c>
      <c r="F2208" s="10" t="s">
        <v>13</v>
      </c>
      <c r="I2208" s="23"/>
      <c r="J2208" s="138" t="s">
        <v>1292</v>
      </c>
      <c r="K2208" s="138" t="s">
        <v>1292</v>
      </c>
      <c r="L2208" s="138" t="s">
        <v>1292</v>
      </c>
      <c r="M2208" s="25"/>
      <c r="N2208" s="83" t="s">
        <v>1292</v>
      </c>
      <c r="P2208" t="str">
        <f>VLOOKUP(B2208,PTN!A:B,2,FALSE)</f>
        <v>UNIVERSITAS NUSA CENDANA</v>
      </c>
      <c r="Q2208" t="str">
        <f t="shared" si="34"/>
        <v>UNIVERSITAS NUSA CENDANAEKONOMI PEMBANGUNAN</v>
      </c>
    </row>
    <row r="2209" spans="1:17" ht="16.5" thickTop="1" thickBot="1" x14ac:dyDescent="0.3">
      <c r="A2209" s="7">
        <v>2208</v>
      </c>
      <c r="B2209" s="6">
        <v>68</v>
      </c>
      <c r="C2209" s="13">
        <v>6312124</v>
      </c>
      <c r="D2209" t="s">
        <v>610</v>
      </c>
      <c r="E2209" s="13">
        <v>61</v>
      </c>
      <c r="F2209" s="10" t="s">
        <v>13</v>
      </c>
      <c r="I2209" s="26"/>
      <c r="J2209" s="138" t="s">
        <v>1292</v>
      </c>
      <c r="K2209" s="138" t="s">
        <v>1292</v>
      </c>
      <c r="L2209" s="138" t="s">
        <v>1292</v>
      </c>
      <c r="M2209" s="27"/>
      <c r="N2209" s="83" t="s">
        <v>1292</v>
      </c>
      <c r="P2209" t="str">
        <f>VLOOKUP(B2209,PTN!A:B,2,FALSE)</f>
        <v>UNIVERSITAS NUSA CENDANA</v>
      </c>
      <c r="Q2209" t="str">
        <f t="shared" si="34"/>
        <v>UNIVERSITAS NUSA CENDANAILMU ADM.NEGARA</v>
      </c>
    </row>
    <row r="2210" spans="1:17" ht="15.75" thickBot="1" x14ac:dyDescent="0.3">
      <c r="A2210" s="7">
        <v>2209</v>
      </c>
      <c r="B2210" s="6">
        <v>68</v>
      </c>
      <c r="C2210" s="12">
        <v>6312132</v>
      </c>
      <c r="D2210" t="s">
        <v>611</v>
      </c>
      <c r="E2210" s="12">
        <v>67</v>
      </c>
      <c r="F2210" s="10" t="s">
        <v>13</v>
      </c>
      <c r="I2210" s="87"/>
      <c r="J2210" s="138" t="s">
        <v>1292</v>
      </c>
      <c r="K2210" s="138" t="s">
        <v>1292</v>
      </c>
      <c r="L2210" s="138" t="s">
        <v>1292</v>
      </c>
      <c r="M2210" s="28"/>
      <c r="N2210" s="83" t="s">
        <v>1292</v>
      </c>
      <c r="P2210" t="str">
        <f>VLOOKUP(B2210,PTN!A:B,2,FALSE)</f>
        <v>UNIVERSITAS NUSA CENDANA</v>
      </c>
      <c r="Q2210" t="str">
        <f t="shared" si="34"/>
        <v>UNIVERSITAS NUSA CENDANAILMU ADM.NIAGA</v>
      </c>
    </row>
    <row r="2211" spans="1:17" ht="15.75" thickBot="1" x14ac:dyDescent="0.3">
      <c r="A2211" s="7">
        <v>2210</v>
      </c>
      <c r="B2211" s="6">
        <v>68</v>
      </c>
      <c r="C2211" s="13">
        <v>6312116</v>
      </c>
      <c r="D2211" t="s">
        <v>31</v>
      </c>
      <c r="E2211" s="13">
        <v>193</v>
      </c>
      <c r="F2211" s="10" t="s">
        <v>13</v>
      </c>
      <c r="I2211" s="26"/>
      <c r="J2211" s="138" t="s">
        <v>1292</v>
      </c>
      <c r="K2211" s="138" t="s">
        <v>1292</v>
      </c>
      <c r="L2211" s="138" t="s">
        <v>1292</v>
      </c>
      <c r="M2211" s="27"/>
      <c r="N2211" s="83" t="s">
        <v>1292</v>
      </c>
      <c r="P2211" t="str">
        <f>VLOOKUP(B2211,PTN!A:B,2,FALSE)</f>
        <v>UNIVERSITAS NUSA CENDANA</v>
      </c>
      <c r="Q2211" t="str">
        <f t="shared" si="34"/>
        <v>UNIVERSITAS NUSA CENDANAILMU HUKUM</v>
      </c>
    </row>
    <row r="2212" spans="1:17" ht="15.75" thickBot="1" x14ac:dyDescent="0.3">
      <c r="A2212" s="7">
        <v>2211</v>
      </c>
      <c r="B2212" s="6">
        <v>68</v>
      </c>
      <c r="C2212" s="12">
        <v>6312155</v>
      </c>
      <c r="D2212" t="s">
        <v>60</v>
      </c>
      <c r="E2212" s="12">
        <v>39</v>
      </c>
      <c r="F2212" s="10" t="s">
        <v>13</v>
      </c>
      <c r="I2212" s="87"/>
      <c r="J2212" s="138" t="s">
        <v>1292</v>
      </c>
      <c r="K2212" s="138" t="s">
        <v>1292</v>
      </c>
      <c r="L2212" s="138" t="s">
        <v>1292</v>
      </c>
      <c r="M2212" s="28"/>
      <c r="N2212" s="83" t="s">
        <v>1292</v>
      </c>
      <c r="P2212" t="str">
        <f>VLOOKUP(B2212,PTN!A:B,2,FALSE)</f>
        <v>UNIVERSITAS NUSA CENDANA</v>
      </c>
      <c r="Q2212" t="str">
        <f t="shared" si="34"/>
        <v>UNIVERSITAS NUSA CENDANAILMU KOMUNIKASI</v>
      </c>
    </row>
    <row r="2213" spans="1:17" ht="15.75" thickBot="1" x14ac:dyDescent="0.3">
      <c r="A2213" s="7">
        <v>2212</v>
      </c>
      <c r="B2213" s="6">
        <v>68</v>
      </c>
      <c r="C2213" s="13">
        <v>6312163</v>
      </c>
      <c r="D2213" t="s">
        <v>33</v>
      </c>
      <c r="E2213" s="13">
        <v>38</v>
      </c>
      <c r="F2213" s="10" t="s">
        <v>13</v>
      </c>
      <c r="I2213" s="26"/>
      <c r="J2213" s="138" t="s">
        <v>1292</v>
      </c>
      <c r="K2213" s="138" t="s">
        <v>1292</v>
      </c>
      <c r="L2213" s="138" t="s">
        <v>1292</v>
      </c>
      <c r="M2213" s="27"/>
      <c r="N2213" s="83" t="s">
        <v>1292</v>
      </c>
      <c r="P2213" t="str">
        <f>VLOOKUP(B2213,PTN!A:B,2,FALSE)</f>
        <v>UNIVERSITAS NUSA CENDANA</v>
      </c>
      <c r="Q2213" t="str">
        <f t="shared" si="34"/>
        <v>UNIVERSITAS NUSA CENDANAILMU POLITIK</v>
      </c>
    </row>
    <row r="2214" spans="1:17" ht="15.75" thickBot="1" x14ac:dyDescent="0.3">
      <c r="A2214" s="7">
        <v>2213</v>
      </c>
      <c r="B2214" s="6">
        <v>68</v>
      </c>
      <c r="C2214" s="12">
        <v>6312205</v>
      </c>
      <c r="D2214" t="s">
        <v>61</v>
      </c>
      <c r="E2214" s="12">
        <v>24</v>
      </c>
      <c r="F2214" s="10" t="s">
        <v>13</v>
      </c>
      <c r="I2214" s="87"/>
      <c r="J2214" s="138" t="s">
        <v>1292</v>
      </c>
      <c r="K2214" s="138" t="s">
        <v>1292</v>
      </c>
      <c r="L2214" s="138" t="s">
        <v>1292</v>
      </c>
      <c r="M2214" s="28"/>
      <c r="N2214" s="83" t="s">
        <v>1292</v>
      </c>
      <c r="P2214" t="str">
        <f>VLOOKUP(B2214,PTN!A:B,2,FALSE)</f>
        <v>UNIVERSITAS NUSA CENDANA</v>
      </c>
      <c r="Q2214" t="str">
        <f t="shared" si="34"/>
        <v>UNIVERSITAS NUSA CENDANAMANAJEMEN</v>
      </c>
    </row>
    <row r="2215" spans="1:17" ht="15.75" thickBot="1" x14ac:dyDescent="0.3">
      <c r="A2215" s="7">
        <v>2214</v>
      </c>
      <c r="B2215" s="6">
        <v>68</v>
      </c>
      <c r="C2215" s="13">
        <v>6312097</v>
      </c>
      <c r="D2215" t="s">
        <v>612</v>
      </c>
      <c r="E2215" s="13">
        <v>25</v>
      </c>
      <c r="F2215" s="10" t="s">
        <v>13</v>
      </c>
      <c r="I2215" s="26"/>
      <c r="J2215" s="138" t="s">
        <v>1292</v>
      </c>
      <c r="K2215" s="138" t="s">
        <v>1292</v>
      </c>
      <c r="L2215" s="138" t="s">
        <v>1292</v>
      </c>
      <c r="M2215" s="27"/>
      <c r="N2215" s="83" t="s">
        <v>1292</v>
      </c>
      <c r="P2215" t="str">
        <f>VLOOKUP(B2215,PTN!A:B,2,FALSE)</f>
        <v>UNIVERSITAS NUSA CENDANA</v>
      </c>
      <c r="Q2215" t="str">
        <f t="shared" si="34"/>
        <v>UNIVERSITAS NUSA CENDANAPEND. ANAK USIA DINI</v>
      </c>
    </row>
    <row r="2216" spans="1:17" ht="15.75" thickBot="1" x14ac:dyDescent="0.3">
      <c r="A2216" s="7">
        <v>2215</v>
      </c>
      <c r="B2216" s="6">
        <v>68</v>
      </c>
      <c r="C2216" s="12">
        <v>6312027</v>
      </c>
      <c r="D2216" t="s">
        <v>228</v>
      </c>
      <c r="E2216" s="12">
        <v>50</v>
      </c>
      <c r="F2216" s="10" t="s">
        <v>13</v>
      </c>
      <c r="I2216" s="87"/>
      <c r="J2216" s="138" t="s">
        <v>1292</v>
      </c>
      <c r="K2216" s="138" t="s">
        <v>1292</v>
      </c>
      <c r="L2216" s="138" t="s">
        <v>1292</v>
      </c>
      <c r="M2216" s="28"/>
      <c r="N2216" s="83" t="s">
        <v>1292</v>
      </c>
      <c r="P2216" t="str">
        <f>VLOOKUP(B2216,PTN!A:B,2,FALSE)</f>
        <v>UNIVERSITAS NUSA CENDANA</v>
      </c>
      <c r="Q2216" t="str">
        <f t="shared" si="34"/>
        <v>UNIVERSITAS NUSA CENDANAPEND. BHS. INGGRIS</v>
      </c>
    </row>
    <row r="2217" spans="1:17" ht="15.75" thickBot="1" x14ac:dyDescent="0.3">
      <c r="A2217" s="7">
        <v>2216</v>
      </c>
      <c r="B2217" s="6">
        <v>68</v>
      </c>
      <c r="C2217" s="13">
        <v>6312012</v>
      </c>
      <c r="D2217" t="s">
        <v>613</v>
      </c>
      <c r="E2217" s="13">
        <v>50</v>
      </c>
      <c r="F2217" s="10" t="s">
        <v>13</v>
      </c>
      <c r="I2217" s="26"/>
      <c r="J2217" s="138" t="s">
        <v>1292</v>
      </c>
      <c r="K2217" s="138" t="s">
        <v>1292</v>
      </c>
      <c r="L2217" s="138" t="s">
        <v>1292</v>
      </c>
      <c r="M2217" s="27"/>
      <c r="N2217" s="83" t="s">
        <v>1292</v>
      </c>
      <c r="P2217" t="str">
        <f>VLOOKUP(B2217,PTN!A:B,2,FALSE)</f>
        <v>UNIVERSITAS NUSA CENDANA</v>
      </c>
      <c r="Q2217" t="str">
        <f t="shared" si="34"/>
        <v>UNIVERSITAS NUSA CENDANAPEND. BHS &amp; SASTRA INDO.</v>
      </c>
    </row>
    <row r="2218" spans="1:17" ht="15.75" thickBot="1" x14ac:dyDescent="0.3">
      <c r="A2218" s="7">
        <v>2217</v>
      </c>
      <c r="B2218" s="6">
        <v>68</v>
      </c>
      <c r="C2218" s="12">
        <v>6312043</v>
      </c>
      <c r="D2218" t="s">
        <v>229</v>
      </c>
      <c r="E2218" s="12">
        <v>38</v>
      </c>
      <c r="F2218" s="10" t="s">
        <v>13</v>
      </c>
      <c r="I2218" s="87"/>
      <c r="J2218" s="138" t="s">
        <v>1292</v>
      </c>
      <c r="K2218" s="138" t="s">
        <v>1292</v>
      </c>
      <c r="L2218" s="138" t="s">
        <v>1292</v>
      </c>
      <c r="M2218" s="28"/>
      <c r="N2218" s="83" t="s">
        <v>1292</v>
      </c>
      <c r="P2218" t="str">
        <f>VLOOKUP(B2218,PTN!A:B,2,FALSE)</f>
        <v>UNIVERSITAS NUSA CENDANA</v>
      </c>
      <c r="Q2218" t="str">
        <f t="shared" si="34"/>
        <v>UNIVERSITAS NUSA CENDANAPEND. EKONOMI</v>
      </c>
    </row>
    <row r="2219" spans="1:17" ht="15.75" thickBot="1" x14ac:dyDescent="0.3">
      <c r="A2219" s="7">
        <v>2218</v>
      </c>
      <c r="B2219" s="6">
        <v>68</v>
      </c>
      <c r="C2219" s="13">
        <v>6312051</v>
      </c>
      <c r="D2219" t="s">
        <v>285</v>
      </c>
      <c r="E2219" s="13">
        <v>38</v>
      </c>
      <c r="F2219" s="10" t="s">
        <v>13</v>
      </c>
      <c r="I2219" s="26"/>
      <c r="J2219" s="138" t="s">
        <v>1292</v>
      </c>
      <c r="K2219" s="138" t="s">
        <v>1292</v>
      </c>
      <c r="L2219" s="138" t="s">
        <v>1292</v>
      </c>
      <c r="M2219" s="27"/>
      <c r="N2219" s="83" t="s">
        <v>1292</v>
      </c>
      <c r="P2219" t="str">
        <f>VLOOKUP(B2219,PTN!A:B,2,FALSE)</f>
        <v>UNIVERSITAS NUSA CENDANA</v>
      </c>
      <c r="Q2219" t="str">
        <f t="shared" si="34"/>
        <v>UNIVERSITAS NUSA CENDANAPEND. GEOGRAFI</v>
      </c>
    </row>
    <row r="2220" spans="1:17" ht="15.75" thickBot="1" x14ac:dyDescent="0.3">
      <c r="A2220" s="7">
        <v>2219</v>
      </c>
      <c r="B2220" s="6">
        <v>68</v>
      </c>
      <c r="C2220" s="12">
        <v>6312101</v>
      </c>
      <c r="D2220" t="s">
        <v>243</v>
      </c>
      <c r="E2220" s="12">
        <v>100</v>
      </c>
      <c r="F2220" s="10" t="s">
        <v>13</v>
      </c>
      <c r="I2220" s="87"/>
      <c r="J2220" s="138" t="s">
        <v>1292</v>
      </c>
      <c r="K2220" s="138" t="s">
        <v>1292</v>
      </c>
      <c r="L2220" s="138" t="s">
        <v>1292</v>
      </c>
      <c r="M2220" s="28"/>
      <c r="N2220" s="83" t="s">
        <v>1292</v>
      </c>
      <c r="P2220" t="str">
        <f>VLOOKUP(B2220,PTN!A:B,2,FALSE)</f>
        <v>UNIVERSITAS NUSA CENDANA</v>
      </c>
      <c r="Q2220" t="str">
        <f t="shared" si="34"/>
        <v>UNIVERSITAS NUSA CENDANAPEND. GURU SEKOLAH DASAR</v>
      </c>
    </row>
    <row r="2221" spans="1:17" ht="15.75" thickBot="1" x14ac:dyDescent="0.3">
      <c r="A2221" s="7">
        <v>2220</v>
      </c>
      <c r="B2221" s="6">
        <v>68</v>
      </c>
      <c r="C2221" s="13">
        <v>6312082</v>
      </c>
      <c r="D2221" t="s">
        <v>232</v>
      </c>
      <c r="E2221" s="13">
        <v>20</v>
      </c>
      <c r="F2221" s="10" t="s">
        <v>13</v>
      </c>
      <c r="I2221" s="26"/>
      <c r="J2221" s="138" t="s">
        <v>1292</v>
      </c>
      <c r="K2221" s="138" t="s">
        <v>1292</v>
      </c>
      <c r="L2221" s="138" t="s">
        <v>1292</v>
      </c>
      <c r="M2221" s="27"/>
      <c r="N2221" s="83" t="s">
        <v>1292</v>
      </c>
      <c r="P2221" t="str">
        <f>VLOOKUP(B2221,PTN!A:B,2,FALSE)</f>
        <v>UNIVERSITAS NUSA CENDANA</v>
      </c>
      <c r="Q2221" t="str">
        <f t="shared" si="34"/>
        <v>UNIVERSITAS NUSA CENDANAPEND. LUAR SEKOLAH</v>
      </c>
    </row>
    <row r="2222" spans="1:17" ht="15.75" thickBot="1" x14ac:dyDescent="0.3">
      <c r="A2222" s="7">
        <v>2221</v>
      </c>
      <c r="B2222" s="6">
        <v>68</v>
      </c>
      <c r="C2222" s="12">
        <v>6312066</v>
      </c>
      <c r="D2222" t="s">
        <v>233</v>
      </c>
      <c r="E2222" s="12">
        <v>38</v>
      </c>
      <c r="F2222" s="10" t="s">
        <v>13</v>
      </c>
      <c r="I2222" s="87"/>
      <c r="J2222" s="138" t="s">
        <v>1292</v>
      </c>
      <c r="K2222" s="138" t="s">
        <v>1292</v>
      </c>
      <c r="L2222" s="138" t="s">
        <v>1292</v>
      </c>
      <c r="M2222" s="28"/>
      <c r="N2222" s="83" t="s">
        <v>1292</v>
      </c>
      <c r="P2222" t="str">
        <f>VLOOKUP(B2222,PTN!A:B,2,FALSE)</f>
        <v>UNIVERSITAS NUSA CENDANA</v>
      </c>
      <c r="Q2222" t="str">
        <f t="shared" si="34"/>
        <v>UNIVERSITAS NUSA CENDANAPEND. SEJARAH</v>
      </c>
    </row>
    <row r="2223" spans="1:17" ht="15.75" thickBot="1" x14ac:dyDescent="0.3">
      <c r="A2223" s="7">
        <v>2222</v>
      </c>
      <c r="B2223" s="6">
        <v>68</v>
      </c>
      <c r="C2223" s="13">
        <v>6312171</v>
      </c>
      <c r="D2223" t="s">
        <v>206</v>
      </c>
      <c r="E2223" s="13">
        <v>38</v>
      </c>
      <c r="F2223" s="10" t="s">
        <v>13</v>
      </c>
      <c r="I2223" s="26"/>
      <c r="J2223" s="138" t="s">
        <v>1292</v>
      </c>
      <c r="K2223" s="138" t="s">
        <v>1292</v>
      </c>
      <c r="L2223" s="138" t="s">
        <v>1292</v>
      </c>
      <c r="M2223" s="27"/>
      <c r="N2223" s="83" t="s">
        <v>1292</v>
      </c>
      <c r="P2223" t="str">
        <f>VLOOKUP(B2223,PTN!A:B,2,FALSE)</f>
        <v>UNIVERSITAS NUSA CENDANA</v>
      </c>
      <c r="Q2223" t="str">
        <f t="shared" si="34"/>
        <v>UNIVERSITAS NUSA CENDANAPENJASKESREK</v>
      </c>
    </row>
    <row r="2224" spans="1:17" ht="15.75" thickBot="1" x14ac:dyDescent="0.3">
      <c r="A2224" s="7">
        <v>2223</v>
      </c>
      <c r="B2224" s="6">
        <v>68</v>
      </c>
      <c r="C2224" s="12">
        <v>6312035</v>
      </c>
      <c r="D2224" t="s">
        <v>262</v>
      </c>
      <c r="E2224" s="12">
        <v>38</v>
      </c>
      <c r="F2224" s="10" t="s">
        <v>13</v>
      </c>
      <c r="I2224" s="87"/>
      <c r="J2224" s="138" t="s">
        <v>1292</v>
      </c>
      <c r="K2224" s="138" t="s">
        <v>1292</v>
      </c>
      <c r="L2224" s="138" t="s">
        <v>1292</v>
      </c>
      <c r="M2224" s="28"/>
      <c r="N2224" s="83" t="s">
        <v>1292</v>
      </c>
      <c r="P2224" t="str">
        <f>VLOOKUP(B2224,PTN!A:B,2,FALSE)</f>
        <v>UNIVERSITAS NUSA CENDANA</v>
      </c>
      <c r="Q2224" t="str">
        <f t="shared" si="34"/>
        <v>UNIVERSITAS NUSA CENDANAPPKN</v>
      </c>
    </row>
    <row r="2225" spans="1:17" ht="15.75" thickBot="1" x14ac:dyDescent="0.3">
      <c r="A2225" s="7">
        <v>2224</v>
      </c>
      <c r="B2225" s="6">
        <v>68</v>
      </c>
      <c r="C2225" s="13">
        <v>6312213</v>
      </c>
      <c r="D2225" t="s">
        <v>36</v>
      </c>
      <c r="E2225" s="13">
        <v>75</v>
      </c>
      <c r="F2225" s="10" t="s">
        <v>13</v>
      </c>
      <c r="I2225" s="26"/>
      <c r="J2225" s="138" t="s">
        <v>1292</v>
      </c>
      <c r="K2225" s="138" t="s">
        <v>1292</v>
      </c>
      <c r="L2225" s="138" t="s">
        <v>1292</v>
      </c>
      <c r="M2225" s="27"/>
      <c r="N2225" s="83" t="s">
        <v>1292</v>
      </c>
      <c r="P2225" t="str">
        <f>VLOOKUP(B2225,PTN!A:B,2,FALSE)</f>
        <v>UNIVERSITAS NUSA CENDANA</v>
      </c>
      <c r="Q2225" t="str">
        <f t="shared" si="34"/>
        <v>UNIVERSITAS NUSA CENDANAPSIKOLOGI</v>
      </c>
    </row>
    <row r="2226" spans="1:17" ht="15.75" thickBot="1" x14ac:dyDescent="0.3">
      <c r="A2226" s="7">
        <v>2225</v>
      </c>
      <c r="B2226" s="6">
        <v>68</v>
      </c>
      <c r="C2226" s="14">
        <v>6312147</v>
      </c>
      <c r="D2226" t="s">
        <v>63</v>
      </c>
      <c r="E2226" s="14">
        <v>32</v>
      </c>
      <c r="F2226" s="10" t="s">
        <v>13</v>
      </c>
      <c r="I2226" s="87"/>
      <c r="J2226" s="138" t="s">
        <v>1292</v>
      </c>
      <c r="K2226" s="138" t="s">
        <v>1292</v>
      </c>
      <c r="L2226" s="138" t="s">
        <v>1292</v>
      </c>
      <c r="M2226" s="28"/>
      <c r="N2226" s="83" t="s">
        <v>1292</v>
      </c>
      <c r="P2226" t="str">
        <f>VLOOKUP(B2226,PTN!A:B,2,FALSE)</f>
        <v>UNIVERSITAS NUSA CENDANA</v>
      </c>
      <c r="Q2226" t="str">
        <f t="shared" si="34"/>
        <v>UNIVERSITAS NUSA CENDANASOSIOLOGI</v>
      </c>
    </row>
    <row r="2227" spans="1:17" ht="16.5" thickTop="1" thickBot="1" x14ac:dyDescent="0.3">
      <c r="A2227" s="7">
        <v>2226</v>
      </c>
      <c r="B2227" s="6">
        <v>69</v>
      </c>
      <c r="C2227" s="12">
        <v>6321011</v>
      </c>
      <c r="D2227" t="s">
        <v>37</v>
      </c>
      <c r="E2227" s="12">
        <v>25</v>
      </c>
      <c r="F2227" s="10" t="s">
        <v>20</v>
      </c>
      <c r="I2227" s="20"/>
      <c r="J2227" s="138" t="s">
        <v>1292</v>
      </c>
      <c r="K2227" s="138" t="s">
        <v>1292</v>
      </c>
      <c r="L2227" s="138" t="s">
        <v>1292</v>
      </c>
      <c r="M2227" s="21"/>
      <c r="N2227" s="83" t="s">
        <v>1292</v>
      </c>
      <c r="P2227" t="str">
        <f>VLOOKUP(B2227,PTN!A:B,2,FALSE)</f>
        <v>UNIVERSITAS TIMOR</v>
      </c>
      <c r="Q2227" t="str">
        <f t="shared" si="34"/>
        <v>UNIVERSITAS TIMORAGRIBISNIS</v>
      </c>
    </row>
    <row r="2228" spans="1:17" ht="15.75" thickBot="1" x14ac:dyDescent="0.3">
      <c r="A2228" s="7">
        <v>2227</v>
      </c>
      <c r="B2228" s="6">
        <v>69</v>
      </c>
      <c r="C2228" s="13">
        <v>6321026</v>
      </c>
      <c r="D2228" t="s">
        <v>64</v>
      </c>
      <c r="E2228" s="13">
        <v>25</v>
      </c>
      <c r="F2228" s="10" t="s">
        <v>20</v>
      </c>
      <c r="I2228" s="22"/>
      <c r="J2228" s="138" t="s">
        <v>1292</v>
      </c>
      <c r="K2228" s="138" t="s">
        <v>1292</v>
      </c>
      <c r="L2228" s="138" t="s">
        <v>1292</v>
      </c>
      <c r="M2228" s="21"/>
      <c r="N2228" s="83" t="s">
        <v>1292</v>
      </c>
      <c r="P2228" t="str">
        <f>VLOOKUP(B2228,PTN!A:B,2,FALSE)</f>
        <v>UNIVERSITAS TIMOR</v>
      </c>
      <c r="Q2228" t="str">
        <f t="shared" si="34"/>
        <v>UNIVERSITAS TIMORAGROTEKNOLOGI</v>
      </c>
    </row>
    <row r="2229" spans="1:17" ht="16.5" thickTop="1" thickBot="1" x14ac:dyDescent="0.3">
      <c r="A2229" s="7">
        <v>2228</v>
      </c>
      <c r="B2229" s="6">
        <v>69</v>
      </c>
      <c r="C2229" s="12">
        <v>6321065</v>
      </c>
      <c r="D2229" t="s">
        <v>21</v>
      </c>
      <c r="E2229" s="12">
        <v>16</v>
      </c>
      <c r="F2229" s="10" t="s">
        <v>20</v>
      </c>
      <c r="I2229" s="23"/>
      <c r="J2229" s="138" t="s">
        <v>1292</v>
      </c>
      <c r="K2229" s="138" t="s">
        <v>1292</v>
      </c>
      <c r="L2229" s="138" t="s">
        <v>1292</v>
      </c>
      <c r="M2229" s="25"/>
      <c r="N2229" s="83" t="s">
        <v>1292</v>
      </c>
      <c r="P2229" t="str">
        <f>VLOOKUP(B2229,PTN!A:B,2,FALSE)</f>
        <v>UNIVERSITAS TIMOR</v>
      </c>
      <c r="Q2229" t="str">
        <f t="shared" si="34"/>
        <v>UNIVERSITAS TIMORBIOLOGI</v>
      </c>
    </row>
    <row r="2230" spans="1:17" ht="16.5" thickTop="1" thickBot="1" x14ac:dyDescent="0.3">
      <c r="A2230" s="7">
        <v>2229</v>
      </c>
      <c r="B2230" s="6">
        <v>69</v>
      </c>
      <c r="C2230" s="13">
        <v>6321081</v>
      </c>
      <c r="D2230" t="s">
        <v>22</v>
      </c>
      <c r="E2230" s="13">
        <v>20</v>
      </c>
      <c r="F2230" s="10" t="s">
        <v>20</v>
      </c>
      <c r="I2230" s="26"/>
      <c r="J2230" s="138" t="s">
        <v>1292</v>
      </c>
      <c r="K2230" s="138" t="s">
        <v>1292</v>
      </c>
      <c r="L2230" s="138" t="s">
        <v>1292</v>
      </c>
      <c r="M2230" s="27"/>
      <c r="N2230" s="83" t="s">
        <v>1292</v>
      </c>
      <c r="P2230" t="str">
        <f>VLOOKUP(B2230,PTN!A:B,2,FALSE)</f>
        <v>UNIVERSITAS TIMOR</v>
      </c>
      <c r="Q2230" t="str">
        <f t="shared" si="34"/>
        <v>UNIVERSITAS TIMORKIMIA</v>
      </c>
    </row>
    <row r="2231" spans="1:17" ht="15.75" thickBot="1" x14ac:dyDescent="0.3">
      <c r="A2231" s="7">
        <v>2230</v>
      </c>
      <c r="B2231" s="6">
        <v>69</v>
      </c>
      <c r="C2231" s="12">
        <v>6321073</v>
      </c>
      <c r="D2231" t="s">
        <v>66</v>
      </c>
      <c r="E2231" s="12">
        <v>16</v>
      </c>
      <c r="F2231" s="10" t="s">
        <v>20</v>
      </c>
      <c r="I2231" s="87"/>
      <c r="J2231" s="138" t="s">
        <v>1292</v>
      </c>
      <c r="K2231" s="138" t="s">
        <v>1292</v>
      </c>
      <c r="L2231" s="138" t="s">
        <v>1292</v>
      </c>
      <c r="M2231" s="28"/>
      <c r="N2231" s="83" t="s">
        <v>1292</v>
      </c>
      <c r="P2231" t="str">
        <f>VLOOKUP(B2231,PTN!A:B,2,FALSE)</f>
        <v>UNIVERSITAS TIMOR</v>
      </c>
      <c r="Q2231" t="str">
        <f t="shared" si="34"/>
        <v>UNIVERSITAS TIMORMATEMATIKA</v>
      </c>
    </row>
    <row r="2232" spans="1:17" ht="15.75" thickBot="1" x14ac:dyDescent="0.3">
      <c r="A2232" s="7">
        <v>2231</v>
      </c>
      <c r="B2232" s="6">
        <v>69</v>
      </c>
      <c r="C2232" s="13">
        <v>6321042</v>
      </c>
      <c r="D2232" t="s">
        <v>214</v>
      </c>
      <c r="E2232" s="13">
        <v>20</v>
      </c>
      <c r="F2232" s="10" t="s">
        <v>20</v>
      </c>
      <c r="I2232" s="26"/>
      <c r="J2232" s="138" t="s">
        <v>1292</v>
      </c>
      <c r="K2232" s="138" t="s">
        <v>1292</v>
      </c>
      <c r="L2232" s="138" t="s">
        <v>1292</v>
      </c>
      <c r="M2232" s="27"/>
      <c r="N2232" s="83" t="s">
        <v>1292</v>
      </c>
      <c r="P2232" t="str">
        <f>VLOOKUP(B2232,PTN!A:B,2,FALSE)</f>
        <v>UNIVERSITAS TIMOR</v>
      </c>
      <c r="Q2232" t="str">
        <f t="shared" si="34"/>
        <v>UNIVERSITAS TIMORPEND. BIOLOGI</v>
      </c>
    </row>
    <row r="2233" spans="1:17" ht="15.75" thickBot="1" x14ac:dyDescent="0.3">
      <c r="A2233" s="7">
        <v>2232</v>
      </c>
      <c r="B2233" s="6">
        <v>69</v>
      </c>
      <c r="C2233" s="12">
        <v>6321057</v>
      </c>
      <c r="D2233" t="s">
        <v>218</v>
      </c>
      <c r="E2233" s="12">
        <v>20</v>
      </c>
      <c r="F2233" s="10" t="s">
        <v>20</v>
      </c>
      <c r="I2233" s="87"/>
      <c r="J2233" s="138" t="s">
        <v>1292</v>
      </c>
      <c r="K2233" s="138" t="s">
        <v>1292</v>
      </c>
      <c r="L2233" s="138" t="s">
        <v>1292</v>
      </c>
      <c r="M2233" s="28"/>
      <c r="N2233" s="83" t="s">
        <v>1292</v>
      </c>
      <c r="P2233" t="str">
        <f>VLOOKUP(B2233,PTN!A:B,2,FALSE)</f>
        <v>UNIVERSITAS TIMOR</v>
      </c>
      <c r="Q2233" t="str">
        <f t="shared" si="34"/>
        <v>UNIVERSITAS TIMORPEND. MATEMATIKA</v>
      </c>
    </row>
    <row r="2234" spans="1:17" ht="15.75" thickBot="1" x14ac:dyDescent="0.3">
      <c r="A2234" s="7">
        <v>2233</v>
      </c>
      <c r="B2234" s="6">
        <v>69</v>
      </c>
      <c r="C2234" s="13">
        <v>6321034</v>
      </c>
      <c r="D2234" t="s">
        <v>88</v>
      </c>
      <c r="E2234" s="13">
        <v>25</v>
      </c>
      <c r="F2234" s="10" t="s">
        <v>20</v>
      </c>
      <c r="I2234" s="26"/>
      <c r="J2234" s="138" t="s">
        <v>1292</v>
      </c>
      <c r="K2234" s="138" t="s">
        <v>1292</v>
      </c>
      <c r="L2234" s="138" t="s">
        <v>1292</v>
      </c>
      <c r="M2234" s="27"/>
      <c r="N2234" s="83" t="s">
        <v>1292</v>
      </c>
      <c r="P2234" t="str">
        <f>VLOOKUP(B2234,PTN!A:B,2,FALSE)</f>
        <v>UNIVERSITAS TIMOR</v>
      </c>
      <c r="Q2234" t="str">
        <f t="shared" si="34"/>
        <v>UNIVERSITAS TIMORPETERNAKAN</v>
      </c>
    </row>
    <row r="2235" spans="1:17" ht="15.75" thickBot="1" x14ac:dyDescent="0.3">
      <c r="A2235" s="7">
        <v>2234</v>
      </c>
      <c r="B2235" s="6">
        <v>69</v>
      </c>
      <c r="C2235" s="14">
        <v>6321096</v>
      </c>
      <c r="D2235" t="s">
        <v>26</v>
      </c>
      <c r="E2235" s="14">
        <v>32</v>
      </c>
      <c r="F2235" s="10" t="s">
        <v>20</v>
      </c>
      <c r="I2235" s="20"/>
      <c r="J2235" s="138" t="s">
        <v>1292</v>
      </c>
      <c r="K2235" s="138" t="s">
        <v>1292</v>
      </c>
      <c r="L2235" s="138" t="s">
        <v>1292</v>
      </c>
      <c r="M2235" s="21"/>
      <c r="N2235" s="83" t="s">
        <v>1292</v>
      </c>
      <c r="P2235" t="str">
        <f>VLOOKUP(B2235,PTN!A:B,2,FALSE)</f>
        <v>UNIVERSITAS TIMOR</v>
      </c>
      <c r="Q2235" t="str">
        <f t="shared" si="34"/>
        <v>UNIVERSITAS TIMORTEKNOLOGI INFORMASI</v>
      </c>
    </row>
    <row r="2236" spans="1:17" ht="16.5" thickTop="1" thickBot="1" x14ac:dyDescent="0.3">
      <c r="A2236" s="7">
        <v>2235</v>
      </c>
      <c r="B2236" s="6">
        <v>69</v>
      </c>
      <c r="C2236" s="12">
        <v>6322014</v>
      </c>
      <c r="D2236" t="s">
        <v>614</v>
      </c>
      <c r="E2236" s="12">
        <v>56</v>
      </c>
      <c r="F2236" s="10" t="s">
        <v>13</v>
      </c>
      <c r="I2236" s="22"/>
      <c r="J2236" s="138" t="s">
        <v>1292</v>
      </c>
      <c r="K2236" s="138" t="s">
        <v>1292</v>
      </c>
      <c r="L2236" s="138" t="s">
        <v>1292</v>
      </c>
      <c r="M2236" s="21"/>
      <c r="N2236" s="83" t="s">
        <v>1292</v>
      </c>
      <c r="P2236" t="str">
        <f>VLOOKUP(B2236,PTN!A:B,2,FALSE)</f>
        <v>UNIVERSITAS TIMOR</v>
      </c>
      <c r="Q2236" t="str">
        <f t="shared" si="34"/>
        <v>UNIVERSITAS TIMORADM. NEGARA</v>
      </c>
    </row>
    <row r="2237" spans="1:17" ht="16.5" thickTop="1" thickBot="1" x14ac:dyDescent="0.3">
      <c r="A2237" s="7">
        <v>2236</v>
      </c>
      <c r="B2237" s="6">
        <v>69</v>
      </c>
      <c r="C2237" s="13">
        <v>6322061</v>
      </c>
      <c r="D2237" t="s">
        <v>615</v>
      </c>
      <c r="E2237" s="13">
        <v>24</v>
      </c>
      <c r="F2237" s="10" t="s">
        <v>13</v>
      </c>
      <c r="I2237" s="23"/>
      <c r="J2237" s="138" t="s">
        <v>1292</v>
      </c>
      <c r="K2237" s="138" t="s">
        <v>1292</v>
      </c>
      <c r="L2237" s="138" t="s">
        <v>1292</v>
      </c>
      <c r="M2237" s="25"/>
      <c r="N2237" s="83" t="s">
        <v>1292</v>
      </c>
      <c r="P2237" t="str">
        <f>VLOOKUP(B2237,PTN!A:B,2,FALSE)</f>
        <v>UNIVERSITAS TIMOR</v>
      </c>
      <c r="Q2237" t="str">
        <f t="shared" si="34"/>
        <v>UNIVERSITAS TIMOREKO. PEMBANGUNAN</v>
      </c>
    </row>
    <row r="2238" spans="1:17" ht="16.5" thickTop="1" thickBot="1" x14ac:dyDescent="0.3">
      <c r="A2238" s="7">
        <v>2237</v>
      </c>
      <c r="B2238" s="6">
        <v>69</v>
      </c>
      <c r="C2238" s="12">
        <v>6322022</v>
      </c>
      <c r="D2238" t="s">
        <v>97</v>
      </c>
      <c r="E2238" s="12">
        <v>48</v>
      </c>
      <c r="F2238" s="10" t="s">
        <v>13</v>
      </c>
      <c r="I2238" s="26"/>
      <c r="J2238" s="138" t="s">
        <v>1292</v>
      </c>
      <c r="K2238" s="138" t="s">
        <v>1292</v>
      </c>
      <c r="L2238" s="138" t="s">
        <v>1292</v>
      </c>
      <c r="M2238" s="27"/>
      <c r="N2238" s="83" t="s">
        <v>1292</v>
      </c>
      <c r="P2238" t="str">
        <f>VLOOKUP(B2238,PTN!A:B,2,FALSE)</f>
        <v>UNIVERSITAS TIMOR</v>
      </c>
      <c r="Q2238" t="str">
        <f t="shared" si="34"/>
        <v>UNIVERSITAS TIMORILMU PEMERINTAHAN</v>
      </c>
    </row>
    <row r="2239" spans="1:17" ht="15.75" thickBot="1" x14ac:dyDescent="0.3">
      <c r="A2239" s="7">
        <v>2238</v>
      </c>
      <c r="B2239" s="6">
        <v>69</v>
      </c>
      <c r="C2239" s="13">
        <v>6322053</v>
      </c>
      <c r="D2239" t="s">
        <v>61</v>
      </c>
      <c r="E2239" s="13">
        <v>24</v>
      </c>
      <c r="F2239" s="10" t="s">
        <v>13</v>
      </c>
      <c r="I2239" s="87"/>
      <c r="J2239" s="138" t="s">
        <v>1292</v>
      </c>
      <c r="K2239" s="138" t="s">
        <v>1292</v>
      </c>
      <c r="L2239" s="138" t="s">
        <v>1292</v>
      </c>
      <c r="M2239" s="28"/>
      <c r="N2239" s="83" t="s">
        <v>1292</v>
      </c>
      <c r="P2239" t="str">
        <f>VLOOKUP(B2239,PTN!A:B,2,FALSE)</f>
        <v>UNIVERSITAS TIMOR</v>
      </c>
      <c r="Q2239" t="str">
        <f t="shared" si="34"/>
        <v>UNIVERSITAS TIMORMANAJEMEN</v>
      </c>
    </row>
    <row r="2240" spans="1:17" ht="15.75" thickBot="1" x14ac:dyDescent="0.3">
      <c r="A2240" s="7">
        <v>2239</v>
      </c>
      <c r="B2240" s="6">
        <v>69</v>
      </c>
      <c r="C2240" s="12">
        <v>6322037</v>
      </c>
      <c r="D2240" t="s">
        <v>283</v>
      </c>
      <c r="E2240" s="12">
        <v>20</v>
      </c>
      <c r="F2240" s="10" t="s">
        <v>13</v>
      </c>
      <c r="I2240" s="26"/>
      <c r="J2240" s="138" t="s">
        <v>1292</v>
      </c>
      <c r="K2240" s="138" t="s">
        <v>1292</v>
      </c>
      <c r="L2240" s="138" t="s">
        <v>1292</v>
      </c>
      <c r="M2240" s="27"/>
      <c r="N2240" s="83" t="s">
        <v>1292</v>
      </c>
      <c r="P2240" t="str">
        <f>VLOOKUP(B2240,PTN!A:B,2,FALSE)</f>
        <v>UNIVERSITAS TIMOR</v>
      </c>
      <c r="Q2240" t="str">
        <f t="shared" si="34"/>
        <v>UNIVERSITAS TIMORPEND. BAHASA INDONESIA</v>
      </c>
    </row>
    <row r="2241" spans="1:17" ht="15.75" thickBot="1" x14ac:dyDescent="0.3">
      <c r="A2241" s="7">
        <v>2240</v>
      </c>
      <c r="B2241" s="6">
        <v>69</v>
      </c>
      <c r="C2241" s="16">
        <v>6322045</v>
      </c>
      <c r="D2241" t="s">
        <v>242</v>
      </c>
      <c r="E2241" s="16">
        <v>20</v>
      </c>
      <c r="F2241" s="10" t="s">
        <v>13</v>
      </c>
      <c r="I2241" s="87"/>
      <c r="J2241" s="138" t="s">
        <v>1292</v>
      </c>
      <c r="K2241" s="138" t="s">
        <v>1292</v>
      </c>
      <c r="L2241" s="138" t="s">
        <v>1292</v>
      </c>
      <c r="M2241" s="28"/>
      <c r="N2241" s="83" t="s">
        <v>1292</v>
      </c>
      <c r="P2241" t="str">
        <f>VLOOKUP(B2241,PTN!A:B,2,FALSE)</f>
        <v>UNIVERSITAS TIMOR</v>
      </c>
      <c r="Q2241" t="str">
        <f t="shared" si="34"/>
        <v>UNIVERSITAS TIMORPEND. BAHASA INGGRIS</v>
      </c>
    </row>
    <row r="2242" spans="1:17" ht="16.5" thickTop="1" thickBot="1" x14ac:dyDescent="0.3">
      <c r="A2242" s="7">
        <v>2241</v>
      </c>
      <c r="B2242" s="6">
        <v>58</v>
      </c>
      <c r="C2242" s="12">
        <v>5111231</v>
      </c>
      <c r="D2242" t="s">
        <v>64</v>
      </c>
      <c r="E2242" s="12">
        <v>40</v>
      </c>
      <c r="F2242" s="10" t="s">
        <v>20</v>
      </c>
      <c r="I2242" s="26"/>
      <c r="J2242" s="138" t="s">
        <v>1292</v>
      </c>
      <c r="K2242" s="138" t="s">
        <v>1292</v>
      </c>
      <c r="L2242" s="138" t="s">
        <v>1292</v>
      </c>
      <c r="M2242" s="21"/>
      <c r="N2242" s="83" t="s">
        <v>1292</v>
      </c>
      <c r="P2242" t="str">
        <f>VLOOKUP(B2242,PTN!A:B,2,FALSE)</f>
        <v>UNIVERSITAS TANJUNGPURA</v>
      </c>
      <c r="Q2242" t="str">
        <f t="shared" si="34"/>
        <v>UNIVERSITAS TANJUNGPURAAGROTEKNOLOGI</v>
      </c>
    </row>
    <row r="2243" spans="1:17" ht="15.75" thickBot="1" x14ac:dyDescent="0.3">
      <c r="A2243" s="7">
        <v>2242</v>
      </c>
      <c r="B2243" s="6">
        <v>58</v>
      </c>
      <c r="C2243" s="13">
        <v>5111196</v>
      </c>
      <c r="D2243" t="s">
        <v>21</v>
      </c>
      <c r="E2243" s="13">
        <v>35</v>
      </c>
      <c r="F2243" s="10" t="s">
        <v>20</v>
      </c>
      <c r="I2243" s="41"/>
      <c r="J2243" s="138" t="s">
        <v>1292</v>
      </c>
      <c r="K2243" s="138" t="s">
        <v>1292</v>
      </c>
      <c r="L2243" s="138" t="s">
        <v>1292</v>
      </c>
      <c r="M2243" s="21"/>
      <c r="N2243" s="83" t="s">
        <v>1292</v>
      </c>
      <c r="P2243" t="str">
        <f>VLOOKUP(B2243,PTN!A:B,2,FALSE)</f>
        <v>UNIVERSITAS TANJUNGPURA</v>
      </c>
      <c r="Q2243" t="str">
        <f t="shared" ref="Q2243:Q2306" si="35">P2243&amp;D2243</f>
        <v>UNIVERSITAS TANJUNGPURABIOLOGI</v>
      </c>
    </row>
    <row r="2244" spans="1:17" ht="16.5" thickTop="1" thickBot="1" x14ac:dyDescent="0.3">
      <c r="A2244" s="7">
        <v>2243</v>
      </c>
      <c r="B2244" s="6">
        <v>58</v>
      </c>
      <c r="C2244" s="12">
        <v>5111215</v>
      </c>
      <c r="D2244" t="s">
        <v>77</v>
      </c>
      <c r="E2244" s="12">
        <v>27</v>
      </c>
      <c r="F2244" s="10" t="s">
        <v>20</v>
      </c>
      <c r="J2244" s="138">
        <v>610.24</v>
      </c>
      <c r="K2244" s="138">
        <v>618.47500000000002</v>
      </c>
      <c r="L2244" s="138">
        <v>602.005</v>
      </c>
      <c r="M2244" s="24"/>
      <c r="N2244" s="84">
        <v>610.24</v>
      </c>
      <c r="P2244" t="str">
        <f>VLOOKUP(B2244,PTN!A:B,2,FALSE)</f>
        <v>UNIVERSITAS TANJUNGPURA</v>
      </c>
      <c r="Q2244" t="str">
        <f t="shared" si="35"/>
        <v>UNIVERSITAS TANJUNGPURAFARMASI</v>
      </c>
    </row>
    <row r="2245" spans="1:17" ht="16.5" thickTop="1" thickBot="1" x14ac:dyDescent="0.3">
      <c r="A2245" s="7">
        <v>2244</v>
      </c>
      <c r="B2245" s="6">
        <v>58</v>
      </c>
      <c r="C2245" s="13">
        <v>5111173</v>
      </c>
      <c r="D2245" t="s">
        <v>65</v>
      </c>
      <c r="E2245" s="13">
        <v>20</v>
      </c>
      <c r="F2245" s="10" t="s">
        <v>20</v>
      </c>
      <c r="J2245" s="138" t="s">
        <v>1292</v>
      </c>
      <c r="K2245" s="138" t="s">
        <v>1292</v>
      </c>
      <c r="L2245" s="138" t="s">
        <v>1292</v>
      </c>
      <c r="M2245" s="12"/>
      <c r="N2245" s="88" t="s">
        <v>1292</v>
      </c>
      <c r="P2245" t="str">
        <f>VLOOKUP(B2245,PTN!A:B,2,FALSE)</f>
        <v>UNIVERSITAS TANJUNGPURA</v>
      </c>
      <c r="Q2245" t="str">
        <f t="shared" si="35"/>
        <v>UNIVERSITAS TANJUNGPURAFISIKA</v>
      </c>
    </row>
    <row r="2246" spans="1:17" ht="15.75" thickBot="1" x14ac:dyDescent="0.3">
      <c r="A2246" s="7">
        <v>2245</v>
      </c>
      <c r="B2246" s="6">
        <v>58</v>
      </c>
      <c r="C2246" s="12">
        <v>5111262</v>
      </c>
      <c r="D2246" t="s">
        <v>246</v>
      </c>
      <c r="E2246" s="12">
        <v>20</v>
      </c>
      <c r="F2246" s="10" t="s">
        <v>20</v>
      </c>
      <c r="J2246" s="138" t="s">
        <v>1292</v>
      </c>
      <c r="K2246" s="138" t="s">
        <v>1292</v>
      </c>
      <c r="L2246" s="138" t="s">
        <v>1292</v>
      </c>
      <c r="M2246" s="13"/>
      <c r="N2246" s="89" t="s">
        <v>1292</v>
      </c>
      <c r="P2246" t="str">
        <f>VLOOKUP(B2246,PTN!A:B,2,FALSE)</f>
        <v>UNIVERSITAS TANJUNGPURA</v>
      </c>
      <c r="Q2246" t="str">
        <f t="shared" si="35"/>
        <v>UNIVERSITAS TANJUNGPURAGEOFISIKA</v>
      </c>
    </row>
    <row r="2247" spans="1:17" ht="15.75" thickBot="1" x14ac:dyDescent="0.3">
      <c r="A2247" s="7">
        <v>2246</v>
      </c>
      <c r="B2247" s="6">
        <v>58</v>
      </c>
      <c r="C2247" s="13">
        <v>5111293</v>
      </c>
      <c r="D2247" t="s">
        <v>141</v>
      </c>
      <c r="E2247" s="13">
        <v>27</v>
      </c>
      <c r="F2247" s="10" t="s">
        <v>20</v>
      </c>
      <c r="J2247" s="138" t="s">
        <v>1292</v>
      </c>
      <c r="K2247" s="138" t="s">
        <v>1292</v>
      </c>
      <c r="L2247" s="138" t="s">
        <v>1292</v>
      </c>
      <c r="M2247" s="12"/>
      <c r="N2247" s="88" t="s">
        <v>1292</v>
      </c>
      <c r="P2247" t="str">
        <f>VLOOKUP(B2247,PTN!A:B,2,FALSE)</f>
        <v>UNIVERSITAS TANJUNGPURA</v>
      </c>
      <c r="Q2247" t="str">
        <f t="shared" si="35"/>
        <v>UNIVERSITAS TANJUNGPURAILMU DAN TEKNOLOGI PANGAN</v>
      </c>
    </row>
    <row r="2248" spans="1:17" ht="15.75" thickBot="1" x14ac:dyDescent="0.3">
      <c r="A2248" s="7">
        <v>2247</v>
      </c>
      <c r="B2248" s="6">
        <v>58</v>
      </c>
      <c r="C2248" s="12">
        <v>5111277</v>
      </c>
      <c r="D2248" t="s">
        <v>40</v>
      </c>
      <c r="E2248" s="12">
        <v>20</v>
      </c>
      <c r="F2248" s="10" t="s">
        <v>20</v>
      </c>
      <c r="J2248" s="138" t="s">
        <v>1292</v>
      </c>
      <c r="K2248" s="138" t="s">
        <v>1292</v>
      </c>
      <c r="L2248" s="138" t="s">
        <v>1292</v>
      </c>
      <c r="M2248" s="13"/>
      <c r="N2248" s="89" t="s">
        <v>1292</v>
      </c>
      <c r="P2248" t="str">
        <f>VLOOKUP(B2248,PTN!A:B,2,FALSE)</f>
        <v>UNIVERSITAS TANJUNGPURA</v>
      </c>
      <c r="Q2248" t="str">
        <f t="shared" si="35"/>
        <v>UNIVERSITAS TANJUNGPURAILMU KELAUTAN</v>
      </c>
    </row>
    <row r="2249" spans="1:17" ht="15.75" thickBot="1" x14ac:dyDescent="0.3">
      <c r="A2249" s="7">
        <v>2248</v>
      </c>
      <c r="B2249" s="6">
        <v>58</v>
      </c>
      <c r="C2249" s="13">
        <v>5111366</v>
      </c>
      <c r="D2249" t="s">
        <v>79</v>
      </c>
      <c r="E2249" s="13">
        <v>27</v>
      </c>
      <c r="F2249" s="10" t="s">
        <v>20</v>
      </c>
      <c r="J2249" s="138" t="s">
        <v>1292</v>
      </c>
      <c r="K2249" s="138" t="s">
        <v>1292</v>
      </c>
      <c r="L2249" s="138" t="s">
        <v>1292</v>
      </c>
      <c r="M2249" s="12"/>
      <c r="N2249" s="88" t="s">
        <v>1292</v>
      </c>
      <c r="P2249" t="str">
        <f>VLOOKUP(B2249,PTN!A:B,2,FALSE)</f>
        <v>UNIVERSITAS TANJUNGPURA</v>
      </c>
      <c r="Q2249" t="str">
        <f t="shared" si="35"/>
        <v>UNIVERSITAS TANJUNGPURAILMU TANAH</v>
      </c>
    </row>
    <row r="2250" spans="1:17" ht="15.75" thickBot="1" x14ac:dyDescent="0.3">
      <c r="A2250" s="7">
        <v>2249</v>
      </c>
      <c r="B2250" s="6">
        <v>58</v>
      </c>
      <c r="C2250" s="12">
        <v>5111246</v>
      </c>
      <c r="D2250" t="s">
        <v>81</v>
      </c>
      <c r="E2250" s="12">
        <v>100</v>
      </c>
      <c r="F2250" s="10" t="s">
        <v>20</v>
      </c>
      <c r="J2250" s="138" t="s">
        <v>1292</v>
      </c>
      <c r="K2250" s="138" t="s">
        <v>1292</v>
      </c>
      <c r="L2250" s="138" t="s">
        <v>1292</v>
      </c>
      <c r="M2250" s="13"/>
      <c r="N2250" s="89" t="s">
        <v>1292</v>
      </c>
      <c r="P2250" t="str">
        <f>VLOOKUP(B2250,PTN!A:B,2,FALSE)</f>
        <v>UNIVERSITAS TANJUNGPURA</v>
      </c>
      <c r="Q2250" t="str">
        <f t="shared" si="35"/>
        <v>UNIVERSITAS TANJUNGPURAKEHUTANAN</v>
      </c>
    </row>
    <row r="2251" spans="1:17" ht="15.75" thickBot="1" x14ac:dyDescent="0.3">
      <c r="A2251" s="7">
        <v>2250</v>
      </c>
      <c r="B2251" s="6">
        <v>58</v>
      </c>
      <c r="C2251" s="13">
        <v>5111254</v>
      </c>
      <c r="D2251" t="s">
        <v>339</v>
      </c>
      <c r="E2251" s="13">
        <v>20</v>
      </c>
      <c r="F2251" s="10" t="s">
        <v>20</v>
      </c>
      <c r="J2251" s="138" t="s">
        <v>1292</v>
      </c>
      <c r="K2251" s="138" t="s">
        <v>1292</v>
      </c>
      <c r="L2251" s="138" t="s">
        <v>1292</v>
      </c>
      <c r="M2251" s="12"/>
      <c r="N2251" s="88" t="s">
        <v>1292</v>
      </c>
      <c r="P2251" t="str">
        <f>VLOOKUP(B2251,PTN!A:B,2,FALSE)</f>
        <v>UNIVERSITAS TANJUNGPURA</v>
      </c>
      <c r="Q2251" t="str">
        <f t="shared" si="35"/>
        <v>UNIVERSITAS TANJUNGPURAKEPERAWATAN</v>
      </c>
    </row>
    <row r="2252" spans="1:17" ht="15.75" thickBot="1" x14ac:dyDescent="0.3">
      <c r="A2252" s="7">
        <v>2251</v>
      </c>
      <c r="B2252" s="6">
        <v>58</v>
      </c>
      <c r="C2252" s="12">
        <v>5111181</v>
      </c>
      <c r="D2252" t="s">
        <v>22</v>
      </c>
      <c r="E2252" s="12">
        <v>35</v>
      </c>
      <c r="F2252" s="10" t="s">
        <v>20</v>
      </c>
      <c r="J2252" s="138" t="s">
        <v>1292</v>
      </c>
      <c r="K2252" s="138" t="s">
        <v>1292</v>
      </c>
      <c r="L2252" s="138" t="s">
        <v>1292</v>
      </c>
      <c r="M2252" s="13"/>
      <c r="N2252" s="89" t="s">
        <v>1292</v>
      </c>
      <c r="P2252" t="str">
        <f>VLOOKUP(B2252,PTN!A:B,2,FALSE)</f>
        <v>UNIVERSITAS TANJUNGPURA</v>
      </c>
      <c r="Q2252" t="str">
        <f t="shared" si="35"/>
        <v>UNIVERSITAS TANJUNGPURAKIMIA</v>
      </c>
    </row>
    <row r="2253" spans="1:17" ht="15.75" thickBot="1" x14ac:dyDescent="0.3">
      <c r="A2253" s="7">
        <v>2252</v>
      </c>
      <c r="B2253" s="6">
        <v>58</v>
      </c>
      <c r="C2253" s="13">
        <v>5111165</v>
      </c>
      <c r="D2253" t="s">
        <v>66</v>
      </c>
      <c r="E2253" s="13">
        <v>20</v>
      </c>
      <c r="F2253" s="10" t="s">
        <v>20</v>
      </c>
      <c r="J2253" s="138" t="s">
        <v>1292</v>
      </c>
      <c r="K2253" s="138" t="s">
        <v>1292</v>
      </c>
      <c r="L2253" s="138" t="s">
        <v>1292</v>
      </c>
      <c r="M2253" s="12"/>
      <c r="N2253" s="88" t="s">
        <v>1292</v>
      </c>
      <c r="P2253" t="str">
        <f>VLOOKUP(B2253,PTN!A:B,2,FALSE)</f>
        <v>UNIVERSITAS TANJUNGPURA</v>
      </c>
      <c r="Q2253" t="str">
        <f t="shared" si="35"/>
        <v>UNIVERSITAS TANJUNGPURAMATEMATIKA</v>
      </c>
    </row>
    <row r="2254" spans="1:17" ht="15.75" thickBot="1" x14ac:dyDescent="0.3">
      <c r="A2254" s="7">
        <v>2253</v>
      </c>
      <c r="B2254" s="6">
        <v>58</v>
      </c>
      <c r="C2254" s="12">
        <v>5111111</v>
      </c>
      <c r="D2254" t="s">
        <v>214</v>
      </c>
      <c r="E2254" s="12">
        <v>18</v>
      </c>
      <c r="F2254" s="10" t="s">
        <v>20</v>
      </c>
      <c r="J2254" s="138" t="s">
        <v>1292</v>
      </c>
      <c r="K2254" s="138" t="s">
        <v>1292</v>
      </c>
      <c r="L2254" s="138" t="s">
        <v>1292</v>
      </c>
      <c r="M2254" s="13"/>
      <c r="N2254" s="89" t="s">
        <v>1292</v>
      </c>
      <c r="P2254" t="str">
        <f>VLOOKUP(B2254,PTN!A:B,2,FALSE)</f>
        <v>UNIVERSITAS TANJUNGPURA</v>
      </c>
      <c r="Q2254" t="str">
        <f t="shared" si="35"/>
        <v>UNIVERSITAS TANJUNGPURAPEND. BIOLOGI</v>
      </c>
    </row>
    <row r="2255" spans="1:17" ht="15.75" thickBot="1" x14ac:dyDescent="0.3">
      <c r="A2255" s="7">
        <v>2254</v>
      </c>
      <c r="B2255" s="6">
        <v>58</v>
      </c>
      <c r="C2255" s="13">
        <v>5111207</v>
      </c>
      <c r="D2255" t="s">
        <v>215</v>
      </c>
      <c r="E2255" s="13">
        <v>20</v>
      </c>
      <c r="F2255" s="10" t="s">
        <v>20</v>
      </c>
      <c r="J2255" s="138">
        <v>655.37</v>
      </c>
      <c r="K2255" s="138">
        <v>664.58</v>
      </c>
      <c r="L2255" s="138">
        <v>646.16</v>
      </c>
      <c r="M2255" s="12"/>
      <c r="N2255" s="88">
        <v>655.37</v>
      </c>
      <c r="P2255" t="str">
        <f>VLOOKUP(B2255,PTN!A:B,2,FALSE)</f>
        <v>UNIVERSITAS TANJUNGPURA</v>
      </c>
      <c r="Q2255" t="str">
        <f t="shared" si="35"/>
        <v>UNIVERSITAS TANJUNGPURAPEND. DOKTER</v>
      </c>
    </row>
    <row r="2256" spans="1:17" ht="15.75" thickBot="1" x14ac:dyDescent="0.3">
      <c r="A2256" s="7">
        <v>2255</v>
      </c>
      <c r="B2256" s="6">
        <v>58</v>
      </c>
      <c r="C2256" s="12">
        <v>5111126</v>
      </c>
      <c r="D2256" t="s">
        <v>216</v>
      </c>
      <c r="E2256" s="12">
        <v>18</v>
      </c>
      <c r="F2256" s="10" t="s">
        <v>20</v>
      </c>
      <c r="J2256" s="138" t="s">
        <v>1292</v>
      </c>
      <c r="K2256" s="138" t="s">
        <v>1292</v>
      </c>
      <c r="L2256" s="138" t="s">
        <v>1292</v>
      </c>
      <c r="M2256" s="13"/>
      <c r="N2256" s="89" t="s">
        <v>1292</v>
      </c>
      <c r="P2256" t="str">
        <f>VLOOKUP(B2256,PTN!A:B,2,FALSE)</f>
        <v>UNIVERSITAS TANJUNGPURA</v>
      </c>
      <c r="Q2256" t="str">
        <f t="shared" si="35"/>
        <v>UNIVERSITAS TANJUNGPURAPEND. FISIKA</v>
      </c>
    </row>
    <row r="2257" spans="1:17" ht="15.75" thickBot="1" x14ac:dyDescent="0.3">
      <c r="A2257" s="7">
        <v>2256</v>
      </c>
      <c r="B2257" s="6">
        <v>58</v>
      </c>
      <c r="C2257" s="13">
        <v>5111134</v>
      </c>
      <c r="D2257" t="s">
        <v>217</v>
      </c>
      <c r="E2257" s="13">
        <v>18</v>
      </c>
      <c r="F2257" s="10" t="s">
        <v>20</v>
      </c>
      <c r="J2257" s="138" t="s">
        <v>1292</v>
      </c>
      <c r="K2257" s="138" t="s">
        <v>1292</v>
      </c>
      <c r="L2257" s="138" t="s">
        <v>1292</v>
      </c>
      <c r="M2257" s="12"/>
      <c r="N2257" s="88" t="s">
        <v>1292</v>
      </c>
      <c r="P2257" t="str">
        <f>VLOOKUP(B2257,PTN!A:B,2,FALSE)</f>
        <v>UNIVERSITAS TANJUNGPURA</v>
      </c>
      <c r="Q2257" t="str">
        <f t="shared" si="35"/>
        <v>UNIVERSITAS TANJUNGPURAPEND. KIMIA</v>
      </c>
    </row>
    <row r="2258" spans="1:17" ht="15.75" thickBot="1" x14ac:dyDescent="0.3">
      <c r="A2258" s="7">
        <v>2257</v>
      </c>
      <c r="B2258" s="6">
        <v>58</v>
      </c>
      <c r="C2258" s="12">
        <v>5111103</v>
      </c>
      <c r="D2258" t="s">
        <v>218</v>
      </c>
      <c r="E2258" s="12">
        <v>18</v>
      </c>
      <c r="F2258" s="10" t="s">
        <v>20</v>
      </c>
      <c r="J2258" s="138" t="s">
        <v>1292</v>
      </c>
      <c r="K2258" s="138" t="s">
        <v>1292</v>
      </c>
      <c r="L2258" s="138" t="s">
        <v>1292</v>
      </c>
      <c r="M2258" s="13"/>
      <c r="N2258" s="89" t="s">
        <v>1292</v>
      </c>
      <c r="P2258" t="str">
        <f>VLOOKUP(B2258,PTN!A:B,2,FALSE)</f>
        <v>UNIVERSITAS TANJUNGPURA</v>
      </c>
      <c r="Q2258" t="str">
        <f t="shared" si="35"/>
        <v>UNIVERSITAS TANJUNGPURAPEND. MATEMATIKA</v>
      </c>
    </row>
    <row r="2259" spans="1:17" ht="15.75" thickBot="1" x14ac:dyDescent="0.3">
      <c r="A2259" s="7">
        <v>2258</v>
      </c>
      <c r="B2259" s="6">
        <v>58</v>
      </c>
      <c r="C2259" s="13">
        <v>5111285</v>
      </c>
      <c r="D2259" t="s">
        <v>616</v>
      </c>
      <c r="E2259" s="13">
        <v>8</v>
      </c>
      <c r="F2259" s="10" t="s">
        <v>20</v>
      </c>
      <c r="J2259" s="138" t="s">
        <v>1292</v>
      </c>
      <c r="K2259" s="138" t="s">
        <v>1292</v>
      </c>
      <c r="L2259" s="138" t="s">
        <v>1292</v>
      </c>
      <c r="M2259" s="12"/>
      <c r="N2259" s="88" t="s">
        <v>1292</v>
      </c>
      <c r="P2259" t="str">
        <f>VLOOKUP(B2259,PTN!A:B,2,FALSE)</f>
        <v>UNIVERSITAS TANJUNGPURA</v>
      </c>
      <c r="Q2259" t="str">
        <f t="shared" si="35"/>
        <v>UNIVERSITAS TANJUNGPURAPERENCANAAN WILAYAH KOTA</v>
      </c>
    </row>
    <row r="2260" spans="1:17" ht="15.75" thickBot="1" x14ac:dyDescent="0.3">
      <c r="A2260" s="7">
        <v>2259</v>
      </c>
      <c r="B2260" s="6">
        <v>58</v>
      </c>
      <c r="C2260" s="12">
        <v>5111312</v>
      </c>
      <c r="D2260" t="s">
        <v>88</v>
      </c>
      <c r="E2260" s="12">
        <v>18</v>
      </c>
      <c r="F2260" s="10" t="s">
        <v>20</v>
      </c>
      <c r="J2260" s="138" t="s">
        <v>1292</v>
      </c>
      <c r="K2260" s="138" t="s">
        <v>1292</v>
      </c>
      <c r="L2260" s="138" t="s">
        <v>1292</v>
      </c>
      <c r="M2260" s="13"/>
      <c r="N2260" s="89" t="s">
        <v>1292</v>
      </c>
      <c r="P2260" t="str">
        <f>VLOOKUP(B2260,PTN!A:B,2,FALSE)</f>
        <v>UNIVERSITAS TANJUNGPURA</v>
      </c>
      <c r="Q2260" t="str">
        <f t="shared" si="35"/>
        <v>UNIVERSITAS TANJUNGPURAPETERNAKAN</v>
      </c>
    </row>
    <row r="2261" spans="1:17" ht="15.75" thickBot="1" x14ac:dyDescent="0.3">
      <c r="A2261" s="7">
        <v>2260</v>
      </c>
      <c r="B2261" s="6">
        <v>58</v>
      </c>
      <c r="C2261" s="13">
        <v>5111374</v>
      </c>
      <c r="D2261" t="s">
        <v>46</v>
      </c>
      <c r="E2261" s="13">
        <v>20</v>
      </c>
      <c r="F2261" s="10" t="s">
        <v>20</v>
      </c>
      <c r="J2261" s="138" t="s">
        <v>1292</v>
      </c>
      <c r="K2261" s="138" t="s">
        <v>1292</v>
      </c>
      <c r="L2261" s="138" t="s">
        <v>1292</v>
      </c>
      <c r="M2261" s="12"/>
      <c r="N2261" s="88" t="s">
        <v>1292</v>
      </c>
      <c r="P2261" t="str">
        <f>VLOOKUP(B2261,PTN!A:B,2,FALSE)</f>
        <v>UNIVERSITAS TANJUNGPURA</v>
      </c>
      <c r="Q2261" t="str">
        <f t="shared" si="35"/>
        <v>UNIVERSITAS TANJUNGPURASISTEM INFORMASI</v>
      </c>
    </row>
    <row r="2262" spans="1:17" ht="15.75" thickBot="1" x14ac:dyDescent="0.3">
      <c r="A2262" s="7">
        <v>2261</v>
      </c>
      <c r="B2262" s="6">
        <v>58</v>
      </c>
      <c r="C2262" s="12">
        <v>5111223</v>
      </c>
      <c r="D2262" t="s">
        <v>165</v>
      </c>
      <c r="E2262" s="12">
        <v>36</v>
      </c>
      <c r="F2262" s="10" t="s">
        <v>20</v>
      </c>
      <c r="J2262" s="138" t="s">
        <v>1292</v>
      </c>
      <c r="K2262" s="138" t="s">
        <v>1292</v>
      </c>
      <c r="L2262" s="138" t="s">
        <v>1292</v>
      </c>
      <c r="M2262" s="13"/>
      <c r="N2262" s="89" t="s">
        <v>1292</v>
      </c>
      <c r="P2262" t="str">
        <f>VLOOKUP(B2262,PTN!A:B,2,FALSE)</f>
        <v>UNIVERSITAS TANJUNGPURA</v>
      </c>
      <c r="Q2262" t="str">
        <f t="shared" si="35"/>
        <v>UNIVERSITAS TANJUNGPURASISTEM KOMPUTER</v>
      </c>
    </row>
    <row r="2263" spans="1:17" ht="15.75" thickBot="1" x14ac:dyDescent="0.3">
      <c r="A2263" s="7">
        <v>2262</v>
      </c>
      <c r="B2263" s="6">
        <v>58</v>
      </c>
      <c r="C2263" s="13">
        <v>5111022</v>
      </c>
      <c r="D2263" t="s">
        <v>220</v>
      </c>
      <c r="E2263" s="13">
        <v>20</v>
      </c>
      <c r="F2263" s="10" t="s">
        <v>20</v>
      </c>
      <c r="J2263" s="138" t="s">
        <v>1292</v>
      </c>
      <c r="K2263" s="138" t="s">
        <v>1292</v>
      </c>
      <c r="L2263" s="138" t="s">
        <v>1292</v>
      </c>
      <c r="M2263" s="12"/>
      <c r="N2263" s="88" t="s">
        <v>1292</v>
      </c>
      <c r="P2263" t="str">
        <f>VLOOKUP(B2263,PTN!A:B,2,FALSE)</f>
        <v>UNIVERSITAS TANJUNGPURA</v>
      </c>
      <c r="Q2263" t="str">
        <f t="shared" si="35"/>
        <v>UNIVERSITAS TANJUNGPURASOSIAL EKONOMI PERTANIAN (AGRIBISNIS)</v>
      </c>
    </row>
    <row r="2264" spans="1:17" ht="15.75" thickBot="1" x14ac:dyDescent="0.3">
      <c r="A2264" s="7">
        <v>2263</v>
      </c>
      <c r="B2264" s="6">
        <v>58</v>
      </c>
      <c r="C2264" s="12">
        <v>5111327</v>
      </c>
      <c r="D2264" t="s">
        <v>617</v>
      </c>
      <c r="E2264" s="12">
        <v>20</v>
      </c>
      <c r="F2264" s="10" t="s">
        <v>20</v>
      </c>
      <c r="J2264" s="138" t="s">
        <v>1292</v>
      </c>
      <c r="K2264" s="138" t="s">
        <v>1292</v>
      </c>
      <c r="L2264" s="138" t="s">
        <v>1292</v>
      </c>
      <c r="M2264" s="13"/>
      <c r="N2264" s="89" t="s">
        <v>1292</v>
      </c>
      <c r="P2264" t="str">
        <f>VLOOKUP(B2264,PTN!A:B,2,FALSE)</f>
        <v>UNIVERSITAS TANJUNGPURA</v>
      </c>
      <c r="Q2264" t="str">
        <f t="shared" si="35"/>
        <v>UNIVERSITAS TANJUNGPURASTATISTIK</v>
      </c>
    </row>
    <row r="2265" spans="1:17" ht="15.75" thickBot="1" x14ac:dyDescent="0.3">
      <c r="A2265" s="7">
        <v>2264</v>
      </c>
      <c r="B2265" s="6">
        <v>58</v>
      </c>
      <c r="C2265" s="13">
        <v>5111061</v>
      </c>
      <c r="D2265" t="s">
        <v>47</v>
      </c>
      <c r="E2265" s="13">
        <v>10</v>
      </c>
      <c r="F2265" s="10" t="s">
        <v>20</v>
      </c>
      <c r="J2265" s="138" t="s">
        <v>1292</v>
      </c>
      <c r="K2265" s="138" t="s">
        <v>1292</v>
      </c>
      <c r="L2265" s="138" t="s">
        <v>1292</v>
      </c>
      <c r="M2265" s="12"/>
      <c r="N2265" s="88" t="s">
        <v>1292</v>
      </c>
      <c r="P2265" t="str">
        <f>VLOOKUP(B2265,PTN!A:B,2,FALSE)</f>
        <v>UNIVERSITAS TANJUNGPURA</v>
      </c>
      <c r="Q2265" t="str">
        <f t="shared" si="35"/>
        <v>UNIVERSITAS TANJUNGPURATEKNIK ARSITEKTUR</v>
      </c>
    </row>
    <row r="2266" spans="1:17" ht="15.75" thickBot="1" x14ac:dyDescent="0.3">
      <c r="A2266" s="7">
        <v>2265</v>
      </c>
      <c r="B2266" s="6">
        <v>58</v>
      </c>
      <c r="C2266" s="12">
        <v>5111053</v>
      </c>
      <c r="D2266" t="s">
        <v>48</v>
      </c>
      <c r="E2266" s="12">
        <v>32</v>
      </c>
      <c r="F2266" s="10" t="s">
        <v>20</v>
      </c>
      <c r="J2266" s="138" t="s">
        <v>1292</v>
      </c>
      <c r="K2266" s="138" t="s">
        <v>1292</v>
      </c>
      <c r="L2266" s="138" t="s">
        <v>1292</v>
      </c>
      <c r="M2266" s="13"/>
      <c r="N2266" s="89" t="s">
        <v>1292</v>
      </c>
      <c r="P2266" t="str">
        <f>VLOOKUP(B2266,PTN!A:B,2,FALSE)</f>
        <v>UNIVERSITAS TANJUNGPURA</v>
      </c>
      <c r="Q2266" t="str">
        <f t="shared" si="35"/>
        <v>UNIVERSITAS TANJUNGPURATEKNIK ELEKTRO</v>
      </c>
    </row>
    <row r="2267" spans="1:17" ht="15.75" thickBot="1" x14ac:dyDescent="0.3">
      <c r="A2267" s="7">
        <v>2266</v>
      </c>
      <c r="B2267" s="6">
        <v>58</v>
      </c>
      <c r="C2267" s="13">
        <v>5111084</v>
      </c>
      <c r="D2267" t="s">
        <v>49</v>
      </c>
      <c r="E2267" s="13">
        <v>12</v>
      </c>
      <c r="F2267" s="10" t="s">
        <v>20</v>
      </c>
      <c r="J2267" s="138" t="s">
        <v>1292</v>
      </c>
      <c r="K2267" s="138" t="s">
        <v>1292</v>
      </c>
      <c r="L2267" s="138" t="s">
        <v>1292</v>
      </c>
      <c r="M2267" s="12"/>
      <c r="N2267" s="88" t="s">
        <v>1292</v>
      </c>
      <c r="P2267" t="str">
        <f>VLOOKUP(B2267,PTN!A:B,2,FALSE)</f>
        <v>UNIVERSITAS TANJUNGPURA</v>
      </c>
      <c r="Q2267" t="str">
        <f t="shared" si="35"/>
        <v>UNIVERSITAS TANJUNGPURATEKNIK INDUSTRI</v>
      </c>
    </row>
    <row r="2268" spans="1:17" ht="15.75" thickBot="1" x14ac:dyDescent="0.3">
      <c r="A2268" s="7">
        <v>2267</v>
      </c>
      <c r="B2268" s="6">
        <v>58</v>
      </c>
      <c r="C2268" s="12">
        <v>5111076</v>
      </c>
      <c r="D2268" t="s">
        <v>50</v>
      </c>
      <c r="E2268" s="12">
        <v>14</v>
      </c>
      <c r="F2268" s="10" t="s">
        <v>20</v>
      </c>
      <c r="J2268" s="138" t="s">
        <v>1292</v>
      </c>
      <c r="K2268" s="138" t="s">
        <v>1292</v>
      </c>
      <c r="L2268" s="138" t="s">
        <v>1292</v>
      </c>
      <c r="M2268" s="13"/>
      <c r="N2268" s="89" t="s">
        <v>1292</v>
      </c>
      <c r="P2268" t="str">
        <f>VLOOKUP(B2268,PTN!A:B,2,FALSE)</f>
        <v>UNIVERSITAS TANJUNGPURA</v>
      </c>
      <c r="Q2268" t="str">
        <f t="shared" si="35"/>
        <v>UNIVERSITAS TANJUNGPURATEKNIK INFORMATIKA</v>
      </c>
    </row>
    <row r="2269" spans="1:17" ht="15.75" thickBot="1" x14ac:dyDescent="0.3">
      <c r="A2269" s="7">
        <v>2268</v>
      </c>
      <c r="B2269" s="6">
        <v>58</v>
      </c>
      <c r="C2269" s="13">
        <v>5111335</v>
      </c>
      <c r="D2269" t="s">
        <v>269</v>
      </c>
      <c r="E2269" s="13">
        <v>10</v>
      </c>
      <c r="F2269" s="10" t="s">
        <v>20</v>
      </c>
      <c r="J2269" s="138" t="s">
        <v>1292</v>
      </c>
      <c r="K2269" s="138" t="s">
        <v>1292</v>
      </c>
      <c r="L2269" s="138" t="s">
        <v>1292</v>
      </c>
      <c r="M2269" s="12"/>
      <c r="N2269" s="88" t="s">
        <v>1292</v>
      </c>
      <c r="P2269" t="str">
        <f>VLOOKUP(B2269,PTN!A:B,2,FALSE)</f>
        <v>UNIVERSITAS TANJUNGPURA</v>
      </c>
      <c r="Q2269" t="str">
        <f t="shared" si="35"/>
        <v>UNIVERSITAS TANJUNGPURATEKNIK KELAUTAN</v>
      </c>
    </row>
    <row r="2270" spans="1:17" ht="15.75" thickBot="1" x14ac:dyDescent="0.3">
      <c r="A2270" s="7">
        <v>2269</v>
      </c>
      <c r="B2270" s="6">
        <v>58</v>
      </c>
      <c r="C2270" s="12">
        <v>5111343</v>
      </c>
      <c r="D2270" t="s">
        <v>51</v>
      </c>
      <c r="E2270" s="12">
        <v>8</v>
      </c>
      <c r="F2270" s="10" t="s">
        <v>20</v>
      </c>
      <c r="J2270" s="138" t="s">
        <v>1292</v>
      </c>
      <c r="K2270" s="138" t="s">
        <v>1292</v>
      </c>
      <c r="L2270" s="138" t="s">
        <v>1292</v>
      </c>
      <c r="M2270" s="13"/>
      <c r="N2270" s="89" t="s">
        <v>1292</v>
      </c>
      <c r="P2270" t="str">
        <f>VLOOKUP(B2270,PTN!A:B,2,FALSE)</f>
        <v>UNIVERSITAS TANJUNGPURA</v>
      </c>
      <c r="Q2270" t="str">
        <f t="shared" si="35"/>
        <v>UNIVERSITAS TANJUNGPURATEKNIK KIMIA</v>
      </c>
    </row>
    <row r="2271" spans="1:17" ht="15.75" thickBot="1" x14ac:dyDescent="0.3">
      <c r="A2271" s="7">
        <v>2270</v>
      </c>
      <c r="B2271" s="6">
        <v>58</v>
      </c>
      <c r="C2271" s="13">
        <v>5111092</v>
      </c>
      <c r="D2271" t="s">
        <v>25</v>
      </c>
      <c r="E2271" s="13">
        <v>19</v>
      </c>
      <c r="F2271" s="10" t="s">
        <v>20</v>
      </c>
      <c r="J2271" s="138" t="s">
        <v>1292</v>
      </c>
      <c r="K2271" s="138" t="s">
        <v>1292</v>
      </c>
      <c r="L2271" s="138" t="s">
        <v>1292</v>
      </c>
      <c r="M2271" s="12"/>
      <c r="N2271" s="88" t="s">
        <v>1292</v>
      </c>
      <c r="P2271" t="str">
        <f>VLOOKUP(B2271,PTN!A:B,2,FALSE)</f>
        <v>UNIVERSITAS TANJUNGPURA</v>
      </c>
      <c r="Q2271" t="str">
        <f t="shared" si="35"/>
        <v>UNIVERSITAS TANJUNGPURATEKNIK LINGKUNGAN</v>
      </c>
    </row>
    <row r="2272" spans="1:17" ht="15.75" thickBot="1" x14ac:dyDescent="0.3">
      <c r="A2272" s="7">
        <v>2271</v>
      </c>
      <c r="B2272" s="6">
        <v>58</v>
      </c>
      <c r="C2272" s="12">
        <v>5111351</v>
      </c>
      <c r="D2272" t="s">
        <v>53</v>
      </c>
      <c r="E2272" s="12">
        <v>8</v>
      </c>
      <c r="F2272" s="10" t="s">
        <v>20</v>
      </c>
      <c r="J2272" s="138" t="s">
        <v>1292</v>
      </c>
      <c r="K2272" s="138" t="s">
        <v>1292</v>
      </c>
      <c r="L2272" s="138" t="s">
        <v>1292</v>
      </c>
      <c r="M2272" s="13"/>
      <c r="N2272" s="89" t="s">
        <v>1292</v>
      </c>
      <c r="P2272" t="str">
        <f>VLOOKUP(B2272,PTN!A:B,2,FALSE)</f>
        <v>UNIVERSITAS TANJUNGPURA</v>
      </c>
      <c r="Q2272" t="str">
        <f t="shared" si="35"/>
        <v>UNIVERSITAS TANJUNGPURATEKNIK MESIN</v>
      </c>
    </row>
    <row r="2273" spans="1:17" ht="15.75" thickBot="1" x14ac:dyDescent="0.3">
      <c r="A2273" s="7">
        <v>2272</v>
      </c>
      <c r="B2273" s="6">
        <v>58</v>
      </c>
      <c r="C2273" s="13">
        <v>5111304</v>
      </c>
      <c r="D2273" t="s">
        <v>239</v>
      </c>
      <c r="E2273" s="13">
        <v>10</v>
      </c>
      <c r="F2273" s="10" t="s">
        <v>20</v>
      </c>
      <c r="J2273" s="138" t="s">
        <v>1292</v>
      </c>
      <c r="K2273" s="138" t="s">
        <v>1292</v>
      </c>
      <c r="L2273" s="138" t="s">
        <v>1292</v>
      </c>
      <c r="M2273" s="12"/>
      <c r="N2273" s="88" t="s">
        <v>1292</v>
      </c>
      <c r="P2273" t="str">
        <f>VLOOKUP(B2273,PTN!A:B,2,FALSE)</f>
        <v>UNIVERSITAS TANJUNGPURA</v>
      </c>
      <c r="Q2273" t="str">
        <f t="shared" si="35"/>
        <v>UNIVERSITAS TANJUNGPURATEKNIK PERTAMBANGAN</v>
      </c>
    </row>
    <row r="2274" spans="1:17" ht="15.75" thickBot="1" x14ac:dyDescent="0.3">
      <c r="A2274" s="7">
        <v>2273</v>
      </c>
      <c r="B2274" s="6">
        <v>58</v>
      </c>
      <c r="C2274" s="14">
        <v>5111045</v>
      </c>
      <c r="D2274" t="s">
        <v>54</v>
      </c>
      <c r="E2274" s="14">
        <v>39</v>
      </c>
      <c r="F2274" s="10" t="s">
        <v>20</v>
      </c>
      <c r="J2274" s="138" t="s">
        <v>1292</v>
      </c>
      <c r="K2274" s="138" t="s">
        <v>1292</v>
      </c>
      <c r="L2274" s="138" t="s">
        <v>1292</v>
      </c>
      <c r="M2274" s="13"/>
      <c r="N2274" s="89" t="s">
        <v>1292</v>
      </c>
      <c r="P2274" t="str">
        <f>VLOOKUP(B2274,PTN!A:B,2,FALSE)</f>
        <v>UNIVERSITAS TANJUNGPURA</v>
      </c>
      <c r="Q2274" t="str">
        <f t="shared" si="35"/>
        <v>UNIVERSITAS TANJUNGPURATEKNIK SIPIL</v>
      </c>
    </row>
    <row r="2275" spans="1:17" ht="16.5" thickTop="1" thickBot="1" x14ac:dyDescent="0.3">
      <c r="A2275" s="7">
        <v>2274</v>
      </c>
      <c r="B2275" s="6">
        <v>58</v>
      </c>
      <c r="C2275" s="12">
        <v>5112041</v>
      </c>
      <c r="D2275" t="s">
        <v>55</v>
      </c>
      <c r="E2275" s="12">
        <v>36</v>
      </c>
      <c r="F2275" s="10" t="s">
        <v>13</v>
      </c>
      <c r="J2275" s="138" t="s">
        <v>1292</v>
      </c>
      <c r="K2275" s="138" t="s">
        <v>1292</v>
      </c>
      <c r="L2275" s="138" t="s">
        <v>1292</v>
      </c>
      <c r="M2275" s="21"/>
      <c r="N2275" s="83" t="s">
        <v>1292</v>
      </c>
      <c r="P2275" t="str">
        <f>VLOOKUP(B2275,PTN!A:B,2,FALSE)</f>
        <v>UNIVERSITAS TANJUNGPURA</v>
      </c>
      <c r="Q2275" t="str">
        <f t="shared" si="35"/>
        <v>UNIVERSITAS TANJUNGPURAAKUNTANSI</v>
      </c>
    </row>
    <row r="2276" spans="1:17" ht="15.75" thickBot="1" x14ac:dyDescent="0.3">
      <c r="A2276" s="7">
        <v>2275</v>
      </c>
      <c r="B2276" s="6">
        <v>58</v>
      </c>
      <c r="C2276" s="13">
        <v>5112203</v>
      </c>
      <c r="D2276" t="s">
        <v>618</v>
      </c>
      <c r="E2276" s="13">
        <v>10</v>
      </c>
      <c r="F2276" s="10" t="s">
        <v>13</v>
      </c>
      <c r="J2276" s="138" t="s">
        <v>1292</v>
      </c>
      <c r="K2276" s="138" t="s">
        <v>1292</v>
      </c>
      <c r="L2276" s="138" t="s">
        <v>1292</v>
      </c>
      <c r="M2276" s="21"/>
      <c r="N2276" s="83" t="s">
        <v>1292</v>
      </c>
      <c r="P2276" t="str">
        <f>VLOOKUP(B2276,PTN!A:B,2,FALSE)</f>
        <v>UNIVERSITAS TANJUNGPURA</v>
      </c>
      <c r="Q2276" t="str">
        <f t="shared" si="35"/>
        <v>UNIVERSITAS TANJUNGPURAAKUNTANSI (KELAS INTERNASIONAL)</v>
      </c>
    </row>
    <row r="2277" spans="1:17" ht="16.5" thickTop="1" thickBot="1" x14ac:dyDescent="0.3">
      <c r="A2277" s="7">
        <v>2276</v>
      </c>
      <c r="B2277" s="6">
        <v>58</v>
      </c>
      <c r="C2277" s="12">
        <v>5112315</v>
      </c>
      <c r="D2277" t="s">
        <v>144</v>
      </c>
      <c r="E2277" s="12">
        <v>10</v>
      </c>
      <c r="F2277" s="10" t="s">
        <v>13</v>
      </c>
      <c r="J2277" s="138" t="s">
        <v>1292</v>
      </c>
      <c r="K2277" s="138" t="s">
        <v>1292</v>
      </c>
      <c r="L2277" s="138" t="s">
        <v>1292</v>
      </c>
      <c r="M2277" s="24"/>
      <c r="N2277" s="84" t="s">
        <v>1292</v>
      </c>
      <c r="P2277" t="str">
        <f>VLOOKUP(B2277,PTN!A:B,2,FALSE)</f>
        <v>UNIVERSITAS TANJUNGPURA</v>
      </c>
      <c r="Q2277" t="str">
        <f t="shared" si="35"/>
        <v>UNIVERSITAS TANJUNGPURAANTROPOLOGI SOSIAL</v>
      </c>
    </row>
    <row r="2278" spans="1:17" ht="16.5" thickTop="1" thickBot="1" x14ac:dyDescent="0.3">
      <c r="A2278" s="7">
        <v>2277</v>
      </c>
      <c r="B2278" s="6">
        <v>58</v>
      </c>
      <c r="C2278" s="13">
        <v>5112242</v>
      </c>
      <c r="D2278" t="s">
        <v>57</v>
      </c>
      <c r="E2278" s="13">
        <v>20</v>
      </c>
      <c r="F2278" s="10" t="s">
        <v>13</v>
      </c>
      <c r="J2278" s="138" t="s">
        <v>1292</v>
      </c>
      <c r="K2278" s="138" t="s">
        <v>1292</v>
      </c>
      <c r="L2278" s="138" t="s">
        <v>1292</v>
      </c>
      <c r="M2278" s="12"/>
      <c r="N2278" s="88" t="s">
        <v>1292</v>
      </c>
      <c r="P2278" t="str">
        <f>VLOOKUP(B2278,PTN!A:B,2,FALSE)</f>
        <v>UNIVERSITAS TANJUNGPURA</v>
      </c>
      <c r="Q2278" t="str">
        <f t="shared" si="35"/>
        <v>UNIVERSITAS TANJUNGPURAEKONOMI ISLAM</v>
      </c>
    </row>
    <row r="2279" spans="1:17" ht="15.75" thickBot="1" x14ac:dyDescent="0.3">
      <c r="A2279" s="7">
        <v>2278</v>
      </c>
      <c r="B2279" s="6">
        <v>58</v>
      </c>
      <c r="C2279" s="12">
        <v>5112025</v>
      </c>
      <c r="D2279" t="s">
        <v>619</v>
      </c>
      <c r="E2279" s="12">
        <v>32</v>
      </c>
      <c r="F2279" s="10" t="s">
        <v>13</v>
      </c>
      <c r="J2279" s="138" t="s">
        <v>1292</v>
      </c>
      <c r="K2279" s="138" t="s">
        <v>1292</v>
      </c>
      <c r="L2279" s="138" t="s">
        <v>1292</v>
      </c>
      <c r="M2279" s="13"/>
      <c r="N2279" s="89" t="s">
        <v>1292</v>
      </c>
      <c r="P2279" t="str">
        <f>VLOOKUP(B2279,PTN!A:B,2,FALSE)</f>
        <v>UNIVERSITAS TANJUNGPURA</v>
      </c>
      <c r="Q2279" t="str">
        <f t="shared" si="35"/>
        <v>UNIVERSITAS TANJUNGPURAEKONOMI PEMBANGUAN</v>
      </c>
    </row>
    <row r="2280" spans="1:17" ht="15.75" thickBot="1" x14ac:dyDescent="0.3">
      <c r="A2280" s="7">
        <v>2279</v>
      </c>
      <c r="B2280" s="6">
        <v>58</v>
      </c>
      <c r="C2280" s="13">
        <v>5112056</v>
      </c>
      <c r="D2280" t="s">
        <v>29</v>
      </c>
      <c r="E2280" s="13">
        <v>24</v>
      </c>
      <c r="F2280" s="10" t="s">
        <v>13</v>
      </c>
      <c r="J2280" s="138" t="s">
        <v>1292</v>
      </c>
      <c r="K2280" s="138" t="s">
        <v>1292</v>
      </c>
      <c r="L2280" s="138" t="s">
        <v>1292</v>
      </c>
      <c r="M2280" s="12"/>
      <c r="N2280" s="88" t="s">
        <v>1292</v>
      </c>
      <c r="P2280" t="str">
        <f>VLOOKUP(B2280,PTN!A:B,2,FALSE)</f>
        <v>UNIVERSITAS TANJUNGPURA</v>
      </c>
      <c r="Q2280" t="str">
        <f t="shared" si="35"/>
        <v>UNIVERSITAS TANJUNGPURAILMU ADMINISTRASI NEGARA</v>
      </c>
    </row>
    <row r="2281" spans="1:17" ht="15.75" thickBot="1" x14ac:dyDescent="0.3">
      <c r="A2281" s="7">
        <v>2280</v>
      </c>
      <c r="B2281" s="6">
        <v>58</v>
      </c>
      <c r="C2281" s="12">
        <v>5112307</v>
      </c>
      <c r="D2281" t="s">
        <v>168</v>
      </c>
      <c r="E2281" s="12">
        <v>20</v>
      </c>
      <c r="F2281" s="10" t="s">
        <v>13</v>
      </c>
      <c r="J2281" s="138" t="s">
        <v>1292</v>
      </c>
      <c r="K2281" s="138" t="s">
        <v>1292</v>
      </c>
      <c r="L2281" s="138" t="s">
        <v>1292</v>
      </c>
      <c r="M2281" s="13"/>
      <c r="N2281" s="89" t="s">
        <v>1292</v>
      </c>
      <c r="P2281" t="str">
        <f>VLOOKUP(B2281,PTN!A:B,2,FALSE)</f>
        <v>UNIVERSITAS TANJUNGPURA</v>
      </c>
      <c r="Q2281" t="str">
        <f t="shared" si="35"/>
        <v>UNIVERSITAS TANJUNGPURAILMU HUBUNGAN INTERNASIONAL</v>
      </c>
    </row>
    <row r="2282" spans="1:17" ht="15.75" thickBot="1" x14ac:dyDescent="0.3">
      <c r="A2282" s="7">
        <v>2281</v>
      </c>
      <c r="B2282" s="6">
        <v>58</v>
      </c>
      <c r="C2282" s="13">
        <v>5112017</v>
      </c>
      <c r="D2282" t="s">
        <v>31</v>
      </c>
      <c r="E2282" s="13">
        <v>87</v>
      </c>
      <c r="F2282" s="10" t="s">
        <v>13</v>
      </c>
      <c r="J2282" s="138" t="s">
        <v>1292</v>
      </c>
      <c r="K2282" s="138" t="s">
        <v>1292</v>
      </c>
      <c r="L2282" s="138" t="s">
        <v>1292</v>
      </c>
      <c r="M2282" s="12"/>
      <c r="N2282" s="88" t="s">
        <v>1292</v>
      </c>
      <c r="P2282" t="str">
        <f>VLOOKUP(B2282,PTN!A:B,2,FALSE)</f>
        <v>UNIVERSITAS TANJUNGPURA</v>
      </c>
      <c r="Q2282" t="str">
        <f t="shared" si="35"/>
        <v>UNIVERSITAS TANJUNGPURAILMU HUKUM</v>
      </c>
    </row>
    <row r="2283" spans="1:17" ht="15.75" thickBot="1" x14ac:dyDescent="0.3">
      <c r="A2283" s="7">
        <v>2282</v>
      </c>
      <c r="B2283" s="6">
        <v>58</v>
      </c>
      <c r="C2283" s="12">
        <v>5112211</v>
      </c>
      <c r="D2283" t="s">
        <v>60</v>
      </c>
      <c r="E2283" s="12">
        <v>10</v>
      </c>
      <c r="F2283" s="10" t="s">
        <v>13</v>
      </c>
      <c r="J2283" s="138" t="s">
        <v>1292</v>
      </c>
      <c r="K2283" s="138" t="s">
        <v>1292</v>
      </c>
      <c r="L2283" s="138" t="s">
        <v>1292</v>
      </c>
      <c r="M2283" s="13"/>
      <c r="N2283" s="89" t="s">
        <v>1292</v>
      </c>
      <c r="P2283" t="str">
        <f>VLOOKUP(B2283,PTN!A:B,2,FALSE)</f>
        <v>UNIVERSITAS TANJUNGPURA</v>
      </c>
      <c r="Q2283" t="str">
        <f t="shared" si="35"/>
        <v>UNIVERSITAS TANJUNGPURAILMU KOMUNIKASI</v>
      </c>
    </row>
    <row r="2284" spans="1:17" ht="15.75" thickBot="1" x14ac:dyDescent="0.3">
      <c r="A2284" s="7">
        <v>2283</v>
      </c>
      <c r="B2284" s="6">
        <v>58</v>
      </c>
      <c r="C2284" s="13">
        <v>5112226</v>
      </c>
      <c r="D2284" t="s">
        <v>97</v>
      </c>
      <c r="E2284" s="13">
        <v>20</v>
      </c>
      <c r="F2284" s="10" t="s">
        <v>13</v>
      </c>
      <c r="J2284" s="138" t="s">
        <v>1292</v>
      </c>
      <c r="K2284" s="138" t="s">
        <v>1292</v>
      </c>
      <c r="L2284" s="138" t="s">
        <v>1292</v>
      </c>
      <c r="M2284" s="12"/>
      <c r="N2284" s="88" t="s">
        <v>1292</v>
      </c>
      <c r="P2284" t="str">
        <f>VLOOKUP(B2284,PTN!A:B,2,FALSE)</f>
        <v>UNIVERSITAS TANJUNGPURA</v>
      </c>
      <c r="Q2284" t="str">
        <f t="shared" si="35"/>
        <v>UNIVERSITAS TANJUNGPURAILMU PEMERINTAHAN</v>
      </c>
    </row>
    <row r="2285" spans="1:17" ht="15.75" thickBot="1" x14ac:dyDescent="0.3">
      <c r="A2285" s="7">
        <v>2284</v>
      </c>
      <c r="B2285" s="6">
        <v>58</v>
      </c>
      <c r="C2285" s="12">
        <v>5112145</v>
      </c>
      <c r="D2285" t="s">
        <v>33</v>
      </c>
      <c r="E2285" s="12">
        <v>18</v>
      </c>
      <c r="F2285" s="10" t="s">
        <v>13</v>
      </c>
      <c r="J2285" s="138" t="s">
        <v>1292</v>
      </c>
      <c r="K2285" s="138" t="s">
        <v>1292</v>
      </c>
      <c r="L2285" s="138" t="s">
        <v>1292</v>
      </c>
      <c r="M2285" s="13"/>
      <c r="N2285" s="89" t="s">
        <v>1292</v>
      </c>
      <c r="P2285" t="str">
        <f>VLOOKUP(B2285,PTN!A:B,2,FALSE)</f>
        <v>UNIVERSITAS TANJUNGPURA</v>
      </c>
      <c r="Q2285" t="str">
        <f t="shared" si="35"/>
        <v>UNIVERSITAS TANJUNGPURAILMU POLITIK</v>
      </c>
    </row>
    <row r="2286" spans="1:17" ht="15.75" thickBot="1" x14ac:dyDescent="0.3">
      <c r="A2286" s="7">
        <v>2285</v>
      </c>
      <c r="B2286" s="6">
        <v>58</v>
      </c>
      <c r="C2286" s="13">
        <v>5112064</v>
      </c>
      <c r="D2286" t="s">
        <v>620</v>
      </c>
      <c r="E2286" s="13">
        <v>18</v>
      </c>
      <c r="F2286" s="10" t="s">
        <v>13</v>
      </c>
      <c r="J2286" s="138" t="s">
        <v>1292</v>
      </c>
      <c r="K2286" s="138" t="s">
        <v>1292</v>
      </c>
      <c r="L2286" s="138" t="s">
        <v>1292</v>
      </c>
      <c r="M2286" s="12"/>
      <c r="N2286" s="88" t="s">
        <v>1292</v>
      </c>
      <c r="P2286" t="str">
        <f>VLOOKUP(B2286,PTN!A:B,2,FALSE)</f>
        <v>UNIVERSITAS TANJUNGPURA</v>
      </c>
      <c r="Q2286" t="str">
        <f t="shared" si="35"/>
        <v>UNIVERSITAS TANJUNGPURAILMU SOSIATRI/PEM. MASYARAKAT</v>
      </c>
    </row>
    <row r="2287" spans="1:17" ht="15.75" thickBot="1" x14ac:dyDescent="0.3">
      <c r="A2287" s="7">
        <v>2286</v>
      </c>
      <c r="B2287" s="6">
        <v>58</v>
      </c>
      <c r="C2287" s="12">
        <v>5112033</v>
      </c>
      <c r="D2287" t="s">
        <v>61</v>
      </c>
      <c r="E2287" s="12">
        <v>36</v>
      </c>
      <c r="F2287" s="10" t="s">
        <v>13</v>
      </c>
      <c r="J2287" s="138" t="s">
        <v>1292</v>
      </c>
      <c r="K2287" s="138" t="s">
        <v>1292</v>
      </c>
      <c r="L2287" s="138" t="s">
        <v>1292</v>
      </c>
      <c r="M2287" s="13"/>
      <c r="N2287" s="89" t="s">
        <v>1292</v>
      </c>
      <c r="P2287" t="str">
        <f>VLOOKUP(B2287,PTN!A:B,2,FALSE)</f>
        <v>UNIVERSITAS TANJUNGPURA</v>
      </c>
      <c r="Q2287" t="str">
        <f t="shared" si="35"/>
        <v>UNIVERSITAS TANJUNGPURAMANAJEMEN</v>
      </c>
    </row>
    <row r="2288" spans="1:17" ht="15.75" thickBot="1" x14ac:dyDescent="0.3">
      <c r="A2288" s="7">
        <v>2287</v>
      </c>
      <c r="B2288" s="6">
        <v>58</v>
      </c>
      <c r="C2288" s="13">
        <v>5112176</v>
      </c>
      <c r="D2288" t="s">
        <v>621</v>
      </c>
      <c r="E2288" s="13">
        <v>10</v>
      </c>
      <c r="F2288" s="10" t="s">
        <v>13</v>
      </c>
      <c r="J2288" s="138" t="s">
        <v>1292</v>
      </c>
      <c r="K2288" s="138" t="s">
        <v>1292</v>
      </c>
      <c r="L2288" s="138" t="s">
        <v>1292</v>
      </c>
      <c r="M2288" s="12"/>
      <c r="N2288" s="88" t="s">
        <v>1292</v>
      </c>
      <c r="P2288" t="str">
        <f>VLOOKUP(B2288,PTN!A:B,2,FALSE)</f>
        <v>UNIVERSITAS TANJUNGPURA</v>
      </c>
      <c r="Q2288" t="str">
        <f t="shared" si="35"/>
        <v>UNIVERSITAS TANJUNGPURAMANAJEMEN (KELAS INTERNASIONAL)</v>
      </c>
    </row>
    <row r="2289" spans="1:17" ht="15.75" thickBot="1" x14ac:dyDescent="0.3">
      <c r="A2289" s="7">
        <v>2288</v>
      </c>
      <c r="B2289" s="6">
        <v>58</v>
      </c>
      <c r="C2289" s="12">
        <v>5112234</v>
      </c>
      <c r="D2289" t="s">
        <v>622</v>
      </c>
      <c r="E2289" s="12">
        <v>18</v>
      </c>
      <c r="F2289" s="10" t="s">
        <v>13</v>
      </c>
      <c r="J2289" s="138" t="s">
        <v>1292</v>
      </c>
      <c r="K2289" s="138" t="s">
        <v>1292</v>
      </c>
      <c r="L2289" s="138" t="s">
        <v>1292</v>
      </c>
      <c r="M2289" s="13"/>
      <c r="N2289" s="89" t="s">
        <v>1292</v>
      </c>
      <c r="P2289" t="str">
        <f>VLOOKUP(B2289,PTN!A:B,2,FALSE)</f>
        <v>UNIVERSITAS TANJUNGPURA</v>
      </c>
      <c r="Q2289" t="str">
        <f t="shared" si="35"/>
        <v>UNIVERSITAS TANJUNGPURAMANAJEMEN SUMBER PERAIRAN</v>
      </c>
    </row>
    <row r="2290" spans="1:17" ht="15.75" thickBot="1" x14ac:dyDescent="0.3">
      <c r="A2290" s="7">
        <v>2289</v>
      </c>
      <c r="B2290" s="6">
        <v>58</v>
      </c>
      <c r="C2290" s="13">
        <v>5112072</v>
      </c>
      <c r="D2290" t="s">
        <v>242</v>
      </c>
      <c r="E2290" s="13">
        <v>18</v>
      </c>
      <c r="F2290" s="10" t="s">
        <v>13</v>
      </c>
      <c r="J2290" s="138">
        <v>571.17999999999995</v>
      </c>
      <c r="K2290" s="138">
        <v>579.31772999999998</v>
      </c>
      <c r="L2290" s="138">
        <v>563.04226999999992</v>
      </c>
      <c r="M2290" s="12"/>
      <c r="N2290" s="88">
        <v>571.17999999999995</v>
      </c>
      <c r="P2290" t="str">
        <f>VLOOKUP(B2290,PTN!A:B,2,FALSE)</f>
        <v>UNIVERSITAS TANJUNGPURA</v>
      </c>
      <c r="Q2290" t="str">
        <f t="shared" si="35"/>
        <v>UNIVERSITAS TANJUNGPURAPEND. BAHASA INGGRIS</v>
      </c>
    </row>
    <row r="2291" spans="1:17" ht="15.75" thickBot="1" x14ac:dyDescent="0.3">
      <c r="A2291" s="7">
        <v>2290</v>
      </c>
      <c r="B2291" s="6">
        <v>58</v>
      </c>
      <c r="C2291" s="12">
        <v>5112161</v>
      </c>
      <c r="D2291" t="s">
        <v>577</v>
      </c>
      <c r="E2291" s="12">
        <v>12</v>
      </c>
      <c r="F2291" s="10" t="s">
        <v>13</v>
      </c>
      <c r="J2291" s="138" t="s">
        <v>1292</v>
      </c>
      <c r="K2291" s="138" t="s">
        <v>1292</v>
      </c>
      <c r="L2291" s="138" t="s">
        <v>1292</v>
      </c>
      <c r="M2291" s="13"/>
      <c r="N2291" s="89" t="s">
        <v>1292</v>
      </c>
      <c r="P2291" t="str">
        <f>VLOOKUP(B2291,PTN!A:B,2,FALSE)</f>
        <v>UNIVERSITAS TANJUNGPURA</v>
      </c>
      <c r="Q2291" t="str">
        <f t="shared" si="35"/>
        <v>UNIVERSITAS TANJUNGPURAPEND. BAHASA MANDARIN</v>
      </c>
    </row>
    <row r="2292" spans="1:17" ht="15.75" thickBot="1" x14ac:dyDescent="0.3">
      <c r="A2292" s="7">
        <v>2291</v>
      </c>
      <c r="B2292" s="6">
        <v>58</v>
      </c>
      <c r="C2292" s="13">
        <v>5112087</v>
      </c>
      <c r="D2292" t="s">
        <v>119</v>
      </c>
      <c r="E2292" s="13">
        <v>18</v>
      </c>
      <c r="F2292" s="10" t="s">
        <v>13</v>
      </c>
      <c r="J2292" s="138" t="s">
        <v>1292</v>
      </c>
      <c r="K2292" s="138" t="s">
        <v>1292</v>
      </c>
      <c r="L2292" s="138" t="s">
        <v>1292</v>
      </c>
      <c r="M2292" s="12"/>
      <c r="N2292" s="88" t="s">
        <v>1292</v>
      </c>
      <c r="P2292" t="str">
        <f>VLOOKUP(B2292,PTN!A:B,2,FALSE)</f>
        <v>UNIVERSITAS TANJUNGPURA</v>
      </c>
      <c r="Q2292" t="str">
        <f t="shared" si="35"/>
        <v>UNIVERSITAS TANJUNGPURAPEND. BAHASA, SASTRA INDONESIA &amp; DAERAH</v>
      </c>
    </row>
    <row r="2293" spans="1:17" ht="15.75" thickBot="1" x14ac:dyDescent="0.3">
      <c r="A2293" s="7">
        <v>2292</v>
      </c>
      <c r="B2293" s="6">
        <v>58</v>
      </c>
      <c r="C2293" s="12">
        <v>5112192</v>
      </c>
      <c r="D2293" t="s">
        <v>623</v>
      </c>
      <c r="E2293" s="12">
        <v>12</v>
      </c>
      <c r="F2293" s="10" t="s">
        <v>13</v>
      </c>
      <c r="J2293" s="138" t="s">
        <v>1292</v>
      </c>
      <c r="K2293" s="138" t="s">
        <v>1292</v>
      </c>
      <c r="L2293" s="138" t="s">
        <v>1292</v>
      </c>
      <c r="M2293" s="13"/>
      <c r="N2293" s="89" t="s">
        <v>1292</v>
      </c>
      <c r="P2293" t="str">
        <f>VLOOKUP(B2293,PTN!A:B,2,FALSE)</f>
        <v>UNIVERSITAS TANJUNGPURA</v>
      </c>
      <c r="Q2293" t="str">
        <f t="shared" si="35"/>
        <v>UNIVERSITAS TANJUNGPURAPEND. BIMBINGAN KONSELING</v>
      </c>
    </row>
    <row r="2294" spans="1:17" ht="15.75" thickBot="1" x14ac:dyDescent="0.3">
      <c r="A2294" s="7">
        <v>2293</v>
      </c>
      <c r="B2294" s="6">
        <v>58</v>
      </c>
      <c r="C2294" s="13">
        <v>5112095</v>
      </c>
      <c r="D2294" t="s">
        <v>229</v>
      </c>
      <c r="E2294" s="13">
        <v>12</v>
      </c>
      <c r="F2294" s="10" t="s">
        <v>13</v>
      </c>
      <c r="J2294" s="138" t="s">
        <v>1292</v>
      </c>
      <c r="K2294" s="138" t="s">
        <v>1292</v>
      </c>
      <c r="L2294" s="138" t="s">
        <v>1292</v>
      </c>
      <c r="M2294" s="12"/>
      <c r="N2294" s="88" t="s">
        <v>1292</v>
      </c>
      <c r="P2294" t="str">
        <f>VLOOKUP(B2294,PTN!A:B,2,FALSE)</f>
        <v>UNIVERSITAS TANJUNGPURA</v>
      </c>
      <c r="Q2294" t="str">
        <f t="shared" si="35"/>
        <v>UNIVERSITAS TANJUNGPURAPEND. EKONOMI</v>
      </c>
    </row>
    <row r="2295" spans="1:17" ht="15.75" thickBot="1" x14ac:dyDescent="0.3">
      <c r="A2295" s="7">
        <v>2294</v>
      </c>
      <c r="B2295" s="6">
        <v>58</v>
      </c>
      <c r="C2295" s="12">
        <v>5112114</v>
      </c>
      <c r="D2295" t="s">
        <v>624</v>
      </c>
      <c r="E2295" s="12">
        <v>12</v>
      </c>
      <c r="F2295" s="10" t="s">
        <v>13</v>
      </c>
      <c r="J2295" s="138" t="s">
        <v>1292</v>
      </c>
      <c r="K2295" s="138" t="s">
        <v>1292</v>
      </c>
      <c r="L2295" s="138" t="s">
        <v>1292</v>
      </c>
      <c r="M2295" s="13"/>
      <c r="N2295" s="89" t="s">
        <v>1292</v>
      </c>
      <c r="P2295" t="str">
        <f>VLOOKUP(B2295,PTN!A:B,2,FALSE)</f>
        <v>UNIVERSITAS TANJUNGPURA</v>
      </c>
      <c r="Q2295" t="str">
        <f t="shared" si="35"/>
        <v>UNIVERSITAS TANJUNGPURAPEND. GURU PEND. ANAK USIA DINI (PGPAUD)</v>
      </c>
    </row>
    <row r="2296" spans="1:17" ht="15.75" thickBot="1" x14ac:dyDescent="0.3">
      <c r="A2296" s="7">
        <v>2295</v>
      </c>
      <c r="B2296" s="6">
        <v>58</v>
      </c>
      <c r="C2296" s="13">
        <v>5112184</v>
      </c>
      <c r="D2296" t="s">
        <v>625</v>
      </c>
      <c r="E2296" s="13">
        <v>20</v>
      </c>
      <c r="F2296" s="10" t="s">
        <v>13</v>
      </c>
      <c r="J2296" s="138" t="s">
        <v>1292</v>
      </c>
      <c r="K2296" s="138" t="s">
        <v>1292</v>
      </c>
      <c r="L2296" s="138" t="s">
        <v>1292</v>
      </c>
      <c r="M2296" s="12"/>
      <c r="N2296" s="88" t="s">
        <v>1292</v>
      </c>
      <c r="P2296" t="str">
        <f>VLOOKUP(B2296,PTN!A:B,2,FALSE)</f>
        <v>UNIVERSITAS TANJUNGPURA</v>
      </c>
      <c r="Q2296" t="str">
        <f t="shared" si="35"/>
        <v>UNIVERSITAS TANJUNGPURAPEND. GURU SEKOLAH DASAR (PGSD)</v>
      </c>
    </row>
    <row r="2297" spans="1:17" ht="15.75" thickBot="1" x14ac:dyDescent="0.3">
      <c r="A2297" s="7">
        <v>2296</v>
      </c>
      <c r="B2297" s="6">
        <v>58</v>
      </c>
      <c r="C2297" s="12">
        <v>5112273</v>
      </c>
      <c r="D2297" t="s">
        <v>72</v>
      </c>
      <c r="E2297" s="12">
        <v>12</v>
      </c>
      <c r="F2297" s="10" t="s">
        <v>13</v>
      </c>
      <c r="J2297" s="138" t="s">
        <v>1292</v>
      </c>
      <c r="K2297" s="138" t="s">
        <v>1292</v>
      </c>
      <c r="L2297" s="138" t="s">
        <v>1292</v>
      </c>
      <c r="M2297" s="13"/>
      <c r="N2297" s="89" t="s">
        <v>1292</v>
      </c>
      <c r="P2297" t="str">
        <f>VLOOKUP(B2297,PTN!A:B,2,FALSE)</f>
        <v>UNIVERSITAS TANJUNGPURA</v>
      </c>
      <c r="Q2297" t="str">
        <f t="shared" si="35"/>
        <v>UNIVERSITAS TANJUNGPURAPENDIDIKAN GEOGRAFI</v>
      </c>
    </row>
    <row r="2298" spans="1:17" ht="15.75" thickBot="1" x14ac:dyDescent="0.3">
      <c r="A2298" s="7">
        <v>2297</v>
      </c>
      <c r="B2298" s="6">
        <v>58</v>
      </c>
      <c r="C2298" s="13">
        <v>5112296</v>
      </c>
      <c r="D2298" t="s">
        <v>409</v>
      </c>
      <c r="E2298" s="13">
        <v>12</v>
      </c>
      <c r="F2298" s="10" t="s">
        <v>13</v>
      </c>
      <c r="J2298" s="138" t="s">
        <v>1292</v>
      </c>
      <c r="K2298" s="138" t="s">
        <v>1292</v>
      </c>
      <c r="L2298" s="138" t="s">
        <v>1292</v>
      </c>
      <c r="M2298" s="12"/>
      <c r="N2298" s="88" t="s">
        <v>1292</v>
      </c>
      <c r="P2298" t="str">
        <f>VLOOKUP(B2298,PTN!A:B,2,FALSE)</f>
        <v>UNIVERSITAS TANJUNGPURA</v>
      </c>
      <c r="Q2298" t="str">
        <f t="shared" si="35"/>
        <v>UNIVERSITAS TANJUNGPURAPENDIDIKAN IPS</v>
      </c>
    </row>
    <row r="2299" spans="1:17" ht="15.75" thickBot="1" x14ac:dyDescent="0.3">
      <c r="A2299" s="7">
        <v>2298</v>
      </c>
      <c r="B2299" s="6">
        <v>58</v>
      </c>
      <c r="C2299" s="12">
        <v>5112281</v>
      </c>
      <c r="D2299" t="s">
        <v>330</v>
      </c>
      <c r="E2299" s="12">
        <v>14</v>
      </c>
      <c r="F2299" s="10" t="s">
        <v>13</v>
      </c>
      <c r="J2299" s="138" t="s">
        <v>1292</v>
      </c>
      <c r="K2299" s="138" t="s">
        <v>1292</v>
      </c>
      <c r="L2299" s="138" t="s">
        <v>1292</v>
      </c>
      <c r="M2299" s="13"/>
      <c r="N2299" s="89" t="s">
        <v>1292</v>
      </c>
      <c r="P2299" t="str">
        <f>VLOOKUP(B2299,PTN!A:B,2,FALSE)</f>
        <v>UNIVERSITAS TANJUNGPURA</v>
      </c>
      <c r="Q2299" t="str">
        <f t="shared" si="35"/>
        <v>UNIVERSITAS TANJUNGPURAPENDIDIKAN KEPELATIHAN OLAHRAGA</v>
      </c>
    </row>
    <row r="2300" spans="1:17" ht="15.75" thickBot="1" x14ac:dyDescent="0.3">
      <c r="A2300" s="7">
        <v>2299</v>
      </c>
      <c r="B2300" s="6">
        <v>58</v>
      </c>
      <c r="C2300" s="13">
        <v>5112257</v>
      </c>
      <c r="D2300" t="s">
        <v>103</v>
      </c>
      <c r="E2300" s="13">
        <v>12</v>
      </c>
      <c r="F2300" s="10" t="s">
        <v>13</v>
      </c>
      <c r="J2300" s="138" t="s">
        <v>1292</v>
      </c>
      <c r="K2300" s="138" t="s">
        <v>1292</v>
      </c>
      <c r="L2300" s="138" t="s">
        <v>1292</v>
      </c>
      <c r="M2300" s="12"/>
      <c r="N2300" s="88" t="s">
        <v>1292</v>
      </c>
      <c r="P2300" t="str">
        <f>VLOOKUP(B2300,PTN!A:B,2,FALSE)</f>
        <v>UNIVERSITAS TANJUNGPURA</v>
      </c>
      <c r="Q2300" t="str">
        <f t="shared" si="35"/>
        <v>UNIVERSITAS TANJUNGPURAPENDIDIKAN PANCASILA DAN KEWARGANEGARAAN</v>
      </c>
    </row>
    <row r="2301" spans="1:17" ht="15.75" thickBot="1" x14ac:dyDescent="0.3">
      <c r="A2301" s="7">
        <v>2300</v>
      </c>
      <c r="B2301" s="6">
        <v>58</v>
      </c>
      <c r="C2301" s="12">
        <v>5112265</v>
      </c>
      <c r="D2301" t="s">
        <v>75</v>
      </c>
      <c r="E2301" s="12">
        <v>12</v>
      </c>
      <c r="F2301" s="10" t="s">
        <v>13</v>
      </c>
      <c r="J2301" s="138" t="s">
        <v>1292</v>
      </c>
      <c r="K2301" s="138" t="s">
        <v>1292</v>
      </c>
      <c r="L2301" s="138" t="s">
        <v>1292</v>
      </c>
      <c r="M2301" s="13"/>
      <c r="N2301" s="89" t="s">
        <v>1292</v>
      </c>
      <c r="P2301" t="str">
        <f>VLOOKUP(B2301,PTN!A:B,2,FALSE)</f>
        <v>UNIVERSITAS TANJUNGPURA</v>
      </c>
      <c r="Q2301" t="str">
        <f t="shared" si="35"/>
        <v>UNIVERSITAS TANJUNGPURAPENDIDIKAN SEJARAH</v>
      </c>
    </row>
    <row r="2302" spans="1:17" ht="15.75" thickBot="1" x14ac:dyDescent="0.3">
      <c r="A2302" s="7">
        <v>2301</v>
      </c>
      <c r="B2302" s="6">
        <v>58</v>
      </c>
      <c r="C2302" s="13">
        <v>5112122</v>
      </c>
      <c r="D2302" t="s">
        <v>626</v>
      </c>
      <c r="E2302" s="13">
        <v>12</v>
      </c>
      <c r="F2302" s="10" t="s">
        <v>13</v>
      </c>
      <c r="J2302" s="138" t="s">
        <v>1292</v>
      </c>
      <c r="K2302" s="138" t="s">
        <v>1292</v>
      </c>
      <c r="L2302" s="138" t="s">
        <v>1292</v>
      </c>
      <c r="M2302" s="12"/>
      <c r="N2302" s="88" t="s">
        <v>1292</v>
      </c>
      <c r="P2302" t="str">
        <f>VLOOKUP(B2302,PTN!A:B,2,FALSE)</f>
        <v>UNIVERSITAS TANJUNGPURA</v>
      </c>
      <c r="Q2302" t="str">
        <f t="shared" si="35"/>
        <v>UNIVERSITAS TANJUNGPURAPEND. JASMANI,KESEHATAN &amp; REKREASI</v>
      </c>
    </row>
    <row r="2303" spans="1:17" ht="15.75" thickBot="1" x14ac:dyDescent="0.3">
      <c r="A2303" s="7">
        <v>2302</v>
      </c>
      <c r="B2303" s="6">
        <v>58</v>
      </c>
      <c r="C2303" s="12">
        <v>5112137</v>
      </c>
      <c r="D2303" t="s">
        <v>627</v>
      </c>
      <c r="E2303" s="12">
        <v>12</v>
      </c>
      <c r="F2303" s="10" t="s">
        <v>13</v>
      </c>
      <c r="J2303" s="138" t="s">
        <v>1292</v>
      </c>
      <c r="K2303" s="138" t="s">
        <v>1292</v>
      </c>
      <c r="L2303" s="138" t="s">
        <v>1292</v>
      </c>
      <c r="M2303" s="13"/>
      <c r="N2303" s="89" t="s">
        <v>1292</v>
      </c>
      <c r="P2303" t="str">
        <f>VLOOKUP(B2303,PTN!A:B,2,FALSE)</f>
        <v>UNIVERSITAS TANJUNGPURA</v>
      </c>
      <c r="Q2303" t="str">
        <f t="shared" si="35"/>
        <v>UNIVERSITAS TANJUNGPURAPEND. SENI TARI DAN MUSIK</v>
      </c>
    </row>
    <row r="2304" spans="1:17" ht="15.75" thickBot="1" x14ac:dyDescent="0.3">
      <c r="A2304" s="7">
        <v>2303</v>
      </c>
      <c r="B2304" s="6">
        <v>58</v>
      </c>
      <c r="C2304" s="13">
        <v>5112106</v>
      </c>
      <c r="D2304" t="s">
        <v>628</v>
      </c>
      <c r="E2304" s="13">
        <v>12</v>
      </c>
      <c r="F2304" s="10" t="s">
        <v>13</v>
      </c>
      <c r="J2304" s="138" t="s">
        <v>1292</v>
      </c>
      <c r="K2304" s="138" t="s">
        <v>1292</v>
      </c>
      <c r="L2304" s="138" t="s">
        <v>1292</v>
      </c>
      <c r="M2304" s="12"/>
      <c r="N2304" s="88" t="s">
        <v>1292</v>
      </c>
      <c r="P2304" t="str">
        <f>VLOOKUP(B2304,PTN!A:B,2,FALSE)</f>
        <v>UNIVERSITAS TANJUNGPURA</v>
      </c>
      <c r="Q2304" t="str">
        <f t="shared" si="35"/>
        <v>UNIVERSITAS TANJUNGPURAPEND. SOSIOLOGI</v>
      </c>
    </row>
    <row r="2305" spans="1:17" ht="15.75" thickBot="1" x14ac:dyDescent="0.3">
      <c r="A2305" s="7">
        <v>2304</v>
      </c>
      <c r="B2305" s="6">
        <v>58</v>
      </c>
      <c r="C2305" s="14">
        <v>5112153</v>
      </c>
      <c r="D2305" t="s">
        <v>63</v>
      </c>
      <c r="E2305" s="14">
        <v>18</v>
      </c>
      <c r="F2305" s="10" t="s">
        <v>13</v>
      </c>
      <c r="J2305" s="138" t="s">
        <v>1292</v>
      </c>
      <c r="K2305" s="138" t="s">
        <v>1292</v>
      </c>
      <c r="L2305" s="138" t="s">
        <v>1292</v>
      </c>
      <c r="M2305" s="21"/>
      <c r="N2305" s="83" t="s">
        <v>1292</v>
      </c>
      <c r="P2305" t="str">
        <f>VLOOKUP(B2305,PTN!A:B,2,FALSE)</f>
        <v>UNIVERSITAS TANJUNGPURA</v>
      </c>
      <c r="Q2305" t="str">
        <f t="shared" si="35"/>
        <v>UNIVERSITAS TANJUNGPURASOSIOLOGI</v>
      </c>
    </row>
    <row r="2306" spans="1:17" ht="16.5" thickTop="1" thickBot="1" x14ac:dyDescent="0.3">
      <c r="A2306" s="7">
        <v>2305</v>
      </c>
      <c r="B2306" s="6">
        <v>59</v>
      </c>
      <c r="C2306" s="12">
        <v>5211174</v>
      </c>
      <c r="D2306" t="s">
        <v>64</v>
      </c>
      <c r="E2306" s="12">
        <v>64</v>
      </c>
      <c r="F2306" s="10" t="s">
        <v>20</v>
      </c>
      <c r="J2306" s="138" t="s">
        <v>1292</v>
      </c>
      <c r="K2306" s="138" t="s">
        <v>1292</v>
      </c>
      <c r="L2306" s="138" t="s">
        <v>1292</v>
      </c>
      <c r="M2306" s="21"/>
      <c r="N2306" s="83" t="s">
        <v>1292</v>
      </c>
      <c r="P2306" t="str">
        <f>VLOOKUP(B2306,PTN!A:B,2,FALSE)</f>
        <v>UNIVERSITAS PALANGKARAYA</v>
      </c>
      <c r="Q2306" t="str">
        <f t="shared" si="35"/>
        <v>UNIVERSITAS PALANGKARAYAAGROTEKNOLOGI</v>
      </c>
    </row>
    <row r="2307" spans="1:17" ht="16.5" thickTop="1" thickBot="1" x14ac:dyDescent="0.3">
      <c r="A2307" s="7">
        <v>2306</v>
      </c>
      <c r="B2307" s="6">
        <v>59</v>
      </c>
      <c r="C2307" s="13">
        <v>5211093</v>
      </c>
      <c r="D2307" t="s">
        <v>19</v>
      </c>
      <c r="E2307" s="13">
        <v>28</v>
      </c>
      <c r="F2307" s="10" t="s">
        <v>20</v>
      </c>
      <c r="J2307" s="138" t="s">
        <v>1292</v>
      </c>
      <c r="K2307" s="138" t="s">
        <v>1292</v>
      </c>
      <c r="L2307" s="138" t="s">
        <v>1292</v>
      </c>
      <c r="M2307" s="24"/>
      <c r="N2307" s="84" t="s">
        <v>1292</v>
      </c>
      <c r="P2307" t="str">
        <f>VLOOKUP(B2307,PTN!A:B,2,FALSE)</f>
        <v>UNIVERSITAS PALANGKARAYA</v>
      </c>
      <c r="Q2307" t="str">
        <f t="shared" ref="Q2307:Q2370" si="36">P2307&amp;D2307</f>
        <v>UNIVERSITAS PALANGKARAYAARSITEKTUR</v>
      </c>
    </row>
    <row r="2308" spans="1:17" ht="16.5" thickTop="1" thickBot="1" x14ac:dyDescent="0.3">
      <c r="A2308" s="7">
        <v>2307</v>
      </c>
      <c r="B2308" s="6">
        <v>59</v>
      </c>
      <c r="C2308" s="12">
        <v>5211263</v>
      </c>
      <c r="D2308" t="s">
        <v>21</v>
      </c>
      <c r="E2308" s="12">
        <v>21</v>
      </c>
      <c r="F2308" s="10" t="s">
        <v>20</v>
      </c>
      <c r="J2308" s="138" t="s">
        <v>1292</v>
      </c>
      <c r="K2308" s="138" t="s">
        <v>1292</v>
      </c>
      <c r="L2308" s="138" t="s">
        <v>1292</v>
      </c>
      <c r="M2308" s="12"/>
      <c r="N2308" s="88" t="s">
        <v>1292</v>
      </c>
      <c r="P2308" t="str">
        <f>VLOOKUP(B2308,PTN!A:B,2,FALSE)</f>
        <v>UNIVERSITAS PALANGKARAYA</v>
      </c>
      <c r="Q2308" t="str">
        <f t="shared" si="36"/>
        <v>UNIVERSITAS PALANGKARAYABIOLOGI</v>
      </c>
    </row>
    <row r="2309" spans="1:17" ht="15.75" thickBot="1" x14ac:dyDescent="0.3">
      <c r="A2309" s="7">
        <v>2308</v>
      </c>
      <c r="B2309" s="6">
        <v>59</v>
      </c>
      <c r="C2309" s="13">
        <v>5211062</v>
      </c>
      <c r="D2309" t="s">
        <v>39</v>
      </c>
      <c r="E2309" s="13">
        <v>54</v>
      </c>
      <c r="F2309" s="10" t="s">
        <v>20</v>
      </c>
      <c r="J2309" s="138" t="s">
        <v>1292</v>
      </c>
      <c r="K2309" s="138" t="s">
        <v>1292</v>
      </c>
      <c r="L2309" s="138" t="s">
        <v>1292</v>
      </c>
      <c r="M2309" s="13"/>
      <c r="N2309" s="89" t="s">
        <v>1292</v>
      </c>
      <c r="P2309" t="str">
        <f>VLOOKUP(B2309,PTN!A:B,2,FALSE)</f>
        <v>UNIVERSITAS PALANGKARAYA</v>
      </c>
      <c r="Q2309" t="str">
        <f t="shared" si="36"/>
        <v>UNIVERSITAS PALANGKARAYABUDIDAYA PERAIRAN</v>
      </c>
    </row>
    <row r="2310" spans="1:17" ht="15.75" thickBot="1" x14ac:dyDescent="0.3">
      <c r="A2310" s="7">
        <v>2309</v>
      </c>
      <c r="B2310" s="6">
        <v>59</v>
      </c>
      <c r="C2310" s="12">
        <v>5211247</v>
      </c>
      <c r="D2310" t="s">
        <v>65</v>
      </c>
      <c r="E2310" s="12">
        <v>21</v>
      </c>
      <c r="F2310" s="10" t="s">
        <v>20</v>
      </c>
      <c r="J2310" s="138" t="s">
        <v>1292</v>
      </c>
      <c r="K2310" s="138" t="s">
        <v>1292</v>
      </c>
      <c r="L2310" s="138" t="s">
        <v>1292</v>
      </c>
      <c r="M2310" s="12"/>
      <c r="N2310" s="88" t="s">
        <v>1292</v>
      </c>
      <c r="P2310" t="str">
        <f>VLOOKUP(B2310,PTN!A:B,2,FALSE)</f>
        <v>UNIVERSITAS PALANGKARAYA</v>
      </c>
      <c r="Q2310" t="str">
        <f t="shared" si="36"/>
        <v>UNIVERSITAS PALANGKARAYAFISIKA</v>
      </c>
    </row>
    <row r="2311" spans="1:17" ht="15.75" thickBot="1" x14ac:dyDescent="0.3">
      <c r="A2311" s="7">
        <v>2310</v>
      </c>
      <c r="B2311" s="6">
        <v>59</v>
      </c>
      <c r="C2311" s="13">
        <v>5211015</v>
      </c>
      <c r="D2311" t="s">
        <v>629</v>
      </c>
      <c r="E2311" s="13">
        <v>28</v>
      </c>
      <c r="F2311" s="10" t="s">
        <v>20</v>
      </c>
      <c r="J2311" s="138" t="s">
        <v>1292</v>
      </c>
      <c r="K2311" s="138" t="s">
        <v>1292</v>
      </c>
      <c r="L2311" s="138" t="s">
        <v>1292</v>
      </c>
      <c r="M2311" s="13"/>
      <c r="N2311" s="89" t="s">
        <v>1292</v>
      </c>
      <c r="P2311" t="str">
        <f>VLOOKUP(B2311,PTN!A:B,2,FALSE)</f>
        <v>UNIVERSITAS PALANGKARAYA</v>
      </c>
      <c r="Q2311" t="str">
        <f t="shared" si="36"/>
        <v>UNIVERSITAS PALANGKARAYAILMU SOSIAL EKONOMI PERTANIAN (AGRIBISNIS)</v>
      </c>
    </row>
    <row r="2312" spans="1:17" ht="15.75" thickBot="1" x14ac:dyDescent="0.3">
      <c r="A2312" s="7">
        <v>2311</v>
      </c>
      <c r="B2312" s="6">
        <v>59</v>
      </c>
      <c r="C2312" s="12">
        <v>5211182</v>
      </c>
      <c r="D2312" t="s">
        <v>81</v>
      </c>
      <c r="E2312" s="12">
        <v>72</v>
      </c>
      <c r="F2312" s="10" t="s">
        <v>20</v>
      </c>
      <c r="J2312" s="138" t="s">
        <v>1292</v>
      </c>
      <c r="K2312" s="138" t="s">
        <v>1292</v>
      </c>
      <c r="L2312" s="138" t="s">
        <v>1292</v>
      </c>
      <c r="M2312" s="12"/>
      <c r="N2312" s="88" t="s">
        <v>1292</v>
      </c>
      <c r="P2312" t="str">
        <f>VLOOKUP(B2312,PTN!A:B,2,FALSE)</f>
        <v>UNIVERSITAS PALANGKARAYA</v>
      </c>
      <c r="Q2312" t="str">
        <f t="shared" si="36"/>
        <v>UNIVERSITAS PALANGKARAYAKEHUTANAN</v>
      </c>
    </row>
    <row r="2313" spans="1:17" ht="15.75" thickBot="1" x14ac:dyDescent="0.3">
      <c r="A2313" s="7">
        <v>2312</v>
      </c>
      <c r="B2313" s="6">
        <v>59</v>
      </c>
      <c r="C2313" s="13">
        <v>5211255</v>
      </c>
      <c r="D2313" t="s">
        <v>22</v>
      </c>
      <c r="E2313" s="13">
        <v>21</v>
      </c>
      <c r="F2313" s="10" t="s">
        <v>20</v>
      </c>
      <c r="J2313" s="138" t="s">
        <v>1292</v>
      </c>
      <c r="K2313" s="138" t="s">
        <v>1292</v>
      </c>
      <c r="L2313" s="138" t="s">
        <v>1292</v>
      </c>
      <c r="M2313" s="13"/>
      <c r="N2313" s="89" t="s">
        <v>1292</v>
      </c>
      <c r="P2313" t="str">
        <f>VLOOKUP(B2313,PTN!A:B,2,FALSE)</f>
        <v>UNIVERSITAS PALANGKARAYA</v>
      </c>
      <c r="Q2313" t="str">
        <f t="shared" si="36"/>
        <v>UNIVERSITAS PALANGKARAYAKIMIA</v>
      </c>
    </row>
    <row r="2314" spans="1:17" ht="15.75" thickBot="1" x14ac:dyDescent="0.3">
      <c r="A2314" s="7">
        <v>2313</v>
      </c>
      <c r="B2314" s="6">
        <v>59</v>
      </c>
      <c r="C2314" s="12">
        <v>5211054</v>
      </c>
      <c r="D2314" t="s">
        <v>213</v>
      </c>
      <c r="E2314" s="12">
        <v>54</v>
      </c>
      <c r="F2314" s="10" t="s">
        <v>20</v>
      </c>
      <c r="J2314" s="138" t="s">
        <v>1292</v>
      </c>
      <c r="K2314" s="138" t="s">
        <v>1292</v>
      </c>
      <c r="L2314" s="138" t="s">
        <v>1292</v>
      </c>
      <c r="M2314" s="12"/>
      <c r="N2314" s="88" t="s">
        <v>1292</v>
      </c>
      <c r="P2314" t="str">
        <f>VLOOKUP(B2314,PTN!A:B,2,FALSE)</f>
        <v>UNIVERSITAS PALANGKARAYA</v>
      </c>
      <c r="Q2314" t="str">
        <f t="shared" si="36"/>
        <v>UNIVERSITAS PALANGKARAYAMANAJEMEN SUMBERDAYA PERAIRAN</v>
      </c>
    </row>
    <row r="2315" spans="1:17" ht="15.75" thickBot="1" x14ac:dyDescent="0.3">
      <c r="A2315" s="7">
        <v>2314</v>
      </c>
      <c r="B2315" s="6">
        <v>59</v>
      </c>
      <c r="C2315" s="13">
        <v>5211143</v>
      </c>
      <c r="D2315" t="s">
        <v>214</v>
      </c>
      <c r="E2315" s="13">
        <v>28</v>
      </c>
      <c r="F2315" s="10" t="s">
        <v>20</v>
      </c>
      <c r="J2315" s="138" t="s">
        <v>1292</v>
      </c>
      <c r="K2315" s="138" t="s">
        <v>1292</v>
      </c>
      <c r="L2315" s="138" t="s">
        <v>1292</v>
      </c>
      <c r="M2315" s="13"/>
      <c r="N2315" s="89" t="s">
        <v>1292</v>
      </c>
      <c r="P2315" t="str">
        <f>VLOOKUP(B2315,PTN!A:B,2,FALSE)</f>
        <v>UNIVERSITAS PALANGKARAYA</v>
      </c>
      <c r="Q2315" t="str">
        <f t="shared" si="36"/>
        <v>UNIVERSITAS PALANGKARAYAPEND. BIOLOGI</v>
      </c>
    </row>
    <row r="2316" spans="1:17" ht="15.75" thickBot="1" x14ac:dyDescent="0.3">
      <c r="A2316" s="7">
        <v>2315</v>
      </c>
      <c r="B2316" s="6">
        <v>59</v>
      </c>
      <c r="C2316" s="12">
        <v>5211127</v>
      </c>
      <c r="D2316" t="s">
        <v>216</v>
      </c>
      <c r="E2316" s="12">
        <v>28</v>
      </c>
      <c r="F2316" s="10" t="s">
        <v>20</v>
      </c>
      <c r="J2316" s="138" t="s">
        <v>1292</v>
      </c>
      <c r="K2316" s="138" t="s">
        <v>1292</v>
      </c>
      <c r="L2316" s="138" t="s">
        <v>1292</v>
      </c>
      <c r="M2316" s="12"/>
      <c r="N2316" s="88" t="s">
        <v>1292</v>
      </c>
      <c r="P2316" t="str">
        <f>VLOOKUP(B2316,PTN!A:B,2,FALSE)</f>
        <v>UNIVERSITAS PALANGKARAYA</v>
      </c>
      <c r="Q2316" t="str">
        <f t="shared" si="36"/>
        <v>UNIVERSITAS PALANGKARAYAPEND. FISIKA</v>
      </c>
    </row>
    <row r="2317" spans="1:17" ht="15.75" thickBot="1" x14ac:dyDescent="0.3">
      <c r="A2317" s="7">
        <v>2316</v>
      </c>
      <c r="B2317" s="6">
        <v>59</v>
      </c>
      <c r="C2317" s="13">
        <v>5211224</v>
      </c>
      <c r="D2317" t="s">
        <v>41</v>
      </c>
      <c r="E2317" s="13">
        <v>15</v>
      </c>
      <c r="F2317" s="10" t="s">
        <v>20</v>
      </c>
      <c r="J2317" s="138">
        <v>623.13</v>
      </c>
      <c r="K2317" s="138">
        <v>629.05999999999995</v>
      </c>
      <c r="L2317" s="138">
        <v>617.20000000000005</v>
      </c>
      <c r="M2317" s="13"/>
      <c r="N2317" s="89">
        <v>623.13</v>
      </c>
      <c r="P2317" t="str">
        <f>VLOOKUP(B2317,PTN!A:B,2,FALSE)</f>
        <v>UNIVERSITAS PALANGKARAYA</v>
      </c>
      <c r="Q2317" t="str">
        <f t="shared" si="36"/>
        <v>UNIVERSITAS PALANGKARAYAPENDIDIKAN DOKTER</v>
      </c>
    </row>
    <row r="2318" spans="1:17" ht="15.75" thickBot="1" x14ac:dyDescent="0.3">
      <c r="A2318" s="7">
        <v>2317</v>
      </c>
      <c r="B2318" s="6">
        <v>59</v>
      </c>
      <c r="C2318" s="12">
        <v>5211216</v>
      </c>
      <c r="D2318" t="s">
        <v>116</v>
      </c>
      <c r="E2318" s="12">
        <v>14</v>
      </c>
      <c r="F2318" s="10" t="s">
        <v>20</v>
      </c>
      <c r="J2318" s="138" t="s">
        <v>1292</v>
      </c>
      <c r="K2318" s="138" t="s">
        <v>1292</v>
      </c>
      <c r="L2318" s="138" t="s">
        <v>1292</v>
      </c>
      <c r="M2318" s="12"/>
      <c r="N2318" s="88" t="s">
        <v>1292</v>
      </c>
      <c r="P2318" t="str">
        <f>VLOOKUP(B2318,PTN!A:B,2,FALSE)</f>
        <v>UNIVERSITAS PALANGKARAYA</v>
      </c>
      <c r="Q2318" t="str">
        <f t="shared" si="36"/>
        <v>UNIVERSITAS PALANGKARAYAPENDIDIKAN TEKNIK BANGUNAN</v>
      </c>
    </row>
    <row r="2319" spans="1:17" ht="15.75" thickBot="1" x14ac:dyDescent="0.3">
      <c r="A2319" s="7">
        <v>2318</v>
      </c>
      <c r="B2319" s="6">
        <v>59</v>
      </c>
      <c r="C2319" s="13">
        <v>5211135</v>
      </c>
      <c r="D2319" t="s">
        <v>217</v>
      </c>
      <c r="E2319" s="13">
        <v>21</v>
      </c>
      <c r="F2319" s="10" t="s">
        <v>20</v>
      </c>
      <c r="J2319" s="138" t="s">
        <v>1292</v>
      </c>
      <c r="K2319" s="138" t="s">
        <v>1292</v>
      </c>
      <c r="L2319" s="138" t="s">
        <v>1292</v>
      </c>
      <c r="M2319" s="13"/>
      <c r="N2319" s="89" t="s">
        <v>1292</v>
      </c>
      <c r="P2319" t="str">
        <f>VLOOKUP(B2319,PTN!A:B,2,FALSE)</f>
        <v>UNIVERSITAS PALANGKARAYA</v>
      </c>
      <c r="Q2319" t="str">
        <f t="shared" si="36"/>
        <v>UNIVERSITAS PALANGKARAYAPEND. KIMIA</v>
      </c>
    </row>
    <row r="2320" spans="1:17" ht="15.75" thickBot="1" x14ac:dyDescent="0.3">
      <c r="A2320" s="7">
        <v>2319</v>
      </c>
      <c r="B2320" s="6">
        <v>59</v>
      </c>
      <c r="C2320" s="12">
        <v>5211112</v>
      </c>
      <c r="D2320" t="s">
        <v>218</v>
      </c>
      <c r="E2320" s="12">
        <v>25</v>
      </c>
      <c r="F2320" s="10" t="s">
        <v>20</v>
      </c>
      <c r="J2320" s="138" t="s">
        <v>1292</v>
      </c>
      <c r="K2320" s="138" t="s">
        <v>1292</v>
      </c>
      <c r="L2320" s="138" t="s">
        <v>1292</v>
      </c>
      <c r="M2320" s="12"/>
      <c r="N2320" s="88" t="s">
        <v>1292</v>
      </c>
      <c r="P2320" t="str">
        <f>VLOOKUP(B2320,PTN!A:B,2,FALSE)</f>
        <v>UNIVERSITAS PALANGKARAYA</v>
      </c>
      <c r="Q2320" t="str">
        <f t="shared" si="36"/>
        <v>UNIVERSITAS PALANGKARAYAPEND. MATEMATIKA</v>
      </c>
    </row>
    <row r="2321" spans="1:17" ht="15.75" thickBot="1" x14ac:dyDescent="0.3">
      <c r="A2321" s="7">
        <v>2320</v>
      </c>
      <c r="B2321" s="6">
        <v>59</v>
      </c>
      <c r="C2321" s="13">
        <v>5211151</v>
      </c>
      <c r="D2321" t="s">
        <v>567</v>
      </c>
      <c r="E2321" s="13">
        <v>14</v>
      </c>
      <c r="F2321" s="10" t="s">
        <v>20</v>
      </c>
      <c r="J2321" s="138" t="s">
        <v>1292</v>
      </c>
      <c r="K2321" s="138" t="s">
        <v>1292</v>
      </c>
      <c r="L2321" s="138" t="s">
        <v>1292</v>
      </c>
      <c r="M2321" s="13"/>
      <c r="N2321" s="89" t="s">
        <v>1292</v>
      </c>
      <c r="P2321" t="str">
        <f>VLOOKUP(B2321,PTN!A:B,2,FALSE)</f>
        <v>UNIVERSITAS PALANGKARAYA</v>
      </c>
      <c r="Q2321" t="str">
        <f t="shared" si="36"/>
        <v>UNIVERSITAS PALANGKARAYAPEND. TEKNIK MESIN</v>
      </c>
    </row>
    <row r="2322" spans="1:17" ht="15.75" thickBot="1" x14ac:dyDescent="0.3">
      <c r="A2322" s="7">
        <v>2321</v>
      </c>
      <c r="B2322" s="6">
        <v>59</v>
      </c>
      <c r="C2322" s="12">
        <v>5211201</v>
      </c>
      <c r="D2322" t="s">
        <v>88</v>
      </c>
      <c r="E2322" s="12">
        <v>36</v>
      </c>
      <c r="F2322" s="10" t="s">
        <v>20</v>
      </c>
      <c r="J2322" s="138" t="s">
        <v>1292</v>
      </c>
      <c r="K2322" s="138" t="s">
        <v>1292</v>
      </c>
      <c r="L2322" s="138" t="s">
        <v>1292</v>
      </c>
      <c r="M2322" s="12"/>
      <c r="N2322" s="88" t="s">
        <v>1292</v>
      </c>
      <c r="P2322" t="str">
        <f>VLOOKUP(B2322,PTN!A:B,2,FALSE)</f>
        <v>UNIVERSITAS PALANGKARAYA</v>
      </c>
      <c r="Q2322" t="str">
        <f t="shared" si="36"/>
        <v>UNIVERSITAS PALANGKARAYAPETERNAKAN</v>
      </c>
    </row>
    <row r="2323" spans="1:17" ht="15.75" thickBot="1" x14ac:dyDescent="0.3">
      <c r="A2323" s="7">
        <v>2322</v>
      </c>
      <c r="B2323" s="6">
        <v>59</v>
      </c>
      <c r="C2323" s="13">
        <v>5211104</v>
      </c>
      <c r="D2323" t="s">
        <v>630</v>
      </c>
      <c r="E2323" s="13">
        <v>21</v>
      </c>
      <c r="F2323" s="10" t="s">
        <v>20</v>
      </c>
      <c r="J2323" s="138" t="s">
        <v>1292</v>
      </c>
      <c r="K2323" s="138" t="s">
        <v>1292</v>
      </c>
      <c r="L2323" s="138" t="s">
        <v>1292</v>
      </c>
      <c r="M2323" s="13"/>
      <c r="N2323" s="89" t="s">
        <v>1292</v>
      </c>
      <c r="P2323" t="str">
        <f>VLOOKUP(B2323,PTN!A:B,2,FALSE)</f>
        <v>UNIVERSITAS PALANGKARAYA</v>
      </c>
      <c r="Q2323" t="str">
        <f t="shared" si="36"/>
        <v>UNIVERSITAS PALANGKARAYATEKNIK PERANGKAT LUNAK (TEK. INFORMATIKA)</v>
      </c>
    </row>
    <row r="2324" spans="1:17" ht="15.75" thickBot="1" x14ac:dyDescent="0.3">
      <c r="A2324" s="7">
        <v>2323</v>
      </c>
      <c r="B2324" s="6">
        <v>59</v>
      </c>
      <c r="C2324" s="12">
        <v>5211166</v>
      </c>
      <c r="D2324" t="s">
        <v>239</v>
      </c>
      <c r="E2324" s="12">
        <v>18</v>
      </c>
      <c r="F2324" s="10" t="s">
        <v>20</v>
      </c>
      <c r="J2324" s="138" t="s">
        <v>1292</v>
      </c>
      <c r="K2324" s="138" t="s">
        <v>1292</v>
      </c>
      <c r="L2324" s="138" t="s">
        <v>1292</v>
      </c>
      <c r="M2324" s="12"/>
      <c r="N2324" s="88" t="s">
        <v>1292</v>
      </c>
      <c r="P2324" t="str">
        <f>VLOOKUP(B2324,PTN!A:B,2,FALSE)</f>
        <v>UNIVERSITAS PALANGKARAYA</v>
      </c>
      <c r="Q2324" t="str">
        <f t="shared" si="36"/>
        <v>UNIVERSITAS PALANGKARAYATEKNIK PERTAMBANGAN</v>
      </c>
    </row>
    <row r="2325" spans="1:17" ht="15.75" thickBot="1" x14ac:dyDescent="0.3">
      <c r="A2325" s="7">
        <v>2324</v>
      </c>
      <c r="B2325" s="6">
        <v>59</v>
      </c>
      <c r="C2325" s="13">
        <v>5211085</v>
      </c>
      <c r="D2325" t="s">
        <v>54</v>
      </c>
      <c r="E2325" s="13">
        <v>46</v>
      </c>
      <c r="F2325" s="10" t="s">
        <v>20</v>
      </c>
      <c r="J2325" s="138" t="s">
        <v>1292</v>
      </c>
      <c r="K2325" s="138" t="s">
        <v>1292</v>
      </c>
      <c r="L2325" s="138" t="s">
        <v>1292</v>
      </c>
      <c r="M2325" s="13"/>
      <c r="N2325" s="89" t="s">
        <v>1292</v>
      </c>
      <c r="P2325" t="str">
        <f>VLOOKUP(B2325,PTN!A:B,2,FALSE)</f>
        <v>UNIVERSITAS PALANGKARAYA</v>
      </c>
      <c r="Q2325" t="str">
        <f t="shared" si="36"/>
        <v>UNIVERSITAS PALANGKARAYATEKNIK SIPIL</v>
      </c>
    </row>
    <row r="2326" spans="1:17" ht="15.75" thickBot="1" x14ac:dyDescent="0.3">
      <c r="A2326" s="7">
        <v>2325</v>
      </c>
      <c r="B2326" s="6">
        <v>59</v>
      </c>
      <c r="C2326" s="12">
        <v>5211197</v>
      </c>
      <c r="D2326" t="s">
        <v>222</v>
      </c>
      <c r="E2326" s="12">
        <v>54</v>
      </c>
      <c r="F2326" s="10" t="s">
        <v>20</v>
      </c>
      <c r="J2326" s="138" t="s">
        <v>1292</v>
      </c>
      <c r="K2326" s="138" t="s">
        <v>1292</v>
      </c>
      <c r="L2326" s="138" t="s">
        <v>1292</v>
      </c>
      <c r="M2326" s="12"/>
      <c r="N2326" s="88" t="s">
        <v>1292</v>
      </c>
      <c r="P2326" t="str">
        <f>VLOOKUP(B2326,PTN!A:B,2,FALSE)</f>
        <v>UNIVERSITAS PALANGKARAYA</v>
      </c>
      <c r="Q2326" t="str">
        <f t="shared" si="36"/>
        <v>UNIVERSITAS PALANGKARAYATEKNOLOGI HASIL PERIKANAN</v>
      </c>
    </row>
    <row r="2327" spans="1:17" ht="15.75" thickBot="1" x14ac:dyDescent="0.3">
      <c r="A2327" s="7">
        <v>2326</v>
      </c>
      <c r="B2327" s="6">
        <v>59</v>
      </c>
      <c r="C2327" s="16">
        <v>5211232</v>
      </c>
      <c r="D2327" t="s">
        <v>166</v>
      </c>
      <c r="E2327" s="16">
        <v>36</v>
      </c>
      <c r="F2327" s="10" t="s">
        <v>20</v>
      </c>
      <c r="J2327" s="138" t="s">
        <v>1292</v>
      </c>
      <c r="K2327" s="138" t="s">
        <v>1292</v>
      </c>
      <c r="L2327" s="138" t="s">
        <v>1292</v>
      </c>
      <c r="M2327" s="13"/>
      <c r="N2327" s="89" t="s">
        <v>1292</v>
      </c>
      <c r="P2327" t="str">
        <f>VLOOKUP(B2327,PTN!A:B,2,FALSE)</f>
        <v>UNIVERSITAS PALANGKARAYA</v>
      </c>
      <c r="Q2327" t="str">
        <f t="shared" si="36"/>
        <v>UNIVERSITAS PALANGKARAYATEKNOLOGI INDUSTRI PERTANIAN</v>
      </c>
    </row>
    <row r="2328" spans="1:17" ht="16.5" thickTop="1" thickBot="1" x14ac:dyDescent="0.3">
      <c r="A2328" s="7">
        <v>2327</v>
      </c>
      <c r="B2328" s="6">
        <v>59</v>
      </c>
      <c r="C2328" s="12">
        <v>5212123</v>
      </c>
      <c r="D2328" t="s">
        <v>55</v>
      </c>
      <c r="E2328" s="12">
        <v>72</v>
      </c>
      <c r="F2328" s="10" t="s">
        <v>13</v>
      </c>
      <c r="J2328" s="138" t="s">
        <v>1292</v>
      </c>
      <c r="K2328" s="138" t="s">
        <v>1292</v>
      </c>
      <c r="L2328" s="138" t="s">
        <v>1292</v>
      </c>
      <c r="M2328" s="21"/>
      <c r="N2328" s="83" t="s">
        <v>1292</v>
      </c>
      <c r="P2328" t="str">
        <f>VLOOKUP(B2328,PTN!A:B,2,FALSE)</f>
        <v>UNIVERSITAS PALANGKARAYA</v>
      </c>
      <c r="Q2328" t="str">
        <f t="shared" si="36"/>
        <v>UNIVERSITAS PALANGKARAYAAKUNTANSI</v>
      </c>
    </row>
    <row r="2329" spans="1:17" ht="15.75" thickBot="1" x14ac:dyDescent="0.3">
      <c r="A2329" s="7">
        <v>2328</v>
      </c>
      <c r="B2329" s="6">
        <v>59</v>
      </c>
      <c r="C2329" s="13">
        <v>5212096</v>
      </c>
      <c r="D2329" t="s">
        <v>187</v>
      </c>
      <c r="E2329" s="13">
        <v>21</v>
      </c>
      <c r="F2329" s="10" t="s">
        <v>13</v>
      </c>
      <c r="J2329" s="138" t="s">
        <v>1292</v>
      </c>
      <c r="K2329" s="138" t="s">
        <v>1292</v>
      </c>
      <c r="L2329" s="138" t="s">
        <v>1292</v>
      </c>
      <c r="M2329" s="21"/>
      <c r="N2329" s="83" t="s">
        <v>1292</v>
      </c>
      <c r="P2329" t="str">
        <f>VLOOKUP(B2329,PTN!A:B,2,FALSE)</f>
        <v>UNIVERSITAS PALANGKARAYA</v>
      </c>
      <c r="Q2329" t="str">
        <f t="shared" si="36"/>
        <v>UNIVERSITAS PALANGKARAYABIMBINGAN DAN KONSELING</v>
      </c>
    </row>
    <row r="2330" spans="1:17" ht="16.5" thickTop="1" thickBot="1" x14ac:dyDescent="0.3">
      <c r="A2330" s="7">
        <v>2329</v>
      </c>
      <c r="B2330" s="6">
        <v>59</v>
      </c>
      <c r="C2330" s="12">
        <v>5212107</v>
      </c>
      <c r="D2330" t="s">
        <v>69</v>
      </c>
      <c r="E2330" s="12">
        <v>54</v>
      </c>
      <c r="F2330" s="10" t="s">
        <v>13</v>
      </c>
      <c r="J2330" s="138" t="s">
        <v>1292</v>
      </c>
      <c r="K2330" s="138" t="s">
        <v>1292</v>
      </c>
      <c r="L2330" s="138" t="s">
        <v>1292</v>
      </c>
      <c r="M2330" s="24"/>
      <c r="N2330" s="84" t="s">
        <v>1292</v>
      </c>
      <c r="P2330" t="str">
        <f>VLOOKUP(B2330,PTN!A:B,2,FALSE)</f>
        <v>UNIVERSITAS PALANGKARAYA</v>
      </c>
      <c r="Q2330" t="str">
        <f t="shared" si="36"/>
        <v>UNIVERSITAS PALANGKARAYAEKONOMI PEMBANGUNAN</v>
      </c>
    </row>
    <row r="2331" spans="1:17" ht="16.5" thickTop="1" thickBot="1" x14ac:dyDescent="0.3">
      <c r="A2331" s="7">
        <v>2330</v>
      </c>
      <c r="B2331" s="6">
        <v>59</v>
      </c>
      <c r="C2331" s="13">
        <v>5212146</v>
      </c>
      <c r="D2331" t="s">
        <v>29</v>
      </c>
      <c r="E2331" s="13">
        <v>28</v>
      </c>
      <c r="F2331" s="10" t="s">
        <v>13</v>
      </c>
      <c r="J2331" s="138" t="s">
        <v>1292</v>
      </c>
      <c r="K2331" s="138" t="s">
        <v>1292</v>
      </c>
      <c r="L2331" s="138" t="s">
        <v>1292</v>
      </c>
      <c r="M2331" s="12"/>
      <c r="N2331" s="88" t="s">
        <v>1292</v>
      </c>
      <c r="P2331" t="str">
        <f>VLOOKUP(B2331,PTN!A:B,2,FALSE)</f>
        <v>UNIVERSITAS PALANGKARAYA</v>
      </c>
      <c r="Q2331" t="str">
        <f t="shared" si="36"/>
        <v>UNIVERSITAS PALANGKARAYAILMU ADMINISTRASI NEGARA</v>
      </c>
    </row>
    <row r="2332" spans="1:17" ht="15.75" thickBot="1" x14ac:dyDescent="0.3">
      <c r="A2332" s="7">
        <v>2331</v>
      </c>
      <c r="B2332" s="6">
        <v>59</v>
      </c>
      <c r="C2332" s="12">
        <v>5212154</v>
      </c>
      <c r="D2332" t="s">
        <v>31</v>
      </c>
      <c r="E2332" s="12">
        <v>54</v>
      </c>
      <c r="F2332" s="10" t="s">
        <v>13</v>
      </c>
      <c r="J2332" s="138" t="s">
        <v>1292</v>
      </c>
      <c r="K2332" s="138" t="s">
        <v>1292</v>
      </c>
      <c r="L2332" s="138" t="s">
        <v>1292</v>
      </c>
      <c r="M2332" s="13"/>
      <c r="N2332" s="89" t="s">
        <v>1292</v>
      </c>
      <c r="P2332" t="str">
        <f>VLOOKUP(B2332,PTN!A:B,2,FALSE)</f>
        <v>UNIVERSITAS PALANGKARAYA</v>
      </c>
      <c r="Q2332" t="str">
        <f t="shared" si="36"/>
        <v>UNIVERSITAS PALANGKARAYAILMU HUKUM</v>
      </c>
    </row>
    <row r="2333" spans="1:17" ht="15.75" thickBot="1" x14ac:dyDescent="0.3">
      <c r="A2333" s="7">
        <v>2332</v>
      </c>
      <c r="B2333" s="6">
        <v>59</v>
      </c>
      <c r="C2333" s="13">
        <v>5212193</v>
      </c>
      <c r="D2333" t="s">
        <v>97</v>
      </c>
      <c r="E2333" s="13">
        <v>28</v>
      </c>
      <c r="F2333" s="10" t="s">
        <v>13</v>
      </c>
      <c r="J2333" s="138" t="s">
        <v>1292</v>
      </c>
      <c r="K2333" s="138" t="s">
        <v>1292</v>
      </c>
      <c r="L2333" s="138" t="s">
        <v>1292</v>
      </c>
      <c r="M2333" s="12"/>
      <c r="N2333" s="88" t="s">
        <v>1292</v>
      </c>
      <c r="P2333" t="str">
        <f>VLOOKUP(B2333,PTN!A:B,2,FALSE)</f>
        <v>UNIVERSITAS PALANGKARAYA</v>
      </c>
      <c r="Q2333" t="str">
        <f t="shared" si="36"/>
        <v>UNIVERSITAS PALANGKARAYAILMU PEMERINTAHAN</v>
      </c>
    </row>
    <row r="2334" spans="1:17" ht="15.75" thickBot="1" x14ac:dyDescent="0.3">
      <c r="A2334" s="7">
        <v>2333</v>
      </c>
      <c r="B2334" s="6">
        <v>59</v>
      </c>
      <c r="C2334" s="12">
        <v>5212115</v>
      </c>
      <c r="D2334" t="s">
        <v>61</v>
      </c>
      <c r="E2334" s="12">
        <v>72</v>
      </c>
      <c r="F2334" s="10" t="s">
        <v>13</v>
      </c>
      <c r="J2334" s="138" t="s">
        <v>1292</v>
      </c>
      <c r="K2334" s="138" t="s">
        <v>1292</v>
      </c>
      <c r="L2334" s="138" t="s">
        <v>1292</v>
      </c>
      <c r="M2334" s="13"/>
      <c r="N2334" s="89" t="s">
        <v>1292</v>
      </c>
      <c r="P2334" t="str">
        <f>VLOOKUP(B2334,PTN!A:B,2,FALSE)</f>
        <v>UNIVERSITAS PALANGKARAYA</v>
      </c>
      <c r="Q2334" t="str">
        <f t="shared" si="36"/>
        <v>UNIVERSITAS PALANGKARAYAMANAJEMEN</v>
      </c>
    </row>
    <row r="2335" spans="1:17" ht="15.75" thickBot="1" x14ac:dyDescent="0.3">
      <c r="A2335" s="7">
        <v>2334</v>
      </c>
      <c r="B2335" s="6">
        <v>59</v>
      </c>
      <c r="C2335" s="13">
        <v>5212185</v>
      </c>
      <c r="D2335" t="s">
        <v>321</v>
      </c>
      <c r="E2335" s="13">
        <v>14</v>
      </c>
      <c r="F2335" s="10" t="s">
        <v>13</v>
      </c>
      <c r="J2335" s="138" t="s">
        <v>1292</v>
      </c>
      <c r="K2335" s="138" t="s">
        <v>1292</v>
      </c>
      <c r="L2335" s="138" t="s">
        <v>1292</v>
      </c>
      <c r="M2335" s="12"/>
      <c r="N2335" s="88" t="s">
        <v>1292</v>
      </c>
      <c r="P2335" t="str">
        <f>VLOOKUP(B2335,PTN!A:B,2,FALSE)</f>
        <v>UNIVERSITAS PALANGKARAYA</v>
      </c>
      <c r="Q2335" t="str">
        <f t="shared" si="36"/>
        <v>UNIVERSITAS PALANGKARAYAMANAJEMEN PENDIDIKAN</v>
      </c>
    </row>
    <row r="2336" spans="1:17" ht="15.75" thickBot="1" x14ac:dyDescent="0.3">
      <c r="A2336" s="7">
        <v>2335</v>
      </c>
      <c r="B2336" s="6">
        <v>59</v>
      </c>
      <c r="C2336" s="12">
        <v>5212034</v>
      </c>
      <c r="D2336" t="s">
        <v>242</v>
      </c>
      <c r="E2336" s="12">
        <v>36</v>
      </c>
      <c r="F2336" s="10" t="s">
        <v>13</v>
      </c>
      <c r="J2336" s="138" t="s">
        <v>1292</v>
      </c>
      <c r="K2336" s="138" t="s">
        <v>1292</v>
      </c>
      <c r="L2336" s="138" t="s">
        <v>1292</v>
      </c>
      <c r="M2336" s="13"/>
      <c r="N2336" s="89" t="s">
        <v>1292</v>
      </c>
      <c r="P2336" t="str">
        <f>VLOOKUP(B2336,PTN!A:B,2,FALSE)</f>
        <v>UNIVERSITAS PALANGKARAYA</v>
      </c>
      <c r="Q2336" t="str">
        <f t="shared" si="36"/>
        <v>UNIVERSITAS PALANGKARAYAPEND. BAHASA INGGRIS</v>
      </c>
    </row>
    <row r="2337" spans="1:17" ht="15.75" thickBot="1" x14ac:dyDescent="0.3">
      <c r="A2337" s="7">
        <v>2336</v>
      </c>
      <c r="B2337" s="6">
        <v>59</v>
      </c>
      <c r="C2337" s="13">
        <v>5212042</v>
      </c>
      <c r="D2337" t="s">
        <v>119</v>
      </c>
      <c r="E2337" s="13">
        <v>21</v>
      </c>
      <c r="F2337" s="10" t="s">
        <v>13</v>
      </c>
      <c r="J2337" s="138" t="s">
        <v>1292</v>
      </c>
      <c r="K2337" s="138" t="s">
        <v>1292</v>
      </c>
      <c r="L2337" s="138" t="s">
        <v>1292</v>
      </c>
      <c r="M2337" s="12"/>
      <c r="N2337" s="88" t="s">
        <v>1292</v>
      </c>
      <c r="P2337" t="str">
        <f>VLOOKUP(B2337,PTN!A:B,2,FALSE)</f>
        <v>UNIVERSITAS PALANGKARAYA</v>
      </c>
      <c r="Q2337" t="str">
        <f t="shared" si="36"/>
        <v>UNIVERSITAS PALANGKARAYAPEND. BAHASA, SASTRA INDONESIA &amp; DAERAH</v>
      </c>
    </row>
    <row r="2338" spans="1:17" ht="15.75" thickBot="1" x14ac:dyDescent="0.3">
      <c r="A2338" s="7">
        <v>2337</v>
      </c>
      <c r="B2338" s="6">
        <v>59</v>
      </c>
      <c r="C2338" s="12">
        <v>5212026</v>
      </c>
      <c r="D2338" t="s">
        <v>229</v>
      </c>
      <c r="E2338" s="12">
        <v>14</v>
      </c>
      <c r="F2338" s="10" t="s">
        <v>13</v>
      </c>
      <c r="J2338" s="138" t="s">
        <v>1292</v>
      </c>
      <c r="K2338" s="138" t="s">
        <v>1292</v>
      </c>
      <c r="L2338" s="138" t="s">
        <v>1292</v>
      </c>
      <c r="M2338" s="13"/>
      <c r="N2338" s="89" t="s">
        <v>1292</v>
      </c>
      <c r="P2338" t="str">
        <f>VLOOKUP(B2338,PTN!A:B,2,FALSE)</f>
        <v>UNIVERSITAS PALANGKARAYA</v>
      </c>
      <c r="Q2338" t="str">
        <f t="shared" si="36"/>
        <v>UNIVERSITAS PALANGKARAYAPEND. EKONOMI</v>
      </c>
    </row>
    <row r="2339" spans="1:17" ht="15.75" thickBot="1" x14ac:dyDescent="0.3">
      <c r="A2339" s="7">
        <v>2338</v>
      </c>
      <c r="B2339" s="6">
        <v>59</v>
      </c>
      <c r="C2339" s="13">
        <v>5212073</v>
      </c>
      <c r="D2339" t="s">
        <v>631</v>
      </c>
      <c r="E2339" s="13">
        <v>25</v>
      </c>
      <c r="F2339" s="10" t="s">
        <v>13</v>
      </c>
      <c r="J2339" s="138" t="s">
        <v>1292</v>
      </c>
      <c r="K2339" s="138" t="s">
        <v>1292</v>
      </c>
      <c r="L2339" s="138" t="s">
        <v>1292</v>
      </c>
      <c r="M2339" s="12"/>
      <c r="N2339" s="88" t="s">
        <v>1292</v>
      </c>
      <c r="P2339" t="str">
        <f>VLOOKUP(B2339,PTN!A:B,2,FALSE)</f>
        <v>UNIVERSITAS PALANGKARAYA</v>
      </c>
      <c r="Q2339" t="str">
        <f t="shared" si="36"/>
        <v>UNIVERSITAS PALANGKARAYAPEND. GURU PEND ANAK USIA DINI (PG PAUD)</v>
      </c>
    </row>
    <row r="2340" spans="1:17" ht="15.75" thickBot="1" x14ac:dyDescent="0.3">
      <c r="A2340" s="7">
        <v>2339</v>
      </c>
      <c r="B2340" s="6">
        <v>59</v>
      </c>
      <c r="C2340" s="12">
        <v>5212057</v>
      </c>
      <c r="D2340" t="s">
        <v>625</v>
      </c>
      <c r="E2340" s="12">
        <v>43</v>
      </c>
      <c r="F2340" s="10" t="s">
        <v>13</v>
      </c>
      <c r="J2340" s="138" t="s">
        <v>1292</v>
      </c>
      <c r="K2340" s="138" t="s">
        <v>1292</v>
      </c>
      <c r="L2340" s="138" t="s">
        <v>1292</v>
      </c>
      <c r="M2340" s="13"/>
      <c r="N2340" s="89" t="s">
        <v>1292</v>
      </c>
      <c r="P2340" t="str">
        <f>VLOOKUP(B2340,PTN!A:B,2,FALSE)</f>
        <v>UNIVERSITAS PALANGKARAYA</v>
      </c>
      <c r="Q2340" t="str">
        <f t="shared" si="36"/>
        <v>UNIVERSITAS PALANGKARAYAPEND. GURU SEKOLAH DASAR (PGSD)</v>
      </c>
    </row>
    <row r="2341" spans="1:17" ht="15.75" thickBot="1" x14ac:dyDescent="0.3">
      <c r="A2341" s="7">
        <v>2340</v>
      </c>
      <c r="B2341" s="6">
        <v>59</v>
      </c>
      <c r="C2341" s="13">
        <v>5212204</v>
      </c>
      <c r="D2341" t="s">
        <v>203</v>
      </c>
      <c r="E2341" s="13">
        <v>18</v>
      </c>
      <c r="F2341" s="10" t="s">
        <v>13</v>
      </c>
      <c r="J2341" s="138" t="s">
        <v>1292</v>
      </c>
      <c r="K2341" s="138" t="s">
        <v>1292</v>
      </c>
      <c r="L2341" s="138" t="s">
        <v>1292</v>
      </c>
      <c r="M2341" s="12"/>
      <c r="N2341" s="88" t="s">
        <v>1292</v>
      </c>
      <c r="P2341" t="str">
        <f>VLOOKUP(B2341,PTN!A:B,2,FALSE)</f>
        <v>UNIVERSITAS PALANGKARAYA</v>
      </c>
      <c r="Q2341" t="str">
        <f t="shared" si="36"/>
        <v>UNIVERSITAS PALANGKARAYAPENDIDIKAN SENDRATASIK</v>
      </c>
    </row>
    <row r="2342" spans="1:17" ht="15.75" thickBot="1" x14ac:dyDescent="0.3">
      <c r="A2342" s="7">
        <v>2341</v>
      </c>
      <c r="B2342" s="6">
        <v>59</v>
      </c>
      <c r="C2342" s="12">
        <v>5212065</v>
      </c>
      <c r="D2342" t="s">
        <v>431</v>
      </c>
      <c r="E2342" s="12">
        <v>28</v>
      </c>
      <c r="F2342" s="10" t="s">
        <v>13</v>
      </c>
      <c r="J2342" s="138" t="s">
        <v>1292</v>
      </c>
      <c r="K2342" s="138" t="s">
        <v>1292</v>
      </c>
      <c r="L2342" s="138" t="s">
        <v>1292</v>
      </c>
      <c r="M2342" s="13"/>
      <c r="N2342" s="89" t="s">
        <v>1292</v>
      </c>
      <c r="P2342" t="str">
        <f>VLOOKUP(B2342,PTN!A:B,2,FALSE)</f>
        <v>UNIVERSITAS PALANGKARAYA</v>
      </c>
      <c r="Q2342" t="str">
        <f t="shared" si="36"/>
        <v>UNIVERSITAS PALANGKARAYAPEND. JASMANI, KESEHATAN DAN REKREASI</v>
      </c>
    </row>
    <row r="2343" spans="1:17" ht="15.75" thickBot="1" x14ac:dyDescent="0.3">
      <c r="A2343" s="7">
        <v>2342</v>
      </c>
      <c r="B2343" s="6">
        <v>59</v>
      </c>
      <c r="C2343" s="13">
        <v>5212081</v>
      </c>
      <c r="D2343" t="s">
        <v>232</v>
      </c>
      <c r="E2343" s="13">
        <v>14</v>
      </c>
      <c r="F2343" s="10" t="s">
        <v>13</v>
      </c>
      <c r="J2343" s="138" t="s">
        <v>1292</v>
      </c>
      <c r="K2343" s="138" t="s">
        <v>1292</v>
      </c>
      <c r="L2343" s="138" t="s">
        <v>1292</v>
      </c>
      <c r="M2343" s="12"/>
      <c r="N2343" s="88" t="s">
        <v>1292</v>
      </c>
      <c r="P2343" t="str">
        <f>VLOOKUP(B2343,PTN!A:B,2,FALSE)</f>
        <v>UNIVERSITAS PALANGKARAYA</v>
      </c>
      <c r="Q2343" t="str">
        <f t="shared" si="36"/>
        <v>UNIVERSITAS PALANGKARAYAPEND. LUAR SEKOLAH</v>
      </c>
    </row>
    <row r="2344" spans="1:17" ht="15.75" thickBot="1" x14ac:dyDescent="0.3">
      <c r="A2344" s="7">
        <v>2343</v>
      </c>
      <c r="B2344" s="6">
        <v>59</v>
      </c>
      <c r="C2344" s="12">
        <v>5212011</v>
      </c>
      <c r="D2344" t="s">
        <v>138</v>
      </c>
      <c r="E2344" s="12">
        <v>21</v>
      </c>
      <c r="F2344" s="10" t="s">
        <v>13</v>
      </c>
      <c r="J2344" s="138" t="s">
        <v>1292</v>
      </c>
      <c r="K2344" s="138" t="s">
        <v>1292</v>
      </c>
      <c r="L2344" s="138" t="s">
        <v>1292</v>
      </c>
      <c r="M2344" s="13"/>
      <c r="N2344" s="89" t="s">
        <v>1292</v>
      </c>
      <c r="P2344" t="str">
        <f>VLOOKUP(B2344,PTN!A:B,2,FALSE)</f>
        <v>UNIVERSITAS PALANGKARAYA</v>
      </c>
      <c r="Q2344" t="str">
        <f t="shared" si="36"/>
        <v>UNIVERSITAS PALANGKARAYAPEND. PANCASILA &amp; KEWARGANEGARAAN (PPKN)</v>
      </c>
    </row>
    <row r="2345" spans="1:17" ht="15.75" thickBot="1" x14ac:dyDescent="0.3">
      <c r="A2345" s="7">
        <v>2344</v>
      </c>
      <c r="B2345" s="6">
        <v>59</v>
      </c>
      <c r="C2345" s="13">
        <v>5212131</v>
      </c>
      <c r="D2345" t="s">
        <v>63</v>
      </c>
      <c r="E2345" s="13">
        <v>28</v>
      </c>
      <c r="F2345" s="10" t="s">
        <v>13</v>
      </c>
      <c r="J2345" s="138" t="s">
        <v>1292</v>
      </c>
      <c r="K2345" s="138" t="s">
        <v>1292</v>
      </c>
      <c r="L2345" s="138" t="s">
        <v>1292</v>
      </c>
      <c r="M2345" s="12"/>
      <c r="N2345" s="88" t="s">
        <v>1292</v>
      </c>
      <c r="P2345" t="str">
        <f>VLOOKUP(B2345,PTN!A:B,2,FALSE)</f>
        <v>UNIVERSITAS PALANGKARAYA</v>
      </c>
      <c r="Q2345" t="str">
        <f t="shared" si="36"/>
        <v>UNIVERSITAS PALANGKARAYASOSIOLOGI</v>
      </c>
    </row>
    <row r="2346" spans="1:17" ht="15.75" thickBot="1" x14ac:dyDescent="0.3">
      <c r="A2346" s="7">
        <v>2345</v>
      </c>
      <c r="B2346" s="6">
        <v>59</v>
      </c>
      <c r="C2346" s="14">
        <v>5212162</v>
      </c>
      <c r="D2346" t="s">
        <v>210</v>
      </c>
      <c r="E2346" s="14">
        <v>18</v>
      </c>
      <c r="F2346" s="10" t="s">
        <v>13</v>
      </c>
      <c r="J2346" s="138" t="s">
        <v>1292</v>
      </c>
      <c r="K2346" s="138" t="s">
        <v>1292</v>
      </c>
      <c r="L2346" s="138" t="s">
        <v>1292</v>
      </c>
      <c r="M2346" s="13"/>
      <c r="N2346" s="89" t="s">
        <v>1292</v>
      </c>
      <c r="P2346" t="str">
        <f>VLOOKUP(B2346,PTN!A:B,2,FALSE)</f>
        <v>UNIVERSITAS PALANGKARAYA</v>
      </c>
      <c r="Q2346" t="str">
        <f t="shared" si="36"/>
        <v>UNIVERSITAS PALANGKARAYATEKNOLOGI PENDIDIKAN</v>
      </c>
    </row>
    <row r="2347" spans="1:17" ht="16.5" thickTop="1" thickBot="1" x14ac:dyDescent="0.3">
      <c r="A2347" s="7">
        <v>2346</v>
      </c>
      <c r="B2347" s="6">
        <v>60</v>
      </c>
      <c r="C2347" s="12">
        <v>5311055</v>
      </c>
      <c r="D2347" t="s">
        <v>37</v>
      </c>
      <c r="E2347" s="12">
        <v>17</v>
      </c>
      <c r="F2347" s="10" t="s">
        <v>20</v>
      </c>
      <c r="J2347" s="138" t="s">
        <v>1292</v>
      </c>
      <c r="K2347" s="138" t="s">
        <v>1292</v>
      </c>
      <c r="L2347" s="138" t="s">
        <v>1292</v>
      </c>
      <c r="M2347" s="21"/>
      <c r="N2347" s="83" t="s">
        <v>1292</v>
      </c>
      <c r="P2347" t="str">
        <f>VLOOKUP(B2347,PTN!A:B,2,FALSE)</f>
        <v>UNIVERSITAS LAMBUNG MANGKURAT</v>
      </c>
      <c r="Q2347" t="str">
        <f t="shared" si="36"/>
        <v>UNIVERSITAS LAMBUNG MANGKURATAGRIBISNIS</v>
      </c>
    </row>
    <row r="2348" spans="1:17" ht="15.75" thickBot="1" x14ac:dyDescent="0.3">
      <c r="A2348" s="7">
        <v>2347</v>
      </c>
      <c r="B2348" s="6">
        <v>60</v>
      </c>
      <c r="C2348" s="13">
        <v>5311152</v>
      </c>
      <c r="D2348" t="s">
        <v>632</v>
      </c>
      <c r="E2348" s="13">
        <v>15</v>
      </c>
      <c r="F2348" s="10" t="s">
        <v>20</v>
      </c>
      <c r="J2348" s="138" t="s">
        <v>1292</v>
      </c>
      <c r="K2348" s="138" t="s">
        <v>1292</v>
      </c>
      <c r="L2348" s="138" t="s">
        <v>1292</v>
      </c>
      <c r="M2348" s="21"/>
      <c r="N2348" s="83" t="s">
        <v>1292</v>
      </c>
      <c r="P2348" t="str">
        <f>VLOOKUP(B2348,PTN!A:B,2,FALSE)</f>
        <v>UNIVERSITAS LAMBUNG MANGKURAT</v>
      </c>
      <c r="Q2348" t="str">
        <f t="shared" si="36"/>
        <v>UNIVERSITAS LAMBUNG MANGKURATAGRIBISNIS PERIKANAN</v>
      </c>
    </row>
    <row r="2349" spans="1:17" ht="16.5" thickTop="1" thickBot="1" x14ac:dyDescent="0.3">
      <c r="A2349" s="7">
        <v>2348</v>
      </c>
      <c r="B2349" s="6">
        <v>60</v>
      </c>
      <c r="C2349" s="12">
        <v>5311047</v>
      </c>
      <c r="D2349" t="s">
        <v>38</v>
      </c>
      <c r="E2349" s="12">
        <v>11</v>
      </c>
      <c r="F2349" s="10" t="s">
        <v>20</v>
      </c>
      <c r="J2349" s="138" t="s">
        <v>1292</v>
      </c>
      <c r="K2349" s="138" t="s">
        <v>1292</v>
      </c>
      <c r="L2349" s="138" t="s">
        <v>1292</v>
      </c>
      <c r="M2349" s="24"/>
      <c r="N2349" s="84" t="s">
        <v>1292</v>
      </c>
      <c r="P2349" t="str">
        <f>VLOOKUP(B2349,PTN!A:B,2,FALSE)</f>
        <v>UNIVERSITAS LAMBUNG MANGKURAT</v>
      </c>
      <c r="Q2349" t="str">
        <f t="shared" si="36"/>
        <v>UNIVERSITAS LAMBUNG MANGKURATAGROEKOTEKNOLOGI</v>
      </c>
    </row>
    <row r="2350" spans="1:17" ht="16.5" thickTop="1" thickBot="1" x14ac:dyDescent="0.3">
      <c r="A2350" s="7">
        <v>2349</v>
      </c>
      <c r="B2350" s="6">
        <v>60</v>
      </c>
      <c r="C2350" s="13">
        <v>5311376</v>
      </c>
      <c r="D2350" t="s">
        <v>250</v>
      </c>
      <c r="E2350" s="13">
        <v>11</v>
      </c>
      <c r="F2350" s="10" t="s">
        <v>20</v>
      </c>
      <c r="J2350" s="138" t="s">
        <v>1292</v>
      </c>
      <c r="K2350" s="138" t="s">
        <v>1292</v>
      </c>
      <c r="L2350" s="138" t="s">
        <v>1292</v>
      </c>
      <c r="M2350" s="12"/>
      <c r="N2350" s="88" t="s">
        <v>1292</v>
      </c>
      <c r="P2350" t="str">
        <f>VLOOKUP(B2350,PTN!A:B,2,FALSE)</f>
        <v>UNIVERSITAS LAMBUNG MANGKURAT</v>
      </c>
      <c r="Q2350" t="str">
        <f t="shared" si="36"/>
        <v>UNIVERSITAS LAMBUNG MANGKURATAGRONOMI</v>
      </c>
    </row>
    <row r="2351" spans="1:17" ht="15.75" thickBot="1" x14ac:dyDescent="0.3">
      <c r="A2351" s="7">
        <v>2350</v>
      </c>
      <c r="B2351" s="6">
        <v>60</v>
      </c>
      <c r="C2351" s="12">
        <v>5311272</v>
      </c>
      <c r="D2351" t="s">
        <v>21</v>
      </c>
      <c r="E2351" s="12">
        <v>15</v>
      </c>
      <c r="F2351" s="10" t="s">
        <v>20</v>
      </c>
      <c r="J2351" s="138" t="s">
        <v>1292</v>
      </c>
      <c r="K2351" s="138" t="s">
        <v>1292</v>
      </c>
      <c r="L2351" s="138" t="s">
        <v>1292</v>
      </c>
      <c r="M2351" s="13"/>
      <c r="N2351" s="89" t="s">
        <v>1292</v>
      </c>
      <c r="P2351" t="str">
        <f>VLOOKUP(B2351,PTN!A:B,2,FALSE)</f>
        <v>UNIVERSITAS LAMBUNG MANGKURAT</v>
      </c>
      <c r="Q2351" t="str">
        <f t="shared" si="36"/>
        <v>UNIVERSITAS LAMBUNG MANGKURATBIOLOGI</v>
      </c>
    </row>
    <row r="2352" spans="1:17" ht="15.75" thickBot="1" x14ac:dyDescent="0.3">
      <c r="A2352" s="7">
        <v>2351</v>
      </c>
      <c r="B2352" s="6">
        <v>60</v>
      </c>
      <c r="C2352" s="13">
        <v>5311121</v>
      </c>
      <c r="D2352" t="s">
        <v>39</v>
      </c>
      <c r="E2352" s="13">
        <v>15</v>
      </c>
      <c r="F2352" s="10" t="s">
        <v>20</v>
      </c>
      <c r="J2352" s="138" t="s">
        <v>1292</v>
      </c>
      <c r="K2352" s="138" t="s">
        <v>1292</v>
      </c>
      <c r="L2352" s="138" t="s">
        <v>1292</v>
      </c>
      <c r="M2352" s="12"/>
      <c r="N2352" s="88" t="s">
        <v>1292</v>
      </c>
      <c r="P2352" t="str">
        <f>VLOOKUP(B2352,PTN!A:B,2,FALSE)</f>
        <v>UNIVERSITAS LAMBUNG MANGKURAT</v>
      </c>
      <c r="Q2352" t="str">
        <f t="shared" si="36"/>
        <v>UNIVERSITAS LAMBUNG MANGKURATBUDIDAYA PERAIRAN</v>
      </c>
    </row>
    <row r="2353" spans="1:17" ht="15.75" thickBot="1" x14ac:dyDescent="0.3">
      <c r="A2353" s="7">
        <v>2352</v>
      </c>
      <c r="B2353" s="6">
        <v>60</v>
      </c>
      <c r="C2353" s="12">
        <v>5311295</v>
      </c>
      <c r="D2353" t="s">
        <v>77</v>
      </c>
      <c r="E2353" s="12">
        <v>18</v>
      </c>
      <c r="F2353" s="10" t="s">
        <v>20</v>
      </c>
      <c r="J2353" s="138">
        <v>612.63</v>
      </c>
      <c r="K2353" s="138">
        <v>620.57000000000005</v>
      </c>
      <c r="L2353" s="138">
        <v>604.68999999999994</v>
      </c>
      <c r="M2353" s="13"/>
      <c r="N2353" s="89">
        <v>612.63</v>
      </c>
      <c r="P2353" t="str">
        <f>VLOOKUP(B2353,PTN!A:B,2,FALSE)</f>
        <v>UNIVERSITAS LAMBUNG MANGKURAT</v>
      </c>
      <c r="Q2353" t="str">
        <f t="shared" si="36"/>
        <v>UNIVERSITAS LAMBUNG MANGKURATFARMASI</v>
      </c>
    </row>
    <row r="2354" spans="1:17" ht="15.75" thickBot="1" x14ac:dyDescent="0.3">
      <c r="A2354" s="7">
        <v>2353</v>
      </c>
      <c r="B2354" s="6">
        <v>60</v>
      </c>
      <c r="C2354" s="13">
        <v>5311287</v>
      </c>
      <c r="D2354" t="s">
        <v>65</v>
      </c>
      <c r="E2354" s="13">
        <v>17</v>
      </c>
      <c r="F2354" s="10" t="s">
        <v>20</v>
      </c>
      <c r="J2354" s="138" t="s">
        <v>1292</v>
      </c>
      <c r="K2354" s="138" t="s">
        <v>1292</v>
      </c>
      <c r="L2354" s="138" t="s">
        <v>1292</v>
      </c>
      <c r="M2354" s="12"/>
      <c r="N2354" s="88" t="s">
        <v>1292</v>
      </c>
      <c r="P2354" t="str">
        <f>VLOOKUP(B2354,PTN!A:B,2,FALSE)</f>
        <v>UNIVERSITAS LAMBUNG MANGKURAT</v>
      </c>
      <c r="Q2354" t="str">
        <f t="shared" si="36"/>
        <v>UNIVERSITAS LAMBUNG MANGKURATFISIKA</v>
      </c>
    </row>
    <row r="2355" spans="1:17" ht="15.75" thickBot="1" x14ac:dyDescent="0.3">
      <c r="A2355" s="7">
        <v>2354</v>
      </c>
      <c r="B2355" s="6">
        <v>60</v>
      </c>
      <c r="C2355" s="12">
        <v>5311167</v>
      </c>
      <c r="D2355" t="s">
        <v>40</v>
      </c>
      <c r="E2355" s="12">
        <v>15</v>
      </c>
      <c r="F2355" s="10" t="s">
        <v>20</v>
      </c>
      <c r="J2355" s="138" t="s">
        <v>1292</v>
      </c>
      <c r="K2355" s="138" t="s">
        <v>1292</v>
      </c>
      <c r="L2355" s="138" t="s">
        <v>1292</v>
      </c>
      <c r="M2355" s="13"/>
      <c r="N2355" s="89" t="s">
        <v>1292</v>
      </c>
      <c r="P2355" t="str">
        <f>VLOOKUP(B2355,PTN!A:B,2,FALSE)</f>
        <v>UNIVERSITAS LAMBUNG MANGKURAT</v>
      </c>
      <c r="Q2355" t="str">
        <f t="shared" si="36"/>
        <v>UNIVERSITAS LAMBUNG MANGKURATILMU KELAUTAN</v>
      </c>
    </row>
    <row r="2356" spans="1:17" ht="15.75" thickBot="1" x14ac:dyDescent="0.3">
      <c r="A2356" s="7">
        <v>2355</v>
      </c>
      <c r="B2356" s="6">
        <v>60</v>
      </c>
      <c r="C2356" s="13">
        <v>5311337</v>
      </c>
      <c r="D2356" t="s">
        <v>78</v>
      </c>
      <c r="E2356" s="13">
        <v>22</v>
      </c>
      <c r="F2356" s="10" t="s">
        <v>20</v>
      </c>
      <c r="J2356" s="138" t="s">
        <v>1292</v>
      </c>
      <c r="K2356" s="138" t="s">
        <v>1292</v>
      </c>
      <c r="L2356" s="138" t="s">
        <v>1292</v>
      </c>
      <c r="M2356" s="12"/>
      <c r="N2356" s="88" t="s">
        <v>1292</v>
      </c>
      <c r="P2356" t="str">
        <f>VLOOKUP(B2356,PTN!A:B,2,FALSE)</f>
        <v>UNIVERSITAS LAMBUNG MANGKURAT</v>
      </c>
      <c r="Q2356" t="str">
        <f t="shared" si="36"/>
        <v>UNIVERSITAS LAMBUNG MANGKURATILMU KEPERAWATAN</v>
      </c>
    </row>
    <row r="2357" spans="1:17" ht="15.75" thickBot="1" x14ac:dyDescent="0.3">
      <c r="A2357" s="7">
        <v>2356</v>
      </c>
      <c r="B2357" s="6">
        <v>60</v>
      </c>
      <c r="C2357" s="12">
        <v>5311306</v>
      </c>
      <c r="D2357" t="s">
        <v>111</v>
      </c>
      <c r="E2357" s="12">
        <v>17</v>
      </c>
      <c r="F2357" s="10" t="s">
        <v>20</v>
      </c>
      <c r="J2357" s="138" t="s">
        <v>1292</v>
      </c>
      <c r="K2357" s="138" t="s">
        <v>1292</v>
      </c>
      <c r="L2357" s="138" t="s">
        <v>1292</v>
      </c>
      <c r="M2357" s="13"/>
      <c r="N2357" s="89" t="s">
        <v>1292</v>
      </c>
      <c r="P2357" t="str">
        <f>VLOOKUP(B2357,PTN!A:B,2,FALSE)</f>
        <v>UNIVERSITAS LAMBUNG MANGKURAT</v>
      </c>
      <c r="Q2357" t="str">
        <f t="shared" si="36"/>
        <v>UNIVERSITAS LAMBUNG MANGKURATILMU KOMPUTER</v>
      </c>
    </row>
    <row r="2358" spans="1:17" ht="15.75" thickBot="1" x14ac:dyDescent="0.3">
      <c r="A2358" s="7">
        <v>2357</v>
      </c>
      <c r="B2358" s="6">
        <v>60</v>
      </c>
      <c r="C2358" s="13">
        <v>5311353</v>
      </c>
      <c r="D2358" t="s">
        <v>79</v>
      </c>
      <c r="E2358" s="13">
        <v>17</v>
      </c>
      <c r="F2358" s="10" t="s">
        <v>20</v>
      </c>
      <c r="J2358" s="138" t="s">
        <v>1292</v>
      </c>
      <c r="K2358" s="138" t="s">
        <v>1292</v>
      </c>
      <c r="L2358" s="138" t="s">
        <v>1292</v>
      </c>
      <c r="M2358" s="12"/>
      <c r="N2358" s="88" t="s">
        <v>1292</v>
      </c>
      <c r="P2358" t="str">
        <f>VLOOKUP(B2358,PTN!A:B,2,FALSE)</f>
        <v>UNIVERSITAS LAMBUNG MANGKURAT</v>
      </c>
      <c r="Q2358" t="str">
        <f t="shared" si="36"/>
        <v>UNIVERSITAS LAMBUNG MANGKURATILMU TANAH</v>
      </c>
    </row>
    <row r="2359" spans="1:17" ht="15.75" thickBot="1" x14ac:dyDescent="0.3">
      <c r="A2359" s="7">
        <v>2358</v>
      </c>
      <c r="B2359" s="6">
        <v>60</v>
      </c>
      <c r="C2359" s="12">
        <v>5311384</v>
      </c>
      <c r="D2359" t="s">
        <v>436</v>
      </c>
      <c r="E2359" s="12">
        <v>20</v>
      </c>
      <c r="F2359" s="10" t="s">
        <v>20</v>
      </c>
      <c r="J2359" s="138">
        <v>617.17999999999995</v>
      </c>
      <c r="K2359" s="138">
        <v>624.27</v>
      </c>
      <c r="L2359" s="138">
        <v>610.08999999999992</v>
      </c>
      <c r="M2359" s="13"/>
      <c r="N2359" s="89">
        <v>617.17999999999995</v>
      </c>
      <c r="P2359" t="str">
        <f>VLOOKUP(B2359,PTN!A:B,2,FALSE)</f>
        <v>UNIVERSITAS LAMBUNG MANGKURAT</v>
      </c>
      <c r="Q2359" t="str">
        <f t="shared" si="36"/>
        <v>UNIVERSITAS LAMBUNG MANGKURATKEDOKTERAN GIGI</v>
      </c>
    </row>
    <row r="2360" spans="1:17" ht="15.75" thickBot="1" x14ac:dyDescent="0.3">
      <c r="A2360" s="7">
        <v>2359</v>
      </c>
      <c r="B2360" s="6">
        <v>60</v>
      </c>
      <c r="C2360" s="13">
        <v>5311314</v>
      </c>
      <c r="D2360" t="s">
        <v>81</v>
      </c>
      <c r="E2360" s="13">
        <v>37</v>
      </c>
      <c r="F2360" s="10" t="s">
        <v>20</v>
      </c>
      <c r="J2360" s="138" t="s">
        <v>1292</v>
      </c>
      <c r="K2360" s="138" t="s">
        <v>1292</v>
      </c>
      <c r="L2360" s="138" t="s">
        <v>1292</v>
      </c>
      <c r="M2360" s="12"/>
      <c r="N2360" s="88" t="s">
        <v>1292</v>
      </c>
      <c r="P2360" t="str">
        <f>VLOOKUP(B2360,PTN!A:B,2,FALSE)</f>
        <v>UNIVERSITAS LAMBUNG MANGKURAT</v>
      </c>
      <c r="Q2360" t="str">
        <f t="shared" si="36"/>
        <v>UNIVERSITAS LAMBUNG MANGKURATKEHUTANAN</v>
      </c>
    </row>
    <row r="2361" spans="1:17" ht="15.75" thickBot="1" x14ac:dyDescent="0.3">
      <c r="A2361" s="7">
        <v>2360</v>
      </c>
      <c r="B2361" s="6">
        <v>60</v>
      </c>
      <c r="C2361" s="12">
        <v>5311241</v>
      </c>
      <c r="D2361" t="s">
        <v>107</v>
      </c>
      <c r="E2361" s="12">
        <v>25</v>
      </c>
      <c r="F2361" s="10" t="s">
        <v>20</v>
      </c>
      <c r="J2361" s="138" t="s">
        <v>1292</v>
      </c>
      <c r="K2361" s="138" t="s">
        <v>1292</v>
      </c>
      <c r="L2361" s="138" t="s">
        <v>1292</v>
      </c>
      <c r="M2361" s="13"/>
      <c r="N2361" s="89" t="s">
        <v>1292</v>
      </c>
      <c r="P2361" t="str">
        <f>VLOOKUP(B2361,PTN!A:B,2,FALSE)</f>
        <v>UNIVERSITAS LAMBUNG MANGKURAT</v>
      </c>
      <c r="Q2361" t="str">
        <f t="shared" si="36"/>
        <v>UNIVERSITAS LAMBUNG MANGKURATKESEHATAN MASYARAKAT</v>
      </c>
    </row>
    <row r="2362" spans="1:17" ht="15.75" thickBot="1" x14ac:dyDescent="0.3">
      <c r="A2362" s="7">
        <v>2361</v>
      </c>
      <c r="B2362" s="6">
        <v>60</v>
      </c>
      <c r="C2362" s="13">
        <v>5311264</v>
      </c>
      <c r="D2362" t="s">
        <v>22</v>
      </c>
      <c r="E2362" s="13">
        <v>15</v>
      </c>
      <c r="F2362" s="10" t="s">
        <v>20</v>
      </c>
      <c r="J2362" s="138" t="s">
        <v>1292</v>
      </c>
      <c r="K2362" s="138" t="s">
        <v>1292</v>
      </c>
      <c r="L2362" s="138" t="s">
        <v>1292</v>
      </c>
      <c r="M2362" s="12"/>
      <c r="N2362" s="88" t="s">
        <v>1292</v>
      </c>
      <c r="P2362" t="str">
        <f>VLOOKUP(B2362,PTN!A:B,2,FALSE)</f>
        <v>UNIVERSITAS LAMBUNG MANGKURAT</v>
      </c>
      <c r="Q2362" t="str">
        <f t="shared" si="36"/>
        <v>UNIVERSITAS LAMBUNG MANGKURATKIMIA</v>
      </c>
    </row>
    <row r="2363" spans="1:17" ht="15.75" thickBot="1" x14ac:dyDescent="0.3">
      <c r="A2363" s="7">
        <v>2362</v>
      </c>
      <c r="B2363" s="6">
        <v>60</v>
      </c>
      <c r="C2363" s="12">
        <v>5311144</v>
      </c>
      <c r="D2363" t="s">
        <v>633</v>
      </c>
      <c r="E2363" s="12">
        <v>15</v>
      </c>
      <c r="F2363" s="10" t="s">
        <v>20</v>
      </c>
      <c r="J2363" s="138" t="s">
        <v>1292</v>
      </c>
      <c r="K2363" s="138" t="s">
        <v>1292</v>
      </c>
      <c r="L2363" s="138" t="s">
        <v>1292</v>
      </c>
      <c r="M2363" s="13"/>
      <c r="N2363" s="89" t="s">
        <v>1292</v>
      </c>
      <c r="P2363" t="str">
        <f>VLOOKUP(B2363,PTN!A:B,2,FALSE)</f>
        <v>UNIVERSITAS LAMBUNG MANGKURAT</v>
      </c>
      <c r="Q2363" t="str">
        <f t="shared" si="36"/>
        <v>UNIVERSITAS LAMBUNG MANGKURATMANAJEMEN SD PERAIRAN</v>
      </c>
    </row>
    <row r="2364" spans="1:17" ht="15.75" thickBot="1" x14ac:dyDescent="0.3">
      <c r="A2364" s="7">
        <v>2363</v>
      </c>
      <c r="B2364" s="6">
        <v>60</v>
      </c>
      <c r="C2364" s="13">
        <v>5311256</v>
      </c>
      <c r="D2364" t="s">
        <v>66</v>
      </c>
      <c r="E2364" s="13">
        <v>15</v>
      </c>
      <c r="F2364" s="10" t="s">
        <v>20</v>
      </c>
      <c r="J2364" s="138" t="s">
        <v>1292</v>
      </c>
      <c r="K2364" s="138" t="s">
        <v>1292</v>
      </c>
      <c r="L2364" s="138" t="s">
        <v>1292</v>
      </c>
      <c r="M2364" s="12"/>
      <c r="N2364" s="88" t="s">
        <v>1292</v>
      </c>
      <c r="P2364" t="str">
        <f>VLOOKUP(B2364,PTN!A:B,2,FALSE)</f>
        <v>UNIVERSITAS LAMBUNG MANGKURAT</v>
      </c>
      <c r="Q2364" t="str">
        <f t="shared" si="36"/>
        <v>UNIVERSITAS LAMBUNG MANGKURATMATEMATIKA</v>
      </c>
    </row>
    <row r="2365" spans="1:17" ht="15.75" thickBot="1" x14ac:dyDescent="0.3">
      <c r="A2365" s="7">
        <v>2364</v>
      </c>
      <c r="B2365" s="6">
        <v>60</v>
      </c>
      <c r="C2365" s="12">
        <v>5311136</v>
      </c>
      <c r="D2365" t="s">
        <v>634</v>
      </c>
      <c r="E2365" s="12">
        <v>15</v>
      </c>
      <c r="F2365" s="10" t="s">
        <v>20</v>
      </c>
      <c r="J2365" s="138" t="s">
        <v>1292</v>
      </c>
      <c r="K2365" s="138" t="s">
        <v>1292</v>
      </c>
      <c r="L2365" s="138" t="s">
        <v>1292</v>
      </c>
      <c r="M2365" s="13"/>
      <c r="N2365" s="89" t="s">
        <v>1292</v>
      </c>
      <c r="P2365" t="str">
        <f>VLOOKUP(B2365,PTN!A:B,2,FALSE)</f>
        <v>UNIVERSITAS LAMBUNG MANGKURAT</v>
      </c>
      <c r="Q2365" t="str">
        <f t="shared" si="36"/>
        <v>UNIVERSITAS LAMBUNG MANGKURATPEMANFAATAN SD PERIKANAN</v>
      </c>
    </row>
    <row r="2366" spans="1:17" ht="15.75" thickBot="1" x14ac:dyDescent="0.3">
      <c r="A2366" s="7">
        <v>2365</v>
      </c>
      <c r="B2366" s="6">
        <v>60</v>
      </c>
      <c r="C2366" s="13">
        <v>5311024</v>
      </c>
      <c r="D2366" t="s">
        <v>214</v>
      </c>
      <c r="E2366" s="13">
        <v>25</v>
      </c>
      <c r="F2366" s="10" t="s">
        <v>20</v>
      </c>
      <c r="J2366" s="138" t="s">
        <v>1292</v>
      </c>
      <c r="K2366" s="138" t="s">
        <v>1292</v>
      </c>
      <c r="L2366" s="138" t="s">
        <v>1292</v>
      </c>
      <c r="M2366" s="12"/>
      <c r="N2366" s="88" t="s">
        <v>1292</v>
      </c>
      <c r="P2366" t="str">
        <f>VLOOKUP(B2366,PTN!A:B,2,FALSE)</f>
        <v>UNIVERSITAS LAMBUNG MANGKURAT</v>
      </c>
      <c r="Q2366" t="str">
        <f t="shared" si="36"/>
        <v>UNIVERSITAS LAMBUNG MANGKURATPEND. BIOLOGI</v>
      </c>
    </row>
    <row r="2367" spans="1:17" ht="15.75" thickBot="1" x14ac:dyDescent="0.3">
      <c r="A2367" s="7">
        <v>2366</v>
      </c>
      <c r="B2367" s="6">
        <v>60</v>
      </c>
      <c r="C2367" s="12">
        <v>5311322</v>
      </c>
      <c r="D2367" t="s">
        <v>216</v>
      </c>
      <c r="E2367" s="12">
        <v>17</v>
      </c>
      <c r="F2367" s="10" t="s">
        <v>20</v>
      </c>
      <c r="J2367" s="138" t="s">
        <v>1292</v>
      </c>
      <c r="K2367" s="138" t="s">
        <v>1292</v>
      </c>
      <c r="L2367" s="138" t="s">
        <v>1292</v>
      </c>
      <c r="M2367" s="13"/>
      <c r="N2367" s="89" t="s">
        <v>1292</v>
      </c>
      <c r="P2367" t="str">
        <f>VLOOKUP(B2367,PTN!A:B,2,FALSE)</f>
        <v>UNIVERSITAS LAMBUNG MANGKURAT</v>
      </c>
      <c r="Q2367" t="str">
        <f t="shared" si="36"/>
        <v>UNIVERSITAS LAMBUNG MANGKURATPEND. FISIKA</v>
      </c>
    </row>
    <row r="2368" spans="1:17" ht="15.75" thickBot="1" x14ac:dyDescent="0.3">
      <c r="A2368" s="7">
        <v>2367</v>
      </c>
      <c r="B2368" s="6">
        <v>60</v>
      </c>
      <c r="C2368" s="13">
        <v>5311233</v>
      </c>
      <c r="D2368" t="s">
        <v>41</v>
      </c>
      <c r="E2368" s="13">
        <v>35</v>
      </c>
      <c r="F2368" s="10" t="s">
        <v>20</v>
      </c>
      <c r="J2368" s="138">
        <v>653.29999999999995</v>
      </c>
      <c r="K2368" s="138">
        <v>662.09499999999991</v>
      </c>
      <c r="L2368" s="138">
        <v>644.505</v>
      </c>
      <c r="M2368" s="12"/>
      <c r="N2368" s="88">
        <v>653.29999999999995</v>
      </c>
      <c r="P2368" t="str">
        <f>VLOOKUP(B2368,PTN!A:B,2,FALSE)</f>
        <v>UNIVERSITAS LAMBUNG MANGKURAT</v>
      </c>
      <c r="Q2368" t="str">
        <f t="shared" si="36"/>
        <v>UNIVERSITAS LAMBUNG MANGKURATPENDIDIKAN DOKTER</v>
      </c>
    </row>
    <row r="2369" spans="1:17" ht="15.75" thickBot="1" x14ac:dyDescent="0.3">
      <c r="A2369" s="7">
        <v>2368</v>
      </c>
      <c r="B2369" s="6">
        <v>60</v>
      </c>
      <c r="C2369" s="12">
        <v>5311392</v>
      </c>
      <c r="D2369" t="s">
        <v>393</v>
      </c>
      <c r="E2369" s="12">
        <v>10</v>
      </c>
      <c r="F2369" s="10" t="s">
        <v>20</v>
      </c>
      <c r="J2369" s="138" t="s">
        <v>1292</v>
      </c>
      <c r="K2369" s="138" t="s">
        <v>1292</v>
      </c>
      <c r="L2369" s="138" t="s">
        <v>1292</v>
      </c>
      <c r="M2369" s="13"/>
      <c r="N2369" s="89" t="s">
        <v>1292</v>
      </c>
      <c r="P2369" t="str">
        <f>VLOOKUP(B2369,PTN!A:B,2,FALSE)</f>
        <v>UNIVERSITAS LAMBUNG MANGKURAT</v>
      </c>
      <c r="Q2369" t="str">
        <f t="shared" si="36"/>
        <v>UNIVERSITAS LAMBUNG MANGKURATPENDIDIKAN ILMU KOMPUTER</v>
      </c>
    </row>
    <row r="2370" spans="1:17" ht="15.75" thickBot="1" x14ac:dyDescent="0.3">
      <c r="A2370" s="7">
        <v>2369</v>
      </c>
      <c r="B2370" s="6">
        <v>60</v>
      </c>
      <c r="C2370" s="13">
        <v>5311403</v>
      </c>
      <c r="D2370" t="s">
        <v>115</v>
      </c>
      <c r="E2370" s="13">
        <v>20</v>
      </c>
      <c r="F2370" s="10" t="s">
        <v>20</v>
      </c>
      <c r="J2370" s="138" t="s">
        <v>1292</v>
      </c>
      <c r="K2370" s="138" t="s">
        <v>1292</v>
      </c>
      <c r="L2370" s="138" t="s">
        <v>1292</v>
      </c>
      <c r="M2370" s="12"/>
      <c r="N2370" s="88" t="s">
        <v>1292</v>
      </c>
      <c r="P2370" t="str">
        <f>VLOOKUP(B2370,PTN!A:B,2,FALSE)</f>
        <v>UNIVERSITAS LAMBUNG MANGKURAT</v>
      </c>
      <c r="Q2370" t="str">
        <f t="shared" si="36"/>
        <v>UNIVERSITAS LAMBUNG MANGKURATPENDIDIKAN IPA</v>
      </c>
    </row>
    <row r="2371" spans="1:17" ht="15.75" thickBot="1" x14ac:dyDescent="0.3">
      <c r="A2371" s="7">
        <v>2370</v>
      </c>
      <c r="B2371" s="6">
        <v>60</v>
      </c>
      <c r="C2371" s="12">
        <v>5311032</v>
      </c>
      <c r="D2371" t="s">
        <v>217</v>
      </c>
      <c r="E2371" s="12">
        <v>20</v>
      </c>
      <c r="F2371" s="10" t="s">
        <v>20</v>
      </c>
      <c r="J2371" s="138" t="s">
        <v>1292</v>
      </c>
      <c r="K2371" s="138" t="s">
        <v>1292</v>
      </c>
      <c r="L2371" s="138" t="s">
        <v>1292</v>
      </c>
      <c r="M2371" s="13"/>
      <c r="N2371" s="89" t="s">
        <v>1292</v>
      </c>
      <c r="P2371" t="str">
        <f>VLOOKUP(B2371,PTN!A:B,2,FALSE)</f>
        <v>UNIVERSITAS LAMBUNG MANGKURAT</v>
      </c>
      <c r="Q2371" t="str">
        <f t="shared" ref="Q2371:Q2434" si="37">P2371&amp;D2371</f>
        <v>UNIVERSITAS LAMBUNG MANGKURATPEND. KIMIA</v>
      </c>
    </row>
    <row r="2372" spans="1:17" ht="15.75" thickBot="1" x14ac:dyDescent="0.3">
      <c r="A2372" s="7">
        <v>2371</v>
      </c>
      <c r="B2372" s="6">
        <v>60</v>
      </c>
      <c r="C2372" s="13">
        <v>5311016</v>
      </c>
      <c r="D2372" t="s">
        <v>218</v>
      </c>
      <c r="E2372" s="13">
        <v>20</v>
      </c>
      <c r="F2372" s="10" t="s">
        <v>20</v>
      </c>
      <c r="J2372" s="138" t="s">
        <v>1292</v>
      </c>
      <c r="K2372" s="138" t="s">
        <v>1292</v>
      </c>
      <c r="L2372" s="138" t="s">
        <v>1292</v>
      </c>
      <c r="M2372" s="12"/>
      <c r="N2372" s="88" t="s">
        <v>1292</v>
      </c>
      <c r="P2372" t="str">
        <f>VLOOKUP(B2372,PTN!A:B,2,FALSE)</f>
        <v>UNIVERSITAS LAMBUNG MANGKURAT</v>
      </c>
      <c r="Q2372" t="str">
        <f t="shared" si="37"/>
        <v>UNIVERSITAS LAMBUNG MANGKURATPEND. MATEMATIKA</v>
      </c>
    </row>
    <row r="2373" spans="1:17" ht="15.75" thickBot="1" x14ac:dyDescent="0.3">
      <c r="A2373" s="7">
        <v>2372</v>
      </c>
      <c r="B2373" s="6">
        <v>60</v>
      </c>
      <c r="C2373" s="12">
        <v>5311063</v>
      </c>
      <c r="D2373" t="s">
        <v>635</v>
      </c>
      <c r="E2373" s="12">
        <v>13</v>
      </c>
      <c r="F2373" s="10" t="s">
        <v>20</v>
      </c>
      <c r="J2373" s="138" t="s">
        <v>1292</v>
      </c>
      <c r="K2373" s="138" t="s">
        <v>1292</v>
      </c>
      <c r="L2373" s="138" t="s">
        <v>1292</v>
      </c>
      <c r="M2373" s="13"/>
      <c r="N2373" s="89" t="s">
        <v>1292</v>
      </c>
      <c r="P2373" t="str">
        <f>VLOOKUP(B2373,PTN!A:B,2,FALSE)</f>
        <v>UNIVERSITAS LAMBUNG MANGKURAT</v>
      </c>
      <c r="Q2373" t="str">
        <f t="shared" si="37"/>
        <v>UNIVERSITAS LAMBUNG MANGKURATPRODUKSI TERNAK</v>
      </c>
    </row>
    <row r="2374" spans="1:17" ht="15.75" thickBot="1" x14ac:dyDescent="0.3">
      <c r="A2374" s="7">
        <v>2373</v>
      </c>
      <c r="B2374" s="6">
        <v>60</v>
      </c>
      <c r="C2374" s="13">
        <v>5311361</v>
      </c>
      <c r="D2374" t="s">
        <v>89</v>
      </c>
      <c r="E2374" s="13">
        <v>15</v>
      </c>
      <c r="F2374" s="10" t="s">
        <v>20</v>
      </c>
      <c r="J2374" s="138" t="s">
        <v>1292</v>
      </c>
      <c r="K2374" s="138" t="s">
        <v>1292</v>
      </c>
      <c r="L2374" s="138" t="s">
        <v>1292</v>
      </c>
      <c r="M2374" s="12"/>
      <c r="N2374" s="88" t="s">
        <v>1292</v>
      </c>
      <c r="P2374" t="str">
        <f>VLOOKUP(B2374,PTN!A:B,2,FALSE)</f>
        <v>UNIVERSITAS LAMBUNG MANGKURAT</v>
      </c>
      <c r="Q2374" t="str">
        <f t="shared" si="37"/>
        <v>UNIVERSITAS LAMBUNG MANGKURATPROTEKSI TANAMAN</v>
      </c>
    </row>
    <row r="2375" spans="1:17" ht="15.75" thickBot="1" x14ac:dyDescent="0.3">
      <c r="A2375" s="7">
        <v>2374</v>
      </c>
      <c r="B2375" s="6">
        <v>60</v>
      </c>
      <c r="C2375" s="12">
        <v>5311426</v>
      </c>
      <c r="D2375" t="s">
        <v>90</v>
      </c>
      <c r="E2375" s="12">
        <v>12</v>
      </c>
      <c r="F2375" s="10" t="s">
        <v>20</v>
      </c>
      <c r="J2375" s="138" t="s">
        <v>1292</v>
      </c>
      <c r="K2375" s="138" t="s">
        <v>1292</v>
      </c>
      <c r="L2375" s="138" t="s">
        <v>1292</v>
      </c>
      <c r="M2375" s="13"/>
      <c r="N2375" s="89" t="s">
        <v>1292</v>
      </c>
      <c r="P2375" t="str">
        <f>VLOOKUP(B2375,PTN!A:B,2,FALSE)</f>
        <v>UNIVERSITAS LAMBUNG MANGKURAT</v>
      </c>
      <c r="Q2375" t="str">
        <f t="shared" si="37"/>
        <v>UNIVERSITAS LAMBUNG MANGKURATSTATISTIKA</v>
      </c>
    </row>
    <row r="2376" spans="1:17" ht="15.75" thickBot="1" x14ac:dyDescent="0.3">
      <c r="A2376" s="7">
        <v>2375</v>
      </c>
      <c r="B2376" s="6">
        <v>60</v>
      </c>
      <c r="C2376" s="13">
        <v>5311183</v>
      </c>
      <c r="D2376" t="s">
        <v>47</v>
      </c>
      <c r="E2376" s="13">
        <v>15</v>
      </c>
      <c r="F2376" s="10" t="s">
        <v>20</v>
      </c>
      <c r="J2376" s="138" t="s">
        <v>1292</v>
      </c>
      <c r="K2376" s="138" t="s">
        <v>1292</v>
      </c>
      <c r="L2376" s="138" t="s">
        <v>1292</v>
      </c>
      <c r="M2376" s="12"/>
      <c r="N2376" s="88" t="s">
        <v>1292</v>
      </c>
      <c r="P2376" t="str">
        <f>VLOOKUP(B2376,PTN!A:B,2,FALSE)</f>
        <v>UNIVERSITAS LAMBUNG MANGKURAT</v>
      </c>
      <c r="Q2376" t="str">
        <f t="shared" si="37"/>
        <v>UNIVERSITAS LAMBUNG MANGKURATTEKNIK ARSITEKTUR</v>
      </c>
    </row>
    <row r="2377" spans="1:17" ht="15.75" thickBot="1" x14ac:dyDescent="0.3">
      <c r="A2377" s="7">
        <v>2376</v>
      </c>
      <c r="B2377" s="6">
        <v>60</v>
      </c>
      <c r="C2377" s="12">
        <v>5311411</v>
      </c>
      <c r="D2377" t="s">
        <v>50</v>
      </c>
      <c r="E2377" s="12">
        <v>12</v>
      </c>
      <c r="F2377" s="10" t="s">
        <v>20</v>
      </c>
      <c r="J2377" s="138" t="s">
        <v>1292</v>
      </c>
      <c r="K2377" s="138" t="s">
        <v>1292</v>
      </c>
      <c r="L2377" s="138" t="s">
        <v>1292</v>
      </c>
      <c r="M2377" s="13"/>
      <c r="N2377" s="89" t="s">
        <v>1292</v>
      </c>
      <c r="P2377" t="str">
        <f>VLOOKUP(B2377,PTN!A:B,2,FALSE)</f>
        <v>UNIVERSITAS LAMBUNG MANGKURAT</v>
      </c>
      <c r="Q2377" t="str">
        <f t="shared" si="37"/>
        <v>UNIVERSITAS LAMBUNG MANGKURATTEKNIK INFORMATIKA</v>
      </c>
    </row>
    <row r="2378" spans="1:17" ht="15.75" thickBot="1" x14ac:dyDescent="0.3">
      <c r="A2378" s="7">
        <v>2377</v>
      </c>
      <c r="B2378" s="6">
        <v>60</v>
      </c>
      <c r="C2378" s="13">
        <v>5311202</v>
      </c>
      <c r="D2378" t="s">
        <v>51</v>
      </c>
      <c r="E2378" s="13">
        <v>15</v>
      </c>
      <c r="F2378" s="10" t="s">
        <v>20</v>
      </c>
      <c r="J2378" s="138" t="s">
        <v>1292</v>
      </c>
      <c r="K2378" s="138" t="s">
        <v>1292</v>
      </c>
      <c r="L2378" s="138" t="s">
        <v>1292</v>
      </c>
      <c r="M2378" s="12"/>
      <c r="N2378" s="88" t="s">
        <v>1292</v>
      </c>
      <c r="P2378" t="str">
        <f>VLOOKUP(B2378,PTN!A:B,2,FALSE)</f>
        <v>UNIVERSITAS LAMBUNG MANGKURAT</v>
      </c>
      <c r="Q2378" t="str">
        <f t="shared" si="37"/>
        <v>UNIVERSITAS LAMBUNG MANGKURATTEKNIK KIMIA</v>
      </c>
    </row>
    <row r="2379" spans="1:17" ht="15.75" thickBot="1" x14ac:dyDescent="0.3">
      <c r="A2379" s="7">
        <v>2378</v>
      </c>
      <c r="B2379" s="6">
        <v>60</v>
      </c>
      <c r="C2379" s="12">
        <v>5311217</v>
      </c>
      <c r="D2379" t="s">
        <v>25</v>
      </c>
      <c r="E2379" s="12">
        <v>15</v>
      </c>
      <c r="F2379" s="10" t="s">
        <v>20</v>
      </c>
      <c r="J2379" s="138" t="s">
        <v>1292</v>
      </c>
      <c r="K2379" s="138" t="s">
        <v>1292</v>
      </c>
      <c r="L2379" s="138" t="s">
        <v>1292</v>
      </c>
      <c r="M2379" s="13"/>
      <c r="N2379" s="89" t="s">
        <v>1292</v>
      </c>
      <c r="P2379" t="str">
        <f>VLOOKUP(B2379,PTN!A:B,2,FALSE)</f>
        <v>UNIVERSITAS LAMBUNG MANGKURAT</v>
      </c>
      <c r="Q2379" t="str">
        <f t="shared" si="37"/>
        <v>UNIVERSITAS LAMBUNG MANGKURATTEKNIK LINGKUNGAN</v>
      </c>
    </row>
    <row r="2380" spans="1:17" ht="15.75" thickBot="1" x14ac:dyDescent="0.3">
      <c r="A2380" s="7">
        <v>2379</v>
      </c>
      <c r="B2380" s="6">
        <v>60</v>
      </c>
      <c r="C2380" s="13">
        <v>5311225</v>
      </c>
      <c r="D2380" t="s">
        <v>53</v>
      </c>
      <c r="E2380" s="13">
        <v>15</v>
      </c>
      <c r="F2380" s="10" t="s">
        <v>20</v>
      </c>
      <c r="J2380" s="138" t="s">
        <v>1292</v>
      </c>
      <c r="K2380" s="138" t="s">
        <v>1292</v>
      </c>
      <c r="L2380" s="138" t="s">
        <v>1292</v>
      </c>
      <c r="M2380" s="12"/>
      <c r="N2380" s="88" t="s">
        <v>1292</v>
      </c>
      <c r="P2380" t="str">
        <f>VLOOKUP(B2380,PTN!A:B,2,FALSE)</f>
        <v>UNIVERSITAS LAMBUNG MANGKURAT</v>
      </c>
      <c r="Q2380" t="str">
        <f t="shared" si="37"/>
        <v>UNIVERSITAS LAMBUNG MANGKURATTEKNIK MESIN</v>
      </c>
    </row>
    <row r="2381" spans="1:17" ht="15.75" thickBot="1" x14ac:dyDescent="0.3">
      <c r="A2381" s="7">
        <v>2380</v>
      </c>
      <c r="B2381" s="6">
        <v>60</v>
      </c>
      <c r="C2381" s="12">
        <v>5311191</v>
      </c>
      <c r="D2381" t="s">
        <v>239</v>
      </c>
      <c r="E2381" s="12">
        <v>10</v>
      </c>
      <c r="F2381" s="10" t="s">
        <v>20</v>
      </c>
      <c r="J2381" s="138" t="s">
        <v>1292</v>
      </c>
      <c r="K2381" s="138" t="s">
        <v>1292</v>
      </c>
      <c r="L2381" s="138" t="s">
        <v>1292</v>
      </c>
      <c r="M2381" s="13"/>
      <c r="N2381" s="89" t="s">
        <v>1292</v>
      </c>
      <c r="P2381" t="str">
        <f>VLOOKUP(B2381,PTN!A:B,2,FALSE)</f>
        <v>UNIVERSITAS LAMBUNG MANGKURAT</v>
      </c>
      <c r="Q2381" t="str">
        <f t="shared" si="37"/>
        <v>UNIVERSITAS LAMBUNG MANGKURATTEKNIK PERTAMBANGAN</v>
      </c>
    </row>
    <row r="2382" spans="1:17" ht="15.75" thickBot="1" x14ac:dyDescent="0.3">
      <c r="A2382" s="7">
        <v>2381</v>
      </c>
      <c r="B2382" s="6">
        <v>60</v>
      </c>
      <c r="C2382" s="13">
        <v>5311175</v>
      </c>
      <c r="D2382" t="s">
        <v>54</v>
      </c>
      <c r="E2382" s="13">
        <v>30</v>
      </c>
      <c r="F2382" s="10" t="s">
        <v>20</v>
      </c>
      <c r="J2382" s="138" t="s">
        <v>1292</v>
      </c>
      <c r="K2382" s="138" t="s">
        <v>1292</v>
      </c>
      <c r="L2382" s="138" t="s">
        <v>1292</v>
      </c>
      <c r="M2382" s="12"/>
      <c r="N2382" s="88" t="s">
        <v>1292</v>
      </c>
      <c r="P2382" t="str">
        <f>VLOOKUP(B2382,PTN!A:B,2,FALSE)</f>
        <v>UNIVERSITAS LAMBUNG MANGKURAT</v>
      </c>
      <c r="Q2382" t="str">
        <f t="shared" si="37"/>
        <v>UNIVERSITAS LAMBUNG MANGKURATTEKNIK SIPIL</v>
      </c>
    </row>
    <row r="2383" spans="1:17" ht="15.75" thickBot="1" x14ac:dyDescent="0.3">
      <c r="A2383" s="7">
        <v>2382</v>
      </c>
      <c r="B2383" s="6">
        <v>60</v>
      </c>
      <c r="C2383" s="12">
        <v>5311113</v>
      </c>
      <c r="D2383" t="s">
        <v>222</v>
      </c>
      <c r="E2383" s="12">
        <v>15</v>
      </c>
      <c r="F2383" s="10" t="s">
        <v>20</v>
      </c>
      <c r="J2383" s="138" t="s">
        <v>1292</v>
      </c>
      <c r="K2383" s="138" t="s">
        <v>1292</v>
      </c>
      <c r="L2383" s="138" t="s">
        <v>1292</v>
      </c>
      <c r="M2383" s="13"/>
      <c r="N2383" s="89" t="s">
        <v>1292</v>
      </c>
      <c r="P2383" t="str">
        <f>VLOOKUP(B2383,PTN!A:B,2,FALSE)</f>
        <v>UNIVERSITAS LAMBUNG MANGKURAT</v>
      </c>
      <c r="Q2383" t="str">
        <f t="shared" si="37"/>
        <v>UNIVERSITAS LAMBUNG MANGKURATTEKNOLOGI HASIL PERIKANAN</v>
      </c>
    </row>
    <row r="2384" spans="1:17" ht="15.75" thickBot="1" x14ac:dyDescent="0.3">
      <c r="A2384" s="7">
        <v>2383</v>
      </c>
      <c r="B2384" s="6">
        <v>60</v>
      </c>
      <c r="C2384" s="16">
        <v>5311071</v>
      </c>
      <c r="D2384" t="s">
        <v>166</v>
      </c>
      <c r="E2384" s="16">
        <v>13</v>
      </c>
      <c r="F2384" s="10" t="s">
        <v>20</v>
      </c>
      <c r="J2384" s="138" t="s">
        <v>1292</v>
      </c>
      <c r="K2384" s="138" t="s">
        <v>1292</v>
      </c>
      <c r="L2384" s="138" t="s">
        <v>1292</v>
      </c>
      <c r="M2384" s="12"/>
      <c r="N2384" s="88" t="s">
        <v>1292</v>
      </c>
      <c r="P2384" t="str">
        <f>VLOOKUP(B2384,PTN!A:B,2,FALSE)</f>
        <v>UNIVERSITAS LAMBUNG MANGKURAT</v>
      </c>
      <c r="Q2384" t="str">
        <f t="shared" si="37"/>
        <v>UNIVERSITAS LAMBUNG MANGKURATTEKNOLOGI INDUSTRI PERTANIAN</v>
      </c>
    </row>
    <row r="2385" spans="1:17" ht="16.5" thickTop="1" thickBot="1" x14ac:dyDescent="0.3">
      <c r="A2385" s="7">
        <v>2384</v>
      </c>
      <c r="B2385" s="6">
        <v>60</v>
      </c>
      <c r="C2385" s="12">
        <v>5312101</v>
      </c>
      <c r="D2385" t="s">
        <v>385</v>
      </c>
      <c r="E2385" s="12">
        <v>30</v>
      </c>
      <c r="F2385" s="10" t="s">
        <v>13</v>
      </c>
      <c r="J2385" s="138" t="s">
        <v>1292</v>
      </c>
      <c r="K2385" s="138" t="s">
        <v>1292</v>
      </c>
      <c r="L2385" s="138" t="s">
        <v>1292</v>
      </c>
      <c r="M2385" s="21"/>
      <c r="N2385" s="83" t="s">
        <v>1292</v>
      </c>
      <c r="P2385" t="str">
        <f>VLOOKUP(B2385,PTN!A:B,2,FALSE)</f>
        <v>UNIVERSITAS LAMBUNG MANGKURAT</v>
      </c>
      <c r="Q2385" t="str">
        <f t="shared" si="37"/>
        <v>UNIVERSITAS LAMBUNG MANGKURATADMINISTRASI PUBLIK</v>
      </c>
    </row>
    <row r="2386" spans="1:17" ht="15.75" thickBot="1" x14ac:dyDescent="0.3">
      <c r="A2386" s="7">
        <v>2385</v>
      </c>
      <c r="B2386" s="6">
        <v>60</v>
      </c>
      <c r="C2386" s="13">
        <v>5312097</v>
      </c>
      <c r="D2386" t="s">
        <v>55</v>
      </c>
      <c r="E2386" s="13">
        <v>50</v>
      </c>
      <c r="F2386" s="10" t="s">
        <v>13</v>
      </c>
      <c r="J2386" s="138" t="s">
        <v>1292</v>
      </c>
      <c r="K2386" s="138" t="s">
        <v>1292</v>
      </c>
      <c r="L2386" s="138" t="s">
        <v>1292</v>
      </c>
      <c r="M2386" s="21"/>
      <c r="N2386" s="83" t="s">
        <v>1292</v>
      </c>
      <c r="P2386" t="str">
        <f>VLOOKUP(B2386,PTN!A:B,2,FALSE)</f>
        <v>UNIVERSITAS LAMBUNG MANGKURAT</v>
      </c>
      <c r="Q2386" t="str">
        <f t="shared" si="37"/>
        <v>UNIVERSITAS LAMBUNG MANGKURATAKUNTANSI</v>
      </c>
    </row>
    <row r="2387" spans="1:17" ht="16.5" thickTop="1" thickBot="1" x14ac:dyDescent="0.3">
      <c r="A2387" s="7">
        <v>2386</v>
      </c>
      <c r="B2387" s="6">
        <v>60</v>
      </c>
      <c r="C2387" s="12">
        <v>5312074</v>
      </c>
      <c r="D2387" t="s">
        <v>636</v>
      </c>
      <c r="E2387" s="12">
        <v>37</v>
      </c>
      <c r="F2387" s="10" t="s">
        <v>13</v>
      </c>
      <c r="J2387" s="138" t="s">
        <v>1292</v>
      </c>
      <c r="K2387" s="138" t="s">
        <v>1292</v>
      </c>
      <c r="L2387" s="138" t="s">
        <v>1292</v>
      </c>
      <c r="M2387" s="24"/>
      <c r="N2387" s="84" t="s">
        <v>1292</v>
      </c>
      <c r="P2387" t="str">
        <f>VLOOKUP(B2387,PTN!A:B,2,FALSE)</f>
        <v>UNIVERSITAS LAMBUNG MANGKURAT</v>
      </c>
      <c r="Q2387" t="str">
        <f t="shared" si="37"/>
        <v>UNIVERSITAS LAMBUNG MANGKURATEKONOMI &amp; STUDI PEMBANGUNAN</v>
      </c>
    </row>
    <row r="2388" spans="1:17" ht="16.5" thickTop="1" thickBot="1" x14ac:dyDescent="0.3">
      <c r="A2388" s="7">
        <v>2387</v>
      </c>
      <c r="B2388" s="6">
        <v>60</v>
      </c>
      <c r="C2388" s="13">
        <v>5312116</v>
      </c>
      <c r="D2388" t="s">
        <v>389</v>
      </c>
      <c r="E2388" s="13">
        <v>30</v>
      </c>
      <c r="F2388" s="10" t="s">
        <v>13</v>
      </c>
      <c r="J2388" s="138" t="s">
        <v>1292</v>
      </c>
      <c r="K2388" s="138" t="s">
        <v>1292</v>
      </c>
      <c r="L2388" s="138" t="s">
        <v>1292</v>
      </c>
      <c r="M2388" s="12"/>
      <c r="N2388" s="88" t="s">
        <v>1292</v>
      </c>
      <c r="P2388" t="str">
        <f>VLOOKUP(B2388,PTN!A:B,2,FALSE)</f>
        <v>UNIVERSITAS LAMBUNG MANGKURAT</v>
      </c>
      <c r="Q2388" t="str">
        <f t="shared" si="37"/>
        <v>UNIVERSITAS LAMBUNG MANGKURATILMU ADMINISTRASI BISNIS</v>
      </c>
    </row>
    <row r="2389" spans="1:17" ht="15.75" thickBot="1" x14ac:dyDescent="0.3">
      <c r="A2389" s="7">
        <v>2388</v>
      </c>
      <c r="B2389" s="6">
        <v>60</v>
      </c>
      <c r="C2389" s="12">
        <v>5312066</v>
      </c>
      <c r="D2389" t="s">
        <v>31</v>
      </c>
      <c r="E2389" s="12">
        <v>125</v>
      </c>
      <c r="F2389" s="10" t="s">
        <v>13</v>
      </c>
      <c r="J2389" s="138" t="s">
        <v>1292</v>
      </c>
      <c r="K2389" s="138" t="s">
        <v>1292</v>
      </c>
      <c r="L2389" s="138" t="s">
        <v>1292</v>
      </c>
      <c r="M2389" s="13"/>
      <c r="N2389" s="89" t="s">
        <v>1292</v>
      </c>
      <c r="P2389" t="str">
        <f>VLOOKUP(B2389,PTN!A:B,2,FALSE)</f>
        <v>UNIVERSITAS LAMBUNG MANGKURAT</v>
      </c>
      <c r="Q2389" t="str">
        <f t="shared" si="37"/>
        <v>UNIVERSITAS LAMBUNG MANGKURATILMU HUKUM</v>
      </c>
    </row>
    <row r="2390" spans="1:17" ht="15.75" thickBot="1" x14ac:dyDescent="0.3">
      <c r="A2390" s="7">
        <v>2389</v>
      </c>
      <c r="B2390" s="6">
        <v>60</v>
      </c>
      <c r="C2390" s="13">
        <v>5312132</v>
      </c>
      <c r="D2390" t="s">
        <v>60</v>
      </c>
      <c r="E2390" s="13">
        <v>30</v>
      </c>
      <c r="F2390" s="10" t="s">
        <v>13</v>
      </c>
      <c r="J2390" s="138" t="s">
        <v>1292</v>
      </c>
      <c r="K2390" s="138" t="s">
        <v>1292</v>
      </c>
      <c r="L2390" s="138" t="s">
        <v>1292</v>
      </c>
      <c r="M2390" s="12"/>
      <c r="N2390" s="88" t="s">
        <v>1292</v>
      </c>
      <c r="P2390" t="str">
        <f>VLOOKUP(B2390,PTN!A:B,2,FALSE)</f>
        <v>UNIVERSITAS LAMBUNG MANGKURAT</v>
      </c>
      <c r="Q2390" t="str">
        <f t="shared" si="37"/>
        <v>UNIVERSITAS LAMBUNG MANGKURATILMU KOMUNIKASI</v>
      </c>
    </row>
    <row r="2391" spans="1:17" ht="15.75" thickBot="1" x14ac:dyDescent="0.3">
      <c r="A2391" s="7">
        <v>2390</v>
      </c>
      <c r="B2391" s="6">
        <v>60</v>
      </c>
      <c r="C2391" s="12">
        <v>5312124</v>
      </c>
      <c r="D2391" t="s">
        <v>97</v>
      </c>
      <c r="E2391" s="12">
        <v>30</v>
      </c>
      <c r="F2391" s="10" t="s">
        <v>13</v>
      </c>
      <c r="J2391" s="138" t="s">
        <v>1292</v>
      </c>
      <c r="K2391" s="138" t="s">
        <v>1292</v>
      </c>
      <c r="L2391" s="138" t="s">
        <v>1292</v>
      </c>
      <c r="M2391" s="13"/>
      <c r="N2391" s="89" t="s">
        <v>1292</v>
      </c>
      <c r="P2391" t="str">
        <f>VLOOKUP(B2391,PTN!A:B,2,FALSE)</f>
        <v>UNIVERSITAS LAMBUNG MANGKURAT</v>
      </c>
      <c r="Q2391" t="str">
        <f t="shared" si="37"/>
        <v>UNIVERSITAS LAMBUNG MANGKURATILMU PEMERINTAHAN</v>
      </c>
    </row>
    <row r="2392" spans="1:17" ht="15.75" thickBot="1" x14ac:dyDescent="0.3">
      <c r="A2392" s="7">
        <v>2391</v>
      </c>
      <c r="B2392" s="6">
        <v>60</v>
      </c>
      <c r="C2392" s="13">
        <v>5312082</v>
      </c>
      <c r="D2392" t="s">
        <v>61</v>
      </c>
      <c r="E2392" s="13">
        <v>50</v>
      </c>
      <c r="F2392" s="10" t="s">
        <v>13</v>
      </c>
      <c r="J2392" s="138" t="s">
        <v>1292</v>
      </c>
      <c r="K2392" s="138" t="s">
        <v>1292</v>
      </c>
      <c r="L2392" s="138" t="s">
        <v>1292</v>
      </c>
      <c r="M2392" s="12"/>
      <c r="N2392" s="88" t="s">
        <v>1292</v>
      </c>
      <c r="P2392" t="str">
        <f>VLOOKUP(B2392,PTN!A:B,2,FALSE)</f>
        <v>UNIVERSITAS LAMBUNG MANGKURAT</v>
      </c>
      <c r="Q2392" t="str">
        <f t="shared" si="37"/>
        <v>UNIVERSITAS LAMBUNG MANGKURATMANAJEMEN</v>
      </c>
    </row>
    <row r="2393" spans="1:17" ht="15.75" thickBot="1" x14ac:dyDescent="0.3">
      <c r="A2393" s="7">
        <v>2392</v>
      </c>
      <c r="B2393" s="6">
        <v>60</v>
      </c>
      <c r="C2393" s="12">
        <v>5312051</v>
      </c>
      <c r="D2393" t="s">
        <v>242</v>
      </c>
      <c r="E2393" s="12">
        <v>25</v>
      </c>
      <c r="F2393" s="10" t="s">
        <v>13</v>
      </c>
      <c r="J2393" s="138" t="s">
        <v>1292</v>
      </c>
      <c r="K2393" s="138" t="s">
        <v>1292</v>
      </c>
      <c r="L2393" s="138" t="s">
        <v>1292</v>
      </c>
      <c r="M2393" s="13"/>
      <c r="N2393" s="89" t="s">
        <v>1292</v>
      </c>
      <c r="P2393" t="str">
        <f>VLOOKUP(B2393,PTN!A:B,2,FALSE)</f>
        <v>UNIVERSITAS LAMBUNG MANGKURAT</v>
      </c>
      <c r="Q2393" t="str">
        <f t="shared" si="37"/>
        <v>UNIVERSITAS LAMBUNG MANGKURATPEND. BAHASA INGGRIS</v>
      </c>
    </row>
    <row r="2394" spans="1:17" ht="15.75" thickBot="1" x14ac:dyDescent="0.3">
      <c r="A2394" s="7">
        <v>2393</v>
      </c>
      <c r="B2394" s="6">
        <v>60</v>
      </c>
      <c r="C2394" s="13">
        <v>5312043</v>
      </c>
      <c r="D2394" t="s">
        <v>637</v>
      </c>
      <c r="E2394" s="13">
        <v>20</v>
      </c>
      <c r="F2394" s="10" t="s">
        <v>13</v>
      </c>
      <c r="J2394" s="138" t="s">
        <v>1292</v>
      </c>
      <c r="K2394" s="138" t="s">
        <v>1292</v>
      </c>
      <c r="L2394" s="138" t="s">
        <v>1292</v>
      </c>
      <c r="M2394" s="12"/>
      <c r="N2394" s="88" t="s">
        <v>1292</v>
      </c>
      <c r="P2394" t="str">
        <f>VLOOKUP(B2394,PTN!A:B,2,FALSE)</f>
        <v>UNIVERSITAS LAMBUNG MANGKURAT</v>
      </c>
      <c r="Q2394" t="str">
        <f t="shared" si="37"/>
        <v>UNIVERSITAS LAMBUNG MANGKURATPEND. BHS SASTRA IND. &amp; DAERAH</v>
      </c>
    </row>
    <row r="2395" spans="1:17" ht="15.75" thickBot="1" x14ac:dyDescent="0.3">
      <c r="A2395" s="7">
        <v>2394</v>
      </c>
      <c r="B2395" s="6">
        <v>60</v>
      </c>
      <c r="C2395" s="12">
        <v>5312163</v>
      </c>
      <c r="D2395" t="s">
        <v>623</v>
      </c>
      <c r="E2395" s="12">
        <v>25</v>
      </c>
      <c r="F2395" s="10" t="s">
        <v>13</v>
      </c>
      <c r="J2395" s="138" t="s">
        <v>1292</v>
      </c>
      <c r="K2395" s="138" t="s">
        <v>1292</v>
      </c>
      <c r="L2395" s="138" t="s">
        <v>1292</v>
      </c>
      <c r="M2395" s="13"/>
      <c r="N2395" s="89" t="s">
        <v>1292</v>
      </c>
      <c r="P2395" t="str">
        <f>VLOOKUP(B2395,PTN!A:B,2,FALSE)</f>
        <v>UNIVERSITAS LAMBUNG MANGKURAT</v>
      </c>
      <c r="Q2395" t="str">
        <f t="shared" si="37"/>
        <v>UNIVERSITAS LAMBUNG MANGKURATPEND. BIMBINGAN KONSELING</v>
      </c>
    </row>
    <row r="2396" spans="1:17" ht="15.75" thickBot="1" x14ac:dyDescent="0.3">
      <c r="A2396" s="7">
        <v>2395</v>
      </c>
      <c r="B2396" s="6">
        <v>60</v>
      </c>
      <c r="C2396" s="13">
        <v>5312035</v>
      </c>
      <c r="D2396" t="s">
        <v>229</v>
      </c>
      <c r="E2396" s="13">
        <v>22</v>
      </c>
      <c r="F2396" s="10" t="s">
        <v>13</v>
      </c>
      <c r="J2396" s="138" t="s">
        <v>1292</v>
      </c>
      <c r="K2396" s="138" t="s">
        <v>1292</v>
      </c>
      <c r="L2396" s="138" t="s">
        <v>1292</v>
      </c>
      <c r="M2396" s="12"/>
      <c r="N2396" s="88" t="s">
        <v>1292</v>
      </c>
      <c r="P2396" t="str">
        <f>VLOOKUP(B2396,PTN!A:B,2,FALSE)</f>
        <v>UNIVERSITAS LAMBUNG MANGKURAT</v>
      </c>
      <c r="Q2396" t="str">
        <f t="shared" si="37"/>
        <v>UNIVERSITAS LAMBUNG MANGKURATPEND. EKONOMI</v>
      </c>
    </row>
    <row r="2397" spans="1:17" ht="15.75" thickBot="1" x14ac:dyDescent="0.3">
      <c r="A2397" s="7">
        <v>2396</v>
      </c>
      <c r="B2397" s="6">
        <v>60</v>
      </c>
      <c r="C2397" s="12">
        <v>5312147</v>
      </c>
      <c r="D2397" t="s">
        <v>285</v>
      </c>
      <c r="E2397" s="12">
        <v>25</v>
      </c>
      <c r="F2397" s="10" t="s">
        <v>13</v>
      </c>
      <c r="J2397" s="138" t="s">
        <v>1292</v>
      </c>
      <c r="K2397" s="138" t="s">
        <v>1292</v>
      </c>
      <c r="L2397" s="138" t="s">
        <v>1292</v>
      </c>
      <c r="M2397" s="13"/>
      <c r="N2397" s="89" t="s">
        <v>1292</v>
      </c>
      <c r="P2397" t="str">
        <f>VLOOKUP(B2397,PTN!A:B,2,FALSE)</f>
        <v>UNIVERSITAS LAMBUNG MANGKURAT</v>
      </c>
      <c r="Q2397" t="str">
        <f t="shared" si="37"/>
        <v>UNIVERSITAS LAMBUNG MANGKURATPEND. GEOGRAFI</v>
      </c>
    </row>
    <row r="2398" spans="1:17" ht="15.75" thickBot="1" x14ac:dyDescent="0.3">
      <c r="A2398" s="7">
        <v>2397</v>
      </c>
      <c r="B2398" s="6">
        <v>60</v>
      </c>
      <c r="C2398" s="13">
        <v>5312236</v>
      </c>
      <c r="D2398" t="s">
        <v>409</v>
      </c>
      <c r="E2398" s="13">
        <v>25</v>
      </c>
      <c r="F2398" s="10" t="s">
        <v>13</v>
      </c>
      <c r="J2398" s="138" t="s">
        <v>1292</v>
      </c>
      <c r="K2398" s="138" t="s">
        <v>1292</v>
      </c>
      <c r="L2398" s="138" t="s">
        <v>1292</v>
      </c>
      <c r="M2398" s="12"/>
      <c r="N2398" s="88" t="s">
        <v>1292</v>
      </c>
      <c r="P2398" t="str">
        <f>VLOOKUP(B2398,PTN!A:B,2,FALSE)</f>
        <v>UNIVERSITAS LAMBUNG MANGKURAT</v>
      </c>
      <c r="Q2398" t="str">
        <f t="shared" si="37"/>
        <v>UNIVERSITAS LAMBUNG MANGKURATPENDIDIKAN IPS</v>
      </c>
    </row>
    <row r="2399" spans="1:17" ht="15.75" thickBot="1" x14ac:dyDescent="0.3">
      <c r="A2399" s="7">
        <v>2398</v>
      </c>
      <c r="B2399" s="6">
        <v>60</v>
      </c>
      <c r="C2399" s="12">
        <v>5312186</v>
      </c>
      <c r="D2399" t="s">
        <v>442</v>
      </c>
      <c r="E2399" s="12">
        <v>37</v>
      </c>
      <c r="F2399" s="10" t="s">
        <v>13</v>
      </c>
      <c r="J2399" s="138" t="s">
        <v>1292</v>
      </c>
      <c r="K2399" s="138" t="s">
        <v>1292</v>
      </c>
      <c r="L2399" s="138" t="s">
        <v>1292</v>
      </c>
      <c r="M2399" s="13"/>
      <c r="N2399" s="89" t="s">
        <v>1292</v>
      </c>
      <c r="P2399" t="str">
        <f>VLOOKUP(B2399,PTN!A:B,2,FALSE)</f>
        <v>UNIVERSITAS LAMBUNG MANGKURAT</v>
      </c>
      <c r="Q2399" t="str">
        <f t="shared" si="37"/>
        <v>UNIVERSITAS LAMBUNG MANGKURATPENDIDIKAN JASMANI KESEHATAN DAN REKREASI</v>
      </c>
    </row>
    <row r="2400" spans="1:17" ht="15.75" thickBot="1" x14ac:dyDescent="0.3">
      <c r="A2400" s="7">
        <v>2399</v>
      </c>
      <c r="B2400" s="6">
        <v>60</v>
      </c>
      <c r="C2400" s="13">
        <v>5312171</v>
      </c>
      <c r="D2400" t="s">
        <v>200</v>
      </c>
      <c r="E2400" s="13">
        <v>10</v>
      </c>
      <c r="F2400" s="10" t="s">
        <v>13</v>
      </c>
      <c r="J2400" s="138" t="s">
        <v>1292</v>
      </c>
      <c r="K2400" s="138" t="s">
        <v>1292</v>
      </c>
      <c r="L2400" s="138" t="s">
        <v>1292</v>
      </c>
      <c r="M2400" s="12"/>
      <c r="N2400" s="88" t="s">
        <v>1292</v>
      </c>
      <c r="P2400" t="str">
        <f>VLOOKUP(B2400,PTN!A:B,2,FALSE)</f>
        <v>UNIVERSITAS LAMBUNG MANGKURAT</v>
      </c>
      <c r="Q2400" t="str">
        <f t="shared" si="37"/>
        <v>UNIVERSITAS LAMBUNG MANGKURATPENDIDIKAN LUAR BIASA</v>
      </c>
    </row>
    <row r="2401" spans="1:17" ht="15.75" thickBot="1" x14ac:dyDescent="0.3">
      <c r="A2401" s="7">
        <v>2400</v>
      </c>
      <c r="B2401" s="6">
        <v>60</v>
      </c>
      <c r="C2401" s="12">
        <v>5312213</v>
      </c>
      <c r="D2401" t="s">
        <v>203</v>
      </c>
      <c r="E2401" s="12">
        <v>10</v>
      </c>
      <c r="F2401" s="10" t="s">
        <v>13</v>
      </c>
      <c r="J2401" s="138" t="s">
        <v>1292</v>
      </c>
      <c r="K2401" s="138" t="s">
        <v>1292</v>
      </c>
      <c r="L2401" s="138" t="s">
        <v>1292</v>
      </c>
      <c r="M2401" s="13"/>
      <c r="N2401" s="89" t="s">
        <v>1292</v>
      </c>
      <c r="P2401" t="str">
        <f>VLOOKUP(B2401,PTN!A:B,2,FALSE)</f>
        <v>UNIVERSITAS LAMBUNG MANGKURAT</v>
      </c>
      <c r="Q2401" t="str">
        <f t="shared" si="37"/>
        <v>UNIVERSITAS LAMBUNG MANGKURATPENDIDIKAN SENDRATASIK</v>
      </c>
    </row>
    <row r="2402" spans="1:17" ht="15.75" thickBot="1" x14ac:dyDescent="0.3">
      <c r="A2402" s="7">
        <v>2401</v>
      </c>
      <c r="B2402" s="6">
        <v>60</v>
      </c>
      <c r="C2402" s="13">
        <v>5312027</v>
      </c>
      <c r="D2402" t="s">
        <v>638</v>
      </c>
      <c r="E2402" s="13">
        <v>25</v>
      </c>
      <c r="F2402" s="10" t="s">
        <v>13</v>
      </c>
      <c r="J2402" s="138" t="s">
        <v>1292</v>
      </c>
      <c r="K2402" s="138" t="s">
        <v>1292</v>
      </c>
      <c r="L2402" s="138" t="s">
        <v>1292</v>
      </c>
      <c r="M2402" s="12"/>
      <c r="N2402" s="88" t="s">
        <v>1292</v>
      </c>
      <c r="P2402" t="str">
        <f>VLOOKUP(B2402,PTN!A:B,2,FALSE)</f>
        <v>UNIVERSITAS LAMBUNG MANGKURAT</v>
      </c>
      <c r="Q2402" t="str">
        <f t="shared" si="37"/>
        <v>UNIVERSITAS LAMBUNG MANGKURATPEND PANCASILA &amp; KN</v>
      </c>
    </row>
    <row r="2403" spans="1:17" ht="15.75" thickBot="1" x14ac:dyDescent="0.3">
      <c r="A2403" s="7">
        <v>2402</v>
      </c>
      <c r="B2403" s="6">
        <v>60</v>
      </c>
      <c r="C2403" s="12">
        <v>5312012</v>
      </c>
      <c r="D2403" t="s">
        <v>233</v>
      </c>
      <c r="E2403" s="12">
        <v>25</v>
      </c>
      <c r="F2403" s="10" t="s">
        <v>13</v>
      </c>
      <c r="J2403" s="138" t="s">
        <v>1292</v>
      </c>
      <c r="K2403" s="138" t="s">
        <v>1292</v>
      </c>
      <c r="L2403" s="138" t="s">
        <v>1292</v>
      </c>
      <c r="M2403" s="13"/>
      <c r="N2403" s="89" t="s">
        <v>1292</v>
      </c>
      <c r="P2403" t="str">
        <f>VLOOKUP(B2403,PTN!A:B,2,FALSE)</f>
        <v>UNIVERSITAS LAMBUNG MANGKURAT</v>
      </c>
      <c r="Q2403" t="str">
        <f t="shared" si="37"/>
        <v>UNIVERSITAS LAMBUNG MANGKURATPEND. SEJARAH</v>
      </c>
    </row>
    <row r="2404" spans="1:17" ht="15.75" thickBot="1" x14ac:dyDescent="0.3">
      <c r="A2404" s="7">
        <v>2403</v>
      </c>
      <c r="B2404" s="6">
        <v>60</v>
      </c>
      <c r="C2404" s="13">
        <v>5312155</v>
      </c>
      <c r="D2404" t="s">
        <v>628</v>
      </c>
      <c r="E2404" s="13">
        <v>20</v>
      </c>
      <c r="F2404" s="10" t="s">
        <v>13</v>
      </c>
      <c r="J2404" s="138" t="s">
        <v>1292</v>
      </c>
      <c r="K2404" s="138" t="s">
        <v>1292</v>
      </c>
      <c r="L2404" s="138" t="s">
        <v>1292</v>
      </c>
      <c r="M2404" s="12"/>
      <c r="N2404" s="88" t="s">
        <v>1292</v>
      </c>
      <c r="P2404" t="str">
        <f>VLOOKUP(B2404,PTN!A:B,2,FALSE)</f>
        <v>UNIVERSITAS LAMBUNG MANGKURAT</v>
      </c>
      <c r="Q2404" t="str">
        <f t="shared" si="37"/>
        <v>UNIVERSITAS LAMBUNG MANGKURATPEND. SOSIOLOGI</v>
      </c>
    </row>
    <row r="2405" spans="1:17" ht="15.75" thickBot="1" x14ac:dyDescent="0.3">
      <c r="A2405" s="7">
        <v>2404</v>
      </c>
      <c r="B2405" s="6">
        <v>60</v>
      </c>
      <c r="C2405" s="12">
        <v>5312205</v>
      </c>
      <c r="D2405" t="s">
        <v>587</v>
      </c>
      <c r="E2405" s="12">
        <v>43</v>
      </c>
      <c r="F2405" s="10" t="s">
        <v>13</v>
      </c>
      <c r="J2405" s="138" t="s">
        <v>1292</v>
      </c>
      <c r="K2405" s="138" t="s">
        <v>1292</v>
      </c>
      <c r="L2405" s="138" t="s">
        <v>1292</v>
      </c>
      <c r="M2405" s="13"/>
      <c r="N2405" s="89" t="s">
        <v>1292</v>
      </c>
      <c r="P2405" t="str">
        <f>VLOOKUP(B2405,PTN!A:B,2,FALSE)</f>
        <v>UNIVERSITAS LAMBUNG MANGKURAT</v>
      </c>
      <c r="Q2405" t="str">
        <f t="shared" si="37"/>
        <v>UNIVERSITAS LAMBUNG MANGKURATPG-PAUD</v>
      </c>
    </row>
    <row r="2406" spans="1:17" ht="15.75" thickBot="1" x14ac:dyDescent="0.3">
      <c r="A2406" s="7">
        <v>2405</v>
      </c>
      <c r="B2406" s="6">
        <v>60</v>
      </c>
      <c r="C2406" s="13">
        <v>5312194</v>
      </c>
      <c r="D2406" t="s">
        <v>234</v>
      </c>
      <c r="E2406" s="13">
        <v>75</v>
      </c>
      <c r="F2406" s="10" t="s">
        <v>13</v>
      </c>
      <c r="J2406" s="138" t="s">
        <v>1292</v>
      </c>
      <c r="K2406" s="138" t="s">
        <v>1292</v>
      </c>
      <c r="L2406" s="138" t="s">
        <v>1292</v>
      </c>
      <c r="M2406" s="12"/>
      <c r="N2406" s="88" t="s">
        <v>1292</v>
      </c>
      <c r="P2406" t="str">
        <f>VLOOKUP(B2406,PTN!A:B,2,FALSE)</f>
        <v>UNIVERSITAS LAMBUNG MANGKURAT</v>
      </c>
      <c r="Q2406" t="str">
        <f t="shared" si="37"/>
        <v>UNIVERSITAS LAMBUNG MANGKURATPGSD</v>
      </c>
    </row>
    <row r="2407" spans="1:17" ht="15.75" thickBot="1" x14ac:dyDescent="0.3">
      <c r="A2407" s="7">
        <v>2406</v>
      </c>
      <c r="B2407" s="6">
        <v>60</v>
      </c>
      <c r="C2407" s="12">
        <v>5312244</v>
      </c>
      <c r="D2407" t="s">
        <v>36</v>
      </c>
      <c r="E2407" s="12">
        <v>25</v>
      </c>
      <c r="F2407" s="10" t="s">
        <v>13</v>
      </c>
      <c r="J2407" s="138" t="s">
        <v>1292</v>
      </c>
      <c r="K2407" s="138" t="s">
        <v>1292</v>
      </c>
      <c r="L2407" s="138" t="s">
        <v>1292</v>
      </c>
      <c r="M2407" s="13"/>
      <c r="N2407" s="89" t="s">
        <v>1292</v>
      </c>
      <c r="P2407" t="str">
        <f>VLOOKUP(B2407,PTN!A:B,2,FALSE)</f>
        <v>UNIVERSITAS LAMBUNG MANGKURAT</v>
      </c>
      <c r="Q2407" t="str">
        <f t="shared" si="37"/>
        <v>UNIVERSITAS LAMBUNG MANGKURATPSIKOLOGI</v>
      </c>
    </row>
    <row r="2408" spans="1:17" ht="15.75" thickBot="1" x14ac:dyDescent="0.3">
      <c r="A2408" s="7">
        <v>2407</v>
      </c>
      <c r="B2408" s="6">
        <v>60</v>
      </c>
      <c r="C2408" s="16">
        <v>5312221</v>
      </c>
      <c r="D2408" t="s">
        <v>210</v>
      </c>
      <c r="E2408" s="16">
        <v>20</v>
      </c>
      <c r="F2408" s="10" t="s">
        <v>13</v>
      </c>
      <c r="J2408" s="138" t="s">
        <v>1292</v>
      </c>
      <c r="K2408" s="138" t="s">
        <v>1292</v>
      </c>
      <c r="L2408" s="138" t="s">
        <v>1292</v>
      </c>
      <c r="M2408" s="12"/>
      <c r="N2408" s="88" t="s">
        <v>1292</v>
      </c>
      <c r="P2408" t="str">
        <f>VLOOKUP(B2408,PTN!A:B,2,FALSE)</f>
        <v>UNIVERSITAS LAMBUNG MANGKURAT</v>
      </c>
      <c r="Q2408" t="str">
        <f t="shared" si="37"/>
        <v>UNIVERSITAS LAMBUNG MANGKURATTEKNOLOGI PENDIDIKAN</v>
      </c>
    </row>
    <row r="2409" spans="1:17" ht="16.5" thickTop="1" thickBot="1" x14ac:dyDescent="0.3">
      <c r="A2409" s="7">
        <v>2408</v>
      </c>
      <c r="B2409" s="6">
        <v>62</v>
      </c>
      <c r="C2409" s="12">
        <v>5421012</v>
      </c>
      <c r="D2409" t="s">
        <v>65</v>
      </c>
      <c r="E2409" s="12">
        <v>45</v>
      </c>
      <c r="F2409" s="10" t="s">
        <v>20</v>
      </c>
      <c r="J2409" s="138" t="s">
        <v>1292</v>
      </c>
      <c r="K2409" s="138" t="s">
        <v>1292</v>
      </c>
      <c r="L2409" s="138" t="s">
        <v>1292</v>
      </c>
      <c r="M2409" s="21"/>
      <c r="N2409" s="83" t="s">
        <v>1292</v>
      </c>
      <c r="P2409" t="str">
        <f>VLOOKUP(B2409,PTN!A:B,2,FALSE)</f>
        <v>INSTITUT TEKNOLOGI KALIMANTAN</v>
      </c>
      <c r="Q2409" t="str">
        <f t="shared" si="37"/>
        <v>INSTITUT TEKNOLOGI KALIMANTANFISIKA</v>
      </c>
    </row>
    <row r="2410" spans="1:17" ht="16.5" thickTop="1" thickBot="1" x14ac:dyDescent="0.3">
      <c r="A2410" s="7">
        <v>2409</v>
      </c>
      <c r="B2410" s="6">
        <v>62</v>
      </c>
      <c r="C2410" s="13">
        <v>5421124</v>
      </c>
      <c r="D2410" t="s">
        <v>80</v>
      </c>
      <c r="E2410" s="13">
        <v>40</v>
      </c>
      <c r="F2410" s="10" t="s">
        <v>20</v>
      </c>
      <c r="J2410" s="138">
        <v>620</v>
      </c>
      <c r="K2410" s="138" t="s">
        <v>1292</v>
      </c>
      <c r="L2410" s="138" t="s">
        <v>1292</v>
      </c>
      <c r="M2410" s="24"/>
      <c r="N2410" s="84">
        <v>620</v>
      </c>
      <c r="P2410" t="str">
        <f>VLOOKUP(B2410,PTN!A:B,2,FALSE)</f>
        <v>INSTITUT TEKNOLOGI KALIMANTAN</v>
      </c>
      <c r="Q2410" t="str">
        <f t="shared" si="37"/>
        <v>INSTITUT TEKNOLOGI KALIMANTANINFORMATIKA</v>
      </c>
    </row>
    <row r="2411" spans="1:17" ht="16.5" thickTop="1" thickBot="1" x14ac:dyDescent="0.3">
      <c r="A2411" s="7">
        <v>2410</v>
      </c>
      <c r="B2411" s="6">
        <v>62</v>
      </c>
      <c r="C2411" s="12">
        <v>5421027</v>
      </c>
      <c r="D2411" t="s">
        <v>66</v>
      </c>
      <c r="E2411" s="12">
        <v>32</v>
      </c>
      <c r="F2411" s="10" t="s">
        <v>20</v>
      </c>
      <c r="J2411" s="138" t="s">
        <v>1292</v>
      </c>
      <c r="K2411" s="138" t="s">
        <v>1292</v>
      </c>
      <c r="L2411" s="138" t="s">
        <v>1292</v>
      </c>
      <c r="M2411" s="12"/>
      <c r="N2411" s="88" t="s">
        <v>1292</v>
      </c>
      <c r="P2411" t="str">
        <f>VLOOKUP(B2411,PTN!A:B,2,FALSE)</f>
        <v>INSTITUT TEKNOLOGI KALIMANTAN</v>
      </c>
      <c r="Q2411" t="str">
        <f t="shared" si="37"/>
        <v>INSTITUT TEKNOLOGI KALIMANTANMATEMATIKA</v>
      </c>
    </row>
    <row r="2412" spans="1:17" ht="15.75" thickBot="1" x14ac:dyDescent="0.3">
      <c r="A2412" s="7">
        <v>2411</v>
      </c>
      <c r="B2412" s="6">
        <v>62</v>
      </c>
      <c r="C2412" s="13">
        <v>5421082</v>
      </c>
      <c r="D2412" t="s">
        <v>87</v>
      </c>
      <c r="E2412" s="13">
        <v>50</v>
      </c>
      <c r="F2412" s="10" t="s">
        <v>20</v>
      </c>
      <c r="J2412" s="138" t="s">
        <v>1292</v>
      </c>
      <c r="K2412" s="138" t="s">
        <v>1292</v>
      </c>
      <c r="L2412" s="138" t="s">
        <v>1292</v>
      </c>
      <c r="M2412" s="13"/>
      <c r="N2412" s="89" t="s">
        <v>1292</v>
      </c>
      <c r="P2412" t="str">
        <f>VLOOKUP(B2412,PTN!A:B,2,FALSE)</f>
        <v>INSTITUT TEKNOLOGI KALIMANTAN</v>
      </c>
      <c r="Q2412" t="str">
        <f t="shared" si="37"/>
        <v>INSTITUT TEKNOLOGI KALIMANTANPERENCANAAN WILAYAH DAN KOTA</v>
      </c>
    </row>
    <row r="2413" spans="1:17" ht="15.75" thickBot="1" x14ac:dyDescent="0.3">
      <c r="A2413" s="7">
        <v>2412</v>
      </c>
      <c r="B2413" s="6">
        <v>62</v>
      </c>
      <c r="C2413" s="12">
        <v>5421101</v>
      </c>
      <c r="D2413" t="s">
        <v>46</v>
      </c>
      <c r="E2413" s="12">
        <v>47</v>
      </c>
      <c r="F2413" s="10" t="s">
        <v>20</v>
      </c>
      <c r="J2413" s="138" t="s">
        <v>1292</v>
      </c>
      <c r="K2413" s="138" t="s">
        <v>1292</v>
      </c>
      <c r="L2413" s="138" t="s">
        <v>1292</v>
      </c>
      <c r="M2413" s="12"/>
      <c r="N2413" s="88" t="s">
        <v>1292</v>
      </c>
      <c r="P2413" t="str">
        <f>VLOOKUP(B2413,PTN!A:B,2,FALSE)</f>
        <v>INSTITUT TEKNOLOGI KALIMANTAN</v>
      </c>
      <c r="Q2413" t="str">
        <f t="shared" si="37"/>
        <v>INSTITUT TEKNOLOGI KALIMANTANSISTEM INFORMASI</v>
      </c>
    </row>
    <row r="2414" spans="1:17" ht="15.75" thickBot="1" x14ac:dyDescent="0.3">
      <c r="A2414" s="7">
        <v>2413</v>
      </c>
      <c r="B2414" s="6">
        <v>62</v>
      </c>
      <c r="C2414" s="13">
        <v>5421043</v>
      </c>
      <c r="D2414" t="s">
        <v>48</v>
      </c>
      <c r="E2414" s="13">
        <v>50</v>
      </c>
      <c r="F2414" s="10" t="s">
        <v>20</v>
      </c>
      <c r="J2414" s="138" t="s">
        <v>1292</v>
      </c>
      <c r="K2414" s="138" t="s">
        <v>1292</v>
      </c>
      <c r="L2414" s="138" t="s">
        <v>1292</v>
      </c>
      <c r="M2414" s="13"/>
      <c r="N2414" s="89" t="s">
        <v>1292</v>
      </c>
      <c r="P2414" t="str">
        <f>VLOOKUP(B2414,PTN!A:B,2,FALSE)</f>
        <v>INSTITUT TEKNOLOGI KALIMANTAN</v>
      </c>
      <c r="Q2414" t="str">
        <f t="shared" si="37"/>
        <v>INSTITUT TEKNOLOGI KALIMANTANTEKNIK ELEKTRO</v>
      </c>
    </row>
    <row r="2415" spans="1:17" ht="15.75" thickBot="1" x14ac:dyDescent="0.3">
      <c r="A2415" s="7">
        <v>2414</v>
      </c>
      <c r="B2415" s="6">
        <v>62</v>
      </c>
      <c r="C2415" s="12">
        <v>5421116</v>
      </c>
      <c r="D2415" t="s">
        <v>49</v>
      </c>
      <c r="E2415" s="12">
        <v>40</v>
      </c>
      <c r="F2415" s="10" t="s">
        <v>20</v>
      </c>
      <c r="J2415" s="138" t="s">
        <v>1292</v>
      </c>
      <c r="K2415" s="138" t="s">
        <v>1292</v>
      </c>
      <c r="L2415" s="138" t="s">
        <v>1292</v>
      </c>
      <c r="M2415" s="12"/>
      <c r="N2415" s="88" t="s">
        <v>1292</v>
      </c>
      <c r="P2415" t="str">
        <f>VLOOKUP(B2415,PTN!A:B,2,FALSE)</f>
        <v>INSTITUT TEKNOLOGI KALIMANTAN</v>
      </c>
      <c r="Q2415" t="str">
        <f t="shared" si="37"/>
        <v>INSTITUT TEKNOLOGI KALIMANTANTEKNIK INDUSTRI</v>
      </c>
    </row>
    <row r="2416" spans="1:17" ht="15.75" thickBot="1" x14ac:dyDescent="0.3">
      <c r="A2416" s="7">
        <v>2415</v>
      </c>
      <c r="B2416" s="6">
        <v>62</v>
      </c>
      <c r="C2416" s="13">
        <v>5421147</v>
      </c>
      <c r="D2416" t="s">
        <v>269</v>
      </c>
      <c r="E2416" s="13">
        <v>27</v>
      </c>
      <c r="F2416" s="10" t="s">
        <v>20</v>
      </c>
      <c r="J2416" s="138" t="s">
        <v>1292</v>
      </c>
      <c r="K2416" s="138" t="s">
        <v>1292</v>
      </c>
      <c r="L2416" s="138" t="s">
        <v>1292</v>
      </c>
      <c r="M2416" s="13"/>
      <c r="N2416" s="89" t="s">
        <v>1292</v>
      </c>
      <c r="P2416" t="str">
        <f>VLOOKUP(B2416,PTN!A:B,2,FALSE)</f>
        <v>INSTITUT TEKNOLOGI KALIMANTAN</v>
      </c>
      <c r="Q2416" t="str">
        <f t="shared" si="37"/>
        <v>INSTITUT TEKNOLOGI KALIMANTANTEKNIK KELAUTAN</v>
      </c>
    </row>
    <row r="2417" spans="1:17" ht="15.75" thickBot="1" x14ac:dyDescent="0.3">
      <c r="A2417" s="7">
        <v>2416</v>
      </c>
      <c r="B2417" s="6">
        <v>62</v>
      </c>
      <c r="C2417" s="12">
        <v>5421051</v>
      </c>
      <c r="D2417" t="s">
        <v>51</v>
      </c>
      <c r="E2417" s="12">
        <v>50</v>
      </c>
      <c r="F2417" s="10" t="s">
        <v>20</v>
      </c>
      <c r="J2417" s="138" t="s">
        <v>1292</v>
      </c>
      <c r="K2417" s="138" t="s">
        <v>1292</v>
      </c>
      <c r="L2417" s="138" t="s">
        <v>1292</v>
      </c>
      <c r="M2417" s="12"/>
      <c r="N2417" s="88" t="s">
        <v>1292</v>
      </c>
      <c r="P2417" t="str">
        <f>VLOOKUP(B2417,PTN!A:B,2,FALSE)</f>
        <v>INSTITUT TEKNOLOGI KALIMANTAN</v>
      </c>
      <c r="Q2417" t="str">
        <f t="shared" si="37"/>
        <v>INSTITUT TEKNOLOGI KALIMANTANTEKNIK KIMIA</v>
      </c>
    </row>
    <row r="2418" spans="1:17" ht="15.75" thickBot="1" x14ac:dyDescent="0.3">
      <c r="A2418" s="7">
        <v>2417</v>
      </c>
      <c r="B2418" s="6">
        <v>62</v>
      </c>
      <c r="C2418" s="13">
        <v>5421132</v>
      </c>
      <c r="D2418" t="s">
        <v>25</v>
      </c>
      <c r="E2418" s="13">
        <v>35</v>
      </c>
      <c r="F2418" s="10" t="s">
        <v>20</v>
      </c>
      <c r="J2418" s="138" t="s">
        <v>1292</v>
      </c>
      <c r="K2418" s="138" t="s">
        <v>1292</v>
      </c>
      <c r="L2418" s="138" t="s">
        <v>1292</v>
      </c>
      <c r="M2418" s="13"/>
      <c r="N2418" s="89" t="s">
        <v>1292</v>
      </c>
      <c r="P2418" t="str">
        <f>VLOOKUP(B2418,PTN!A:B,2,FALSE)</f>
        <v>INSTITUT TEKNOLOGI KALIMANTAN</v>
      </c>
      <c r="Q2418" t="str">
        <f t="shared" si="37"/>
        <v>INSTITUT TEKNOLOGI KALIMANTANTEKNIK LINGKUNGAN</v>
      </c>
    </row>
    <row r="2419" spans="1:17" ht="15.75" thickBot="1" x14ac:dyDescent="0.3">
      <c r="A2419" s="7">
        <v>2418</v>
      </c>
      <c r="B2419" s="6">
        <v>62</v>
      </c>
      <c r="C2419" s="12">
        <v>5421066</v>
      </c>
      <c r="D2419" t="s">
        <v>639</v>
      </c>
      <c r="E2419" s="12">
        <v>35</v>
      </c>
      <c r="F2419" s="10" t="s">
        <v>20</v>
      </c>
      <c r="J2419" s="138" t="s">
        <v>1292</v>
      </c>
      <c r="K2419" s="138" t="s">
        <v>1292</v>
      </c>
      <c r="L2419" s="138" t="s">
        <v>1292</v>
      </c>
      <c r="M2419" s="12"/>
      <c r="N2419" s="88" t="s">
        <v>1292</v>
      </c>
      <c r="P2419" t="str">
        <f>VLOOKUP(B2419,PTN!A:B,2,FALSE)</f>
        <v>INSTITUT TEKNOLOGI KALIMANTAN</v>
      </c>
      <c r="Q2419" t="str">
        <f t="shared" si="37"/>
        <v>INSTITUT TEKNOLOGI KALIMANTANTEKNIK MATERIAL DAN METALURGI</v>
      </c>
    </row>
    <row r="2420" spans="1:17" ht="15.75" thickBot="1" x14ac:dyDescent="0.3">
      <c r="A2420" s="7">
        <v>2419</v>
      </c>
      <c r="B2420" s="6">
        <v>62</v>
      </c>
      <c r="C2420" s="13">
        <v>5421035</v>
      </c>
      <c r="D2420" t="s">
        <v>53</v>
      </c>
      <c r="E2420" s="13">
        <v>45</v>
      </c>
      <c r="F2420" s="10" t="s">
        <v>20</v>
      </c>
      <c r="J2420" s="138" t="s">
        <v>1292</v>
      </c>
      <c r="K2420" s="138" t="s">
        <v>1292</v>
      </c>
      <c r="L2420" s="138" t="s">
        <v>1292</v>
      </c>
      <c r="M2420" s="13"/>
      <c r="N2420" s="89" t="s">
        <v>1292</v>
      </c>
      <c r="P2420" t="str">
        <f>VLOOKUP(B2420,PTN!A:B,2,FALSE)</f>
        <v>INSTITUT TEKNOLOGI KALIMANTAN</v>
      </c>
      <c r="Q2420" t="str">
        <f t="shared" si="37"/>
        <v>INSTITUT TEKNOLOGI KALIMANTANTEKNIK MESIN</v>
      </c>
    </row>
    <row r="2421" spans="1:17" ht="15.75" thickBot="1" x14ac:dyDescent="0.3">
      <c r="A2421" s="7">
        <v>2420</v>
      </c>
      <c r="B2421" s="6">
        <v>62</v>
      </c>
      <c r="C2421" s="12">
        <v>5421097</v>
      </c>
      <c r="D2421" t="s">
        <v>295</v>
      </c>
      <c r="E2421" s="12">
        <v>45</v>
      </c>
      <c r="F2421" s="10" t="s">
        <v>20</v>
      </c>
      <c r="J2421" s="138" t="s">
        <v>1292</v>
      </c>
      <c r="K2421" s="138" t="s">
        <v>1292</v>
      </c>
      <c r="L2421" s="138" t="s">
        <v>1292</v>
      </c>
      <c r="M2421" s="12"/>
      <c r="N2421" s="88" t="s">
        <v>1292</v>
      </c>
      <c r="P2421" t="str">
        <f>VLOOKUP(B2421,PTN!A:B,2,FALSE)</f>
        <v>INSTITUT TEKNOLOGI KALIMANTAN</v>
      </c>
      <c r="Q2421" t="str">
        <f t="shared" si="37"/>
        <v>INSTITUT TEKNOLOGI KALIMANTANTEKNIK PERKAPALAN</v>
      </c>
    </row>
    <row r="2422" spans="1:17" ht="15.75" thickBot="1" x14ac:dyDescent="0.3">
      <c r="A2422" s="7">
        <v>2421</v>
      </c>
      <c r="B2422" s="6">
        <v>62</v>
      </c>
      <c r="C2422" s="16">
        <v>5421074</v>
      </c>
      <c r="D2422" t="s">
        <v>54</v>
      </c>
      <c r="E2422" s="16">
        <v>45</v>
      </c>
      <c r="F2422" s="10" t="s">
        <v>20</v>
      </c>
      <c r="J2422" s="138" t="s">
        <v>1292</v>
      </c>
      <c r="K2422" s="138" t="s">
        <v>1292</v>
      </c>
      <c r="L2422" s="138" t="s">
        <v>1292</v>
      </c>
      <c r="M2422" s="13"/>
      <c r="N2422" s="89" t="s">
        <v>1292</v>
      </c>
      <c r="P2422" t="str">
        <f>VLOOKUP(B2422,PTN!A:B,2,FALSE)</f>
        <v>INSTITUT TEKNOLOGI KALIMANTAN</v>
      </c>
      <c r="Q2422" t="str">
        <f t="shared" si="37"/>
        <v>INSTITUT TEKNOLOGI KALIMANTANTEKNIK SIPIL</v>
      </c>
    </row>
    <row r="2423" spans="1:17" ht="16.5" thickTop="1" thickBot="1" x14ac:dyDescent="0.3">
      <c r="A2423" s="7">
        <v>2422</v>
      </c>
      <c r="B2423" s="6">
        <v>61</v>
      </c>
      <c r="C2423" s="48">
        <v>5411025</v>
      </c>
      <c r="D2423" t="s">
        <v>37</v>
      </c>
      <c r="E2423" s="48">
        <v>20</v>
      </c>
      <c r="F2423" s="10" t="s">
        <v>20</v>
      </c>
      <c r="J2423" s="138" t="s">
        <v>1292</v>
      </c>
      <c r="K2423" s="138" t="s">
        <v>1292</v>
      </c>
      <c r="L2423" s="138" t="s">
        <v>1292</v>
      </c>
      <c r="N2423" s="83" t="s">
        <v>1292</v>
      </c>
      <c r="P2423" t="str">
        <f>VLOOKUP(B2423,PTN!A:B,2,FALSE)</f>
        <v>UNIVERSITAS MULAWARMAN</v>
      </c>
      <c r="Q2423" t="str">
        <f t="shared" si="37"/>
        <v>UNIVERSITAS MULAWARMANAGRIBISNIS</v>
      </c>
    </row>
    <row r="2424" spans="1:17" ht="15.75" thickBot="1" x14ac:dyDescent="0.3">
      <c r="A2424" s="7">
        <v>2423</v>
      </c>
      <c r="B2424" s="6">
        <v>61</v>
      </c>
      <c r="C2424" s="51">
        <v>5411106</v>
      </c>
      <c r="D2424" t="s">
        <v>536</v>
      </c>
      <c r="E2424" s="51">
        <v>24</v>
      </c>
      <c r="F2424" s="10" t="s">
        <v>20</v>
      </c>
      <c r="J2424" s="138" t="s">
        <v>1292</v>
      </c>
      <c r="K2424" s="138" t="s">
        <v>1292</v>
      </c>
      <c r="L2424" s="138" t="s">
        <v>1292</v>
      </c>
      <c r="N2424" s="83" t="s">
        <v>1292</v>
      </c>
      <c r="P2424" t="str">
        <f>VLOOKUP(B2424,PTN!A:B,2,FALSE)</f>
        <v>UNIVERSITAS MULAWARMAN</v>
      </c>
      <c r="Q2424" t="str">
        <f t="shared" si="37"/>
        <v>UNIVERSITAS MULAWARMANAGROBISNIS PERIKANAN</v>
      </c>
    </row>
    <row r="2425" spans="1:17" ht="16.5" thickTop="1" thickBot="1" x14ac:dyDescent="0.3">
      <c r="A2425" s="7">
        <v>2424</v>
      </c>
      <c r="B2425" s="6">
        <v>61</v>
      </c>
      <c r="C2425" s="48">
        <v>5411017</v>
      </c>
      <c r="D2425" t="s">
        <v>38</v>
      </c>
      <c r="E2425" s="48">
        <v>30</v>
      </c>
      <c r="F2425" s="10" t="s">
        <v>20</v>
      </c>
      <c r="J2425" s="138" t="s">
        <v>1292</v>
      </c>
      <c r="K2425" s="138" t="s">
        <v>1292</v>
      </c>
      <c r="L2425" s="138" t="s">
        <v>1292</v>
      </c>
      <c r="M2425" s="45"/>
      <c r="N2425" s="86" t="s">
        <v>1292</v>
      </c>
      <c r="P2425" t="str">
        <f>VLOOKUP(B2425,PTN!A:B,2,FALSE)</f>
        <v>UNIVERSITAS MULAWARMAN</v>
      </c>
      <c r="Q2425" t="str">
        <f t="shared" si="37"/>
        <v>UNIVERSITAS MULAWARMANAGROEKOTEKNOLOGI</v>
      </c>
    </row>
    <row r="2426" spans="1:17" ht="16.5" thickTop="1" thickBot="1" x14ac:dyDescent="0.3">
      <c r="A2426" s="7">
        <v>2425</v>
      </c>
      <c r="B2426" s="6">
        <v>61</v>
      </c>
      <c r="C2426" s="51">
        <v>5411137</v>
      </c>
      <c r="D2426" t="s">
        <v>21</v>
      </c>
      <c r="E2426" s="51">
        <v>32</v>
      </c>
      <c r="F2426" s="10" t="s">
        <v>20</v>
      </c>
      <c r="J2426" s="138" t="s">
        <v>1292</v>
      </c>
      <c r="K2426" s="138" t="s">
        <v>1292</v>
      </c>
      <c r="L2426" s="138" t="s">
        <v>1292</v>
      </c>
      <c r="M2426" s="48"/>
      <c r="N2426" s="94" t="s">
        <v>1292</v>
      </c>
      <c r="P2426" t="str">
        <f>VLOOKUP(B2426,PTN!A:B,2,FALSE)</f>
        <v>UNIVERSITAS MULAWARMAN</v>
      </c>
      <c r="Q2426" t="str">
        <f t="shared" si="37"/>
        <v>UNIVERSITAS MULAWARMANBIOLOGI</v>
      </c>
    </row>
    <row r="2427" spans="1:17" ht="15.75" thickBot="1" x14ac:dyDescent="0.3">
      <c r="A2427" s="7">
        <v>2426</v>
      </c>
      <c r="B2427" s="6">
        <v>61</v>
      </c>
      <c r="C2427" s="48">
        <v>5411095</v>
      </c>
      <c r="D2427" t="s">
        <v>39</v>
      </c>
      <c r="E2427" s="48">
        <v>24</v>
      </c>
      <c r="F2427" s="10" t="s">
        <v>20</v>
      </c>
      <c r="J2427" s="138" t="s">
        <v>1292</v>
      </c>
      <c r="K2427" s="138" t="s">
        <v>1292</v>
      </c>
      <c r="L2427" s="138" t="s">
        <v>1292</v>
      </c>
      <c r="M2427" s="51"/>
      <c r="N2427" s="95" t="s">
        <v>1292</v>
      </c>
      <c r="P2427" t="str">
        <f>VLOOKUP(B2427,PTN!A:B,2,FALSE)</f>
        <v>UNIVERSITAS MULAWARMAN</v>
      </c>
      <c r="Q2427" t="str">
        <f t="shared" si="37"/>
        <v>UNIVERSITAS MULAWARMANBUDIDAYA PERAIRAN</v>
      </c>
    </row>
    <row r="2428" spans="1:17" ht="15.75" thickBot="1" x14ac:dyDescent="0.3">
      <c r="A2428" s="7">
        <v>2427</v>
      </c>
      <c r="B2428" s="6">
        <v>61</v>
      </c>
      <c r="C2428" s="51">
        <v>5411234</v>
      </c>
      <c r="D2428" t="s">
        <v>77</v>
      </c>
      <c r="E2428" s="51">
        <v>45</v>
      </c>
      <c r="F2428" s="10" t="s">
        <v>20</v>
      </c>
      <c r="J2428" s="138" t="s">
        <v>1292</v>
      </c>
      <c r="K2428" s="138" t="s">
        <v>1292</v>
      </c>
      <c r="L2428" s="138" t="s">
        <v>1292</v>
      </c>
      <c r="M2428" s="48"/>
      <c r="N2428" s="94" t="s">
        <v>1292</v>
      </c>
      <c r="P2428" t="str">
        <f>VLOOKUP(B2428,PTN!A:B,2,FALSE)</f>
        <v>UNIVERSITAS MULAWARMAN</v>
      </c>
      <c r="Q2428" t="str">
        <f t="shared" si="37"/>
        <v>UNIVERSITAS MULAWARMANFARMASI</v>
      </c>
    </row>
    <row r="2429" spans="1:17" ht="15.75" thickBot="1" x14ac:dyDescent="0.3">
      <c r="A2429" s="7">
        <v>2428</v>
      </c>
      <c r="B2429" s="6">
        <v>61</v>
      </c>
      <c r="C2429" s="48">
        <v>5411377</v>
      </c>
      <c r="D2429" t="s">
        <v>640</v>
      </c>
      <c r="E2429" s="48">
        <v>15</v>
      </c>
      <c r="F2429" s="10" t="s">
        <v>20</v>
      </c>
      <c r="J2429" s="138" t="s">
        <v>1292</v>
      </c>
      <c r="K2429" s="138" t="s">
        <v>1292</v>
      </c>
      <c r="L2429" s="138" t="s">
        <v>1292</v>
      </c>
      <c r="M2429" s="51"/>
      <c r="N2429" s="95" t="s">
        <v>1292</v>
      </c>
      <c r="P2429" t="str">
        <f>VLOOKUP(B2429,PTN!A:B,2,FALSE)</f>
        <v>UNIVERSITAS MULAWARMAN</v>
      </c>
      <c r="Q2429" t="str">
        <f t="shared" si="37"/>
        <v>UNIVERSITAS MULAWARMANFARMASI KLINIS</v>
      </c>
    </row>
    <row r="2430" spans="1:17" ht="15.75" thickBot="1" x14ac:dyDescent="0.3">
      <c r="A2430" s="7">
        <v>2429</v>
      </c>
      <c r="B2430" s="6">
        <v>61</v>
      </c>
      <c r="C2430" s="51">
        <v>5411153</v>
      </c>
      <c r="D2430" t="s">
        <v>65</v>
      </c>
      <c r="E2430" s="51">
        <v>18</v>
      </c>
      <c r="F2430" s="10" t="s">
        <v>20</v>
      </c>
      <c r="J2430" s="138" t="s">
        <v>1292</v>
      </c>
      <c r="K2430" s="138" t="s">
        <v>1292</v>
      </c>
      <c r="L2430" s="138" t="s">
        <v>1292</v>
      </c>
      <c r="M2430" s="48"/>
      <c r="N2430" s="94" t="s">
        <v>1292</v>
      </c>
      <c r="P2430" t="str">
        <f>VLOOKUP(B2430,PTN!A:B,2,FALSE)</f>
        <v>UNIVERSITAS MULAWARMAN</v>
      </c>
      <c r="Q2430" t="str">
        <f t="shared" si="37"/>
        <v>UNIVERSITAS MULAWARMANFISIKA</v>
      </c>
    </row>
    <row r="2431" spans="1:17" ht="15.75" thickBot="1" x14ac:dyDescent="0.3">
      <c r="A2431" s="7">
        <v>2430</v>
      </c>
      <c r="B2431" s="6">
        <v>61</v>
      </c>
      <c r="C2431" s="48">
        <v>5411354</v>
      </c>
      <c r="D2431" t="s">
        <v>246</v>
      </c>
      <c r="E2431" s="48">
        <v>14</v>
      </c>
      <c r="F2431" s="10" t="s">
        <v>20</v>
      </c>
      <c r="J2431" s="138" t="s">
        <v>1292</v>
      </c>
      <c r="K2431" s="138" t="s">
        <v>1292</v>
      </c>
      <c r="L2431" s="138" t="s">
        <v>1292</v>
      </c>
      <c r="M2431" s="51"/>
      <c r="N2431" s="95" t="s">
        <v>1292</v>
      </c>
      <c r="P2431" t="str">
        <f>VLOOKUP(B2431,PTN!A:B,2,FALSE)</f>
        <v>UNIVERSITAS MULAWARMAN</v>
      </c>
      <c r="Q2431" t="str">
        <f t="shared" si="37"/>
        <v>UNIVERSITAS MULAWARMANGEOFISIKA</v>
      </c>
    </row>
    <row r="2432" spans="1:17" ht="15.75" thickBot="1" x14ac:dyDescent="0.3">
      <c r="A2432" s="7">
        <v>2431</v>
      </c>
      <c r="B2432" s="6">
        <v>61</v>
      </c>
      <c r="C2432" s="51">
        <v>5411346</v>
      </c>
      <c r="D2432" t="s">
        <v>40</v>
      </c>
      <c r="E2432" s="51">
        <v>24</v>
      </c>
      <c r="F2432" s="10" t="s">
        <v>20</v>
      </c>
      <c r="J2432" s="138" t="s">
        <v>1292</v>
      </c>
      <c r="K2432" s="138" t="s">
        <v>1292</v>
      </c>
      <c r="L2432" s="138" t="s">
        <v>1292</v>
      </c>
      <c r="M2432" s="48"/>
      <c r="N2432" s="94" t="s">
        <v>1292</v>
      </c>
      <c r="P2432" t="str">
        <f>VLOOKUP(B2432,PTN!A:B,2,FALSE)</f>
        <v>UNIVERSITAS MULAWARMAN</v>
      </c>
      <c r="Q2432" t="str">
        <f t="shared" si="37"/>
        <v>UNIVERSITAS MULAWARMANILMU KELAUTAN</v>
      </c>
    </row>
    <row r="2433" spans="1:17" ht="15.75" thickBot="1" x14ac:dyDescent="0.3">
      <c r="A2433" s="7">
        <v>2432</v>
      </c>
      <c r="B2433" s="6">
        <v>61</v>
      </c>
      <c r="C2433" s="48">
        <v>5411161</v>
      </c>
      <c r="D2433" t="s">
        <v>111</v>
      </c>
      <c r="E2433" s="48">
        <v>30</v>
      </c>
      <c r="F2433" s="10" t="s">
        <v>20</v>
      </c>
      <c r="J2433" s="138" t="s">
        <v>1292</v>
      </c>
      <c r="K2433" s="138" t="s">
        <v>1292</v>
      </c>
      <c r="L2433" s="138" t="s">
        <v>1292</v>
      </c>
      <c r="M2433" s="51"/>
      <c r="N2433" s="95" t="s">
        <v>1292</v>
      </c>
      <c r="P2433" t="str">
        <f>VLOOKUP(B2433,PTN!A:B,2,FALSE)</f>
        <v>UNIVERSITAS MULAWARMAN</v>
      </c>
      <c r="Q2433" t="str">
        <f t="shared" si="37"/>
        <v>UNIVERSITAS MULAWARMANILMU KOMPUTER</v>
      </c>
    </row>
    <row r="2434" spans="1:17" ht="15.75" thickBot="1" x14ac:dyDescent="0.3">
      <c r="A2434" s="7">
        <v>2433</v>
      </c>
      <c r="B2434" s="6">
        <v>61</v>
      </c>
      <c r="C2434" s="51">
        <v>5411323</v>
      </c>
      <c r="D2434" t="s">
        <v>436</v>
      </c>
      <c r="E2434" s="51">
        <v>11</v>
      </c>
      <c r="F2434" s="10" t="s">
        <v>20</v>
      </c>
      <c r="J2434" s="138">
        <v>616.30999999999995</v>
      </c>
      <c r="K2434" s="138">
        <v>620.04999999999995</v>
      </c>
      <c r="L2434" s="138">
        <v>612.56999999999994</v>
      </c>
      <c r="M2434" s="48"/>
      <c r="N2434" s="94">
        <v>616.30999999999995</v>
      </c>
      <c r="P2434" t="str">
        <f>VLOOKUP(B2434,PTN!A:B,2,FALSE)</f>
        <v>UNIVERSITAS MULAWARMAN</v>
      </c>
      <c r="Q2434" t="str">
        <f t="shared" si="37"/>
        <v>UNIVERSITAS MULAWARMANKEDOKTERAN GIGI</v>
      </c>
    </row>
    <row r="2435" spans="1:17" ht="15.75" thickBot="1" x14ac:dyDescent="0.3">
      <c r="A2435" s="7">
        <v>2434</v>
      </c>
      <c r="B2435" s="6">
        <v>61</v>
      </c>
      <c r="C2435" s="48">
        <v>5411041</v>
      </c>
      <c r="D2435" t="s">
        <v>81</v>
      </c>
      <c r="E2435" s="48">
        <v>54</v>
      </c>
      <c r="F2435" s="10" t="s">
        <v>20</v>
      </c>
      <c r="J2435" s="138" t="s">
        <v>1292</v>
      </c>
      <c r="K2435" s="138" t="s">
        <v>1292</v>
      </c>
      <c r="L2435" s="138" t="s">
        <v>1292</v>
      </c>
      <c r="M2435" s="51"/>
      <c r="N2435" s="95" t="s">
        <v>1292</v>
      </c>
      <c r="P2435" t="str">
        <f>VLOOKUP(B2435,PTN!A:B,2,FALSE)</f>
        <v>UNIVERSITAS MULAWARMAN</v>
      </c>
      <c r="Q2435" t="str">
        <f t="shared" ref="Q2435:Q2498" si="38">P2435&amp;D2435</f>
        <v>UNIVERSITAS MULAWARMANKEHUTANAN</v>
      </c>
    </row>
    <row r="2436" spans="1:17" ht="15.75" thickBot="1" x14ac:dyDescent="0.3">
      <c r="A2436" s="7">
        <v>2435</v>
      </c>
      <c r="B2436" s="6">
        <v>61</v>
      </c>
      <c r="C2436" s="51">
        <v>5411226</v>
      </c>
      <c r="D2436" t="s">
        <v>107</v>
      </c>
      <c r="E2436" s="51">
        <v>10</v>
      </c>
      <c r="F2436" s="10" t="s">
        <v>20</v>
      </c>
      <c r="J2436" s="138" t="s">
        <v>1292</v>
      </c>
      <c r="K2436" s="138" t="s">
        <v>1292</v>
      </c>
      <c r="L2436" s="138" t="s">
        <v>1292</v>
      </c>
      <c r="M2436" s="48"/>
      <c r="N2436" s="94" t="s">
        <v>1292</v>
      </c>
      <c r="P2436" t="str">
        <f>VLOOKUP(B2436,PTN!A:B,2,FALSE)</f>
        <v>UNIVERSITAS MULAWARMAN</v>
      </c>
      <c r="Q2436" t="str">
        <f t="shared" si="38"/>
        <v>UNIVERSITAS MULAWARMANKESEHATAN MASYARAKAT</v>
      </c>
    </row>
    <row r="2437" spans="1:17" ht="15.75" thickBot="1" x14ac:dyDescent="0.3">
      <c r="A2437" s="7">
        <v>2436</v>
      </c>
      <c r="B2437" s="6">
        <v>61</v>
      </c>
      <c r="C2437" s="48">
        <v>5411145</v>
      </c>
      <c r="D2437" t="s">
        <v>22</v>
      </c>
      <c r="E2437" s="48">
        <v>30</v>
      </c>
      <c r="F2437" s="10" t="s">
        <v>20</v>
      </c>
      <c r="J2437" s="138" t="s">
        <v>1292</v>
      </c>
      <c r="K2437" s="138" t="s">
        <v>1292</v>
      </c>
      <c r="L2437" s="138" t="s">
        <v>1292</v>
      </c>
      <c r="M2437" s="51"/>
      <c r="N2437" s="95" t="s">
        <v>1292</v>
      </c>
      <c r="P2437" t="str">
        <f>VLOOKUP(B2437,PTN!A:B,2,FALSE)</f>
        <v>UNIVERSITAS MULAWARMAN</v>
      </c>
      <c r="Q2437" t="str">
        <f t="shared" si="38"/>
        <v>UNIVERSITAS MULAWARMANKIMIA</v>
      </c>
    </row>
    <row r="2438" spans="1:17" ht="15.75" thickBot="1" x14ac:dyDescent="0.3">
      <c r="A2438" s="7">
        <v>2437</v>
      </c>
      <c r="B2438" s="6">
        <v>61</v>
      </c>
      <c r="C2438" s="51">
        <v>5411114</v>
      </c>
      <c r="D2438" t="s">
        <v>213</v>
      </c>
      <c r="E2438" s="51">
        <v>24</v>
      </c>
      <c r="F2438" s="10" t="s">
        <v>20</v>
      </c>
      <c r="J2438" s="138" t="s">
        <v>1292</v>
      </c>
      <c r="K2438" s="138" t="s">
        <v>1292</v>
      </c>
      <c r="L2438" s="138" t="s">
        <v>1292</v>
      </c>
      <c r="M2438" s="48"/>
      <c r="N2438" s="94" t="s">
        <v>1292</v>
      </c>
      <c r="P2438" t="str">
        <f>VLOOKUP(B2438,PTN!A:B,2,FALSE)</f>
        <v>UNIVERSITAS MULAWARMAN</v>
      </c>
      <c r="Q2438" t="str">
        <f t="shared" si="38"/>
        <v>UNIVERSITAS MULAWARMANMANAJEMEN SUMBERDAYA PERAIRAN</v>
      </c>
    </row>
    <row r="2439" spans="1:17" ht="15.75" thickBot="1" x14ac:dyDescent="0.3">
      <c r="A2439" s="7">
        <v>2438</v>
      </c>
      <c r="B2439" s="6">
        <v>61</v>
      </c>
      <c r="C2439" s="48">
        <v>5411331</v>
      </c>
      <c r="D2439" t="s">
        <v>66</v>
      </c>
      <c r="E2439" s="48">
        <v>12</v>
      </c>
      <c r="F2439" s="10" t="s">
        <v>20</v>
      </c>
      <c r="J2439" s="138" t="s">
        <v>1292</v>
      </c>
      <c r="K2439" s="138" t="s">
        <v>1292</v>
      </c>
      <c r="L2439" s="138" t="s">
        <v>1292</v>
      </c>
      <c r="M2439" s="51"/>
      <c r="N2439" s="95" t="s">
        <v>1292</v>
      </c>
      <c r="P2439" t="str">
        <f>VLOOKUP(B2439,PTN!A:B,2,FALSE)</f>
        <v>UNIVERSITAS MULAWARMAN</v>
      </c>
      <c r="Q2439" t="str">
        <f t="shared" si="38"/>
        <v>UNIVERSITAS MULAWARMANMATEMATIKA</v>
      </c>
    </row>
    <row r="2440" spans="1:17" ht="15.75" thickBot="1" x14ac:dyDescent="0.3">
      <c r="A2440" s="7">
        <v>2439</v>
      </c>
      <c r="B2440" s="6">
        <v>61</v>
      </c>
      <c r="C2440" s="51">
        <v>5411056</v>
      </c>
      <c r="D2440" t="s">
        <v>67</v>
      </c>
      <c r="E2440" s="51">
        <v>24</v>
      </c>
      <c r="F2440" s="10" t="s">
        <v>20</v>
      </c>
      <c r="J2440" s="138" t="s">
        <v>1292</v>
      </c>
      <c r="K2440" s="138" t="s">
        <v>1292</v>
      </c>
      <c r="L2440" s="138" t="s">
        <v>1292</v>
      </c>
      <c r="M2440" s="48"/>
      <c r="N2440" s="94" t="s">
        <v>1292</v>
      </c>
      <c r="P2440" t="str">
        <f>VLOOKUP(B2440,PTN!A:B,2,FALSE)</f>
        <v>UNIVERSITAS MULAWARMAN</v>
      </c>
      <c r="Q2440" t="str">
        <f t="shared" si="38"/>
        <v>UNIVERSITAS MULAWARMANPENDIDIKAN BIOLOGI</v>
      </c>
    </row>
    <row r="2441" spans="1:17" ht="15.75" thickBot="1" x14ac:dyDescent="0.3">
      <c r="A2441" s="7">
        <v>2440</v>
      </c>
      <c r="B2441" s="6">
        <v>61</v>
      </c>
      <c r="C2441" s="48">
        <v>5411211</v>
      </c>
      <c r="D2441" t="s">
        <v>41</v>
      </c>
      <c r="E2441" s="48">
        <v>40</v>
      </c>
      <c r="F2441" s="10" t="s">
        <v>20</v>
      </c>
      <c r="J2441" s="138">
        <v>650.57000000000005</v>
      </c>
      <c r="K2441" s="138">
        <v>657.17000000000007</v>
      </c>
      <c r="L2441" s="138">
        <v>643.97</v>
      </c>
      <c r="M2441" s="51"/>
      <c r="N2441" s="95">
        <v>650.57000000000005</v>
      </c>
      <c r="P2441" t="str">
        <f>VLOOKUP(B2441,PTN!A:B,2,FALSE)</f>
        <v>UNIVERSITAS MULAWARMAN</v>
      </c>
      <c r="Q2441" t="str">
        <f t="shared" si="38"/>
        <v>UNIVERSITAS MULAWARMANPENDIDIKAN DOKTER</v>
      </c>
    </row>
    <row r="2442" spans="1:17" ht="15.75" thickBot="1" x14ac:dyDescent="0.3">
      <c r="A2442" s="7">
        <v>2441</v>
      </c>
      <c r="B2442" s="6">
        <v>61</v>
      </c>
      <c r="C2442" s="51">
        <v>5411072</v>
      </c>
      <c r="D2442" t="s">
        <v>42</v>
      </c>
      <c r="E2442" s="51">
        <v>18</v>
      </c>
      <c r="F2442" s="10" t="s">
        <v>20</v>
      </c>
      <c r="J2442" s="138" t="s">
        <v>1292</v>
      </c>
      <c r="K2442" s="138" t="s">
        <v>1292</v>
      </c>
      <c r="L2442" s="138" t="s">
        <v>1292</v>
      </c>
      <c r="M2442" s="48"/>
      <c r="N2442" s="94" t="s">
        <v>1292</v>
      </c>
      <c r="P2442" t="str">
        <f>VLOOKUP(B2442,PTN!A:B,2,FALSE)</f>
        <v>UNIVERSITAS MULAWARMAN</v>
      </c>
      <c r="Q2442" t="str">
        <f t="shared" si="38"/>
        <v>UNIVERSITAS MULAWARMANPENDIDIKAN FISIKA</v>
      </c>
    </row>
    <row r="2443" spans="1:17" ht="15.75" thickBot="1" x14ac:dyDescent="0.3">
      <c r="A2443" s="7">
        <v>2442</v>
      </c>
      <c r="B2443" s="6">
        <v>61</v>
      </c>
      <c r="C2443" s="48">
        <v>5411064</v>
      </c>
      <c r="D2443" t="s">
        <v>43</v>
      </c>
      <c r="E2443" s="48">
        <v>24</v>
      </c>
      <c r="F2443" s="10" t="s">
        <v>20</v>
      </c>
      <c r="J2443" s="138" t="s">
        <v>1292</v>
      </c>
      <c r="K2443" s="138" t="s">
        <v>1292</v>
      </c>
      <c r="L2443" s="138" t="s">
        <v>1292</v>
      </c>
      <c r="M2443" s="51"/>
      <c r="N2443" s="95" t="s">
        <v>1292</v>
      </c>
      <c r="P2443" t="str">
        <f>VLOOKUP(B2443,PTN!A:B,2,FALSE)</f>
        <v>UNIVERSITAS MULAWARMAN</v>
      </c>
      <c r="Q2443" t="str">
        <f t="shared" si="38"/>
        <v>UNIVERSITAS MULAWARMANPENDIDIKAN KIMIA</v>
      </c>
    </row>
    <row r="2444" spans="1:17" ht="15.75" thickBot="1" x14ac:dyDescent="0.3">
      <c r="A2444" s="7">
        <v>2443</v>
      </c>
      <c r="B2444" s="6">
        <v>61</v>
      </c>
      <c r="C2444" s="51">
        <v>5411362</v>
      </c>
      <c r="D2444" t="s">
        <v>641</v>
      </c>
      <c r="E2444" s="51">
        <v>12</v>
      </c>
      <c r="F2444" s="10" t="s">
        <v>20</v>
      </c>
      <c r="J2444" s="138" t="s">
        <v>1292</v>
      </c>
      <c r="K2444" s="138" t="s">
        <v>1292</v>
      </c>
      <c r="L2444" s="138" t="s">
        <v>1292</v>
      </c>
      <c r="M2444" s="48"/>
      <c r="N2444" s="94" t="s">
        <v>1292</v>
      </c>
      <c r="P2444" t="str">
        <f>VLOOKUP(B2444,PTN!A:B,2,FALSE)</f>
        <v>UNIVERSITAS MULAWARMAN</v>
      </c>
      <c r="Q2444" t="str">
        <f t="shared" si="38"/>
        <v>UNIVERSITAS MULAWARMANPENDIDIKAN KOMPUTER</v>
      </c>
    </row>
    <row r="2445" spans="1:17" ht="15.75" thickBot="1" x14ac:dyDescent="0.3">
      <c r="A2445" s="7">
        <v>2444</v>
      </c>
      <c r="B2445" s="6">
        <v>61</v>
      </c>
      <c r="C2445" s="48">
        <v>5411087</v>
      </c>
      <c r="D2445" t="s">
        <v>44</v>
      </c>
      <c r="E2445" s="48">
        <v>24</v>
      </c>
      <c r="F2445" s="10" t="s">
        <v>20</v>
      </c>
      <c r="J2445" s="138" t="s">
        <v>1292</v>
      </c>
      <c r="K2445" s="138" t="s">
        <v>1292</v>
      </c>
      <c r="L2445" s="138" t="s">
        <v>1292</v>
      </c>
      <c r="M2445" s="51"/>
      <c r="N2445" s="95" t="s">
        <v>1292</v>
      </c>
      <c r="P2445" t="str">
        <f>VLOOKUP(B2445,PTN!A:B,2,FALSE)</f>
        <v>UNIVERSITAS MULAWARMAN</v>
      </c>
      <c r="Q2445" t="str">
        <f t="shared" si="38"/>
        <v>UNIVERSITAS MULAWARMANPENDIDIKAN MATEMATIKA</v>
      </c>
    </row>
    <row r="2446" spans="1:17" ht="15.75" thickBot="1" x14ac:dyDescent="0.3">
      <c r="A2446" s="7">
        <v>2445</v>
      </c>
      <c r="B2446" s="6">
        <v>61</v>
      </c>
      <c r="C2446" s="51">
        <v>5411242</v>
      </c>
      <c r="D2446" t="s">
        <v>88</v>
      </c>
      <c r="E2446" s="51">
        <v>10</v>
      </c>
      <c r="F2446" s="10" t="s">
        <v>20</v>
      </c>
      <c r="J2446" s="138" t="s">
        <v>1292</v>
      </c>
      <c r="K2446" s="138" t="s">
        <v>1292</v>
      </c>
      <c r="L2446" s="138" t="s">
        <v>1292</v>
      </c>
      <c r="M2446" s="48"/>
      <c r="N2446" s="94" t="s">
        <v>1292</v>
      </c>
      <c r="P2446" t="str">
        <f>VLOOKUP(B2446,PTN!A:B,2,FALSE)</f>
        <v>UNIVERSITAS MULAWARMAN</v>
      </c>
      <c r="Q2446" t="str">
        <f t="shared" si="38"/>
        <v>UNIVERSITAS MULAWARMANPETERNAKAN</v>
      </c>
    </row>
    <row r="2447" spans="1:17" ht="15.75" thickBot="1" x14ac:dyDescent="0.3">
      <c r="A2447" s="7">
        <v>2446</v>
      </c>
      <c r="B2447" s="6">
        <v>61</v>
      </c>
      <c r="C2447" s="48">
        <v>5411385</v>
      </c>
      <c r="D2447" t="s">
        <v>46</v>
      </c>
      <c r="E2447" s="48">
        <v>30</v>
      </c>
      <c r="F2447" s="10" t="s">
        <v>20</v>
      </c>
      <c r="J2447" s="138" t="s">
        <v>1292</v>
      </c>
      <c r="K2447" s="138" t="s">
        <v>1292</v>
      </c>
      <c r="L2447" s="138" t="s">
        <v>1292</v>
      </c>
      <c r="M2447" s="51"/>
      <c r="N2447" s="95" t="s">
        <v>1292</v>
      </c>
      <c r="P2447" t="str">
        <f>VLOOKUP(B2447,PTN!A:B,2,FALSE)</f>
        <v>UNIVERSITAS MULAWARMAN</v>
      </c>
      <c r="Q2447" t="str">
        <f t="shared" si="38"/>
        <v>UNIVERSITAS MULAWARMANSISTEM INFORMASI</v>
      </c>
    </row>
    <row r="2448" spans="1:17" ht="15.75" thickBot="1" x14ac:dyDescent="0.3">
      <c r="A2448" s="7">
        <v>2447</v>
      </c>
      <c r="B2448" s="6">
        <v>61</v>
      </c>
      <c r="C2448" s="51">
        <v>5411122</v>
      </c>
      <c r="D2448" t="s">
        <v>90</v>
      </c>
      <c r="E2448" s="51">
        <v>24</v>
      </c>
      <c r="F2448" s="10" t="s">
        <v>20</v>
      </c>
      <c r="J2448" s="138" t="s">
        <v>1292</v>
      </c>
      <c r="K2448" s="138" t="s">
        <v>1292</v>
      </c>
      <c r="L2448" s="138" t="s">
        <v>1292</v>
      </c>
      <c r="M2448" s="48"/>
      <c r="N2448" s="94" t="s">
        <v>1292</v>
      </c>
      <c r="P2448" t="str">
        <f>VLOOKUP(B2448,PTN!A:B,2,FALSE)</f>
        <v>UNIVERSITAS MULAWARMAN</v>
      </c>
      <c r="Q2448" t="str">
        <f t="shared" si="38"/>
        <v>UNIVERSITAS MULAWARMANSTATISTIKA</v>
      </c>
    </row>
    <row r="2449" spans="1:17" ht="15.75" thickBot="1" x14ac:dyDescent="0.3">
      <c r="A2449" s="7">
        <v>2448</v>
      </c>
      <c r="B2449" s="6">
        <v>61</v>
      </c>
      <c r="C2449" s="48">
        <v>5411307</v>
      </c>
      <c r="D2449" t="s">
        <v>48</v>
      </c>
      <c r="E2449" s="48">
        <v>15</v>
      </c>
      <c r="F2449" s="10" t="s">
        <v>20</v>
      </c>
      <c r="J2449" s="138" t="s">
        <v>1292</v>
      </c>
      <c r="K2449" s="138" t="s">
        <v>1292</v>
      </c>
      <c r="L2449" s="138" t="s">
        <v>1292</v>
      </c>
      <c r="M2449" s="51"/>
      <c r="N2449" s="95" t="s">
        <v>1292</v>
      </c>
      <c r="P2449" t="str">
        <f>VLOOKUP(B2449,PTN!A:B,2,FALSE)</f>
        <v>UNIVERSITAS MULAWARMAN</v>
      </c>
      <c r="Q2449" t="str">
        <f t="shared" si="38"/>
        <v>UNIVERSITAS MULAWARMANTEKNIK ELEKTRO</v>
      </c>
    </row>
    <row r="2450" spans="1:17" ht="15.75" thickBot="1" x14ac:dyDescent="0.3">
      <c r="A2450" s="7">
        <v>2449</v>
      </c>
      <c r="B2450" s="6">
        <v>61</v>
      </c>
      <c r="C2450" s="51">
        <v>5411281</v>
      </c>
      <c r="D2450" t="s">
        <v>92</v>
      </c>
      <c r="E2450" s="51">
        <v>15</v>
      </c>
      <c r="F2450" s="10" t="s">
        <v>20</v>
      </c>
      <c r="J2450" s="138" t="s">
        <v>1292</v>
      </c>
      <c r="K2450" s="138" t="s">
        <v>1292</v>
      </c>
      <c r="L2450" s="138" t="s">
        <v>1292</v>
      </c>
      <c r="M2450" s="48"/>
      <c r="N2450" s="94" t="s">
        <v>1292</v>
      </c>
      <c r="P2450" t="str">
        <f>VLOOKUP(B2450,PTN!A:B,2,FALSE)</f>
        <v>UNIVERSITAS MULAWARMAN</v>
      </c>
      <c r="Q2450" t="str">
        <f t="shared" si="38"/>
        <v>UNIVERSITAS MULAWARMANTEKNIK GEOLOGI</v>
      </c>
    </row>
    <row r="2451" spans="1:17" ht="15.75" thickBot="1" x14ac:dyDescent="0.3">
      <c r="A2451" s="7">
        <v>2450</v>
      </c>
      <c r="B2451" s="6">
        <v>61</v>
      </c>
      <c r="C2451" s="48">
        <v>5411184</v>
      </c>
      <c r="D2451" t="s">
        <v>49</v>
      </c>
      <c r="E2451" s="48">
        <v>15</v>
      </c>
      <c r="F2451" s="10" t="s">
        <v>20</v>
      </c>
      <c r="J2451" s="138" t="s">
        <v>1292</v>
      </c>
      <c r="K2451" s="138" t="s">
        <v>1292</v>
      </c>
      <c r="L2451" s="138" t="s">
        <v>1292</v>
      </c>
      <c r="M2451" s="51"/>
      <c r="N2451" s="95" t="s">
        <v>1292</v>
      </c>
      <c r="P2451" t="str">
        <f>VLOOKUP(B2451,PTN!A:B,2,FALSE)</f>
        <v>UNIVERSITAS MULAWARMAN</v>
      </c>
      <c r="Q2451" t="str">
        <f t="shared" si="38"/>
        <v>UNIVERSITAS MULAWARMANTEKNIK INDUSTRI</v>
      </c>
    </row>
    <row r="2452" spans="1:17" ht="15.75" thickBot="1" x14ac:dyDescent="0.3">
      <c r="A2452" s="7">
        <v>2451</v>
      </c>
      <c r="B2452" s="6">
        <v>61</v>
      </c>
      <c r="C2452" s="51">
        <v>5411265</v>
      </c>
      <c r="D2452" t="s">
        <v>50</v>
      </c>
      <c r="E2452" s="51">
        <v>51</v>
      </c>
      <c r="F2452" s="10" t="s">
        <v>20</v>
      </c>
      <c r="J2452" s="138" t="s">
        <v>1292</v>
      </c>
      <c r="K2452" s="138" t="s">
        <v>1292</v>
      </c>
      <c r="L2452" s="138" t="s">
        <v>1292</v>
      </c>
      <c r="M2452" s="48"/>
      <c r="N2452" s="94" t="s">
        <v>1292</v>
      </c>
      <c r="P2452" t="str">
        <f>VLOOKUP(B2452,PTN!A:B,2,FALSE)</f>
        <v>UNIVERSITAS MULAWARMAN</v>
      </c>
      <c r="Q2452" t="str">
        <f t="shared" si="38"/>
        <v>UNIVERSITAS MULAWARMANTEKNIK INFORMATIKA</v>
      </c>
    </row>
    <row r="2453" spans="1:17" ht="15.75" thickBot="1" x14ac:dyDescent="0.3">
      <c r="A2453" s="7">
        <v>2452</v>
      </c>
      <c r="B2453" s="6">
        <v>61</v>
      </c>
      <c r="C2453" s="48">
        <v>5411257</v>
      </c>
      <c r="D2453" t="s">
        <v>51</v>
      </c>
      <c r="E2453" s="48">
        <v>15</v>
      </c>
      <c r="F2453" s="10" t="s">
        <v>20</v>
      </c>
      <c r="J2453" s="138" t="s">
        <v>1292</v>
      </c>
      <c r="K2453" s="138" t="s">
        <v>1292</v>
      </c>
      <c r="L2453" s="138" t="s">
        <v>1292</v>
      </c>
      <c r="M2453" s="51"/>
      <c r="N2453" s="95" t="s">
        <v>1292</v>
      </c>
      <c r="P2453" t="str">
        <f>VLOOKUP(B2453,PTN!A:B,2,FALSE)</f>
        <v>UNIVERSITAS MULAWARMAN</v>
      </c>
      <c r="Q2453" t="str">
        <f t="shared" si="38"/>
        <v>UNIVERSITAS MULAWARMANTEKNIK KIMIA</v>
      </c>
    </row>
    <row r="2454" spans="1:17" ht="15.75" thickBot="1" x14ac:dyDescent="0.3">
      <c r="A2454" s="7">
        <v>2453</v>
      </c>
      <c r="B2454" s="6">
        <v>61</v>
      </c>
      <c r="C2454" s="51">
        <v>5411192</v>
      </c>
      <c r="D2454" t="s">
        <v>25</v>
      </c>
      <c r="E2454" s="51">
        <v>15</v>
      </c>
      <c r="F2454" s="10" t="s">
        <v>20</v>
      </c>
      <c r="J2454" s="138" t="s">
        <v>1292</v>
      </c>
      <c r="K2454" s="138" t="s">
        <v>1292</v>
      </c>
      <c r="L2454" s="138" t="s">
        <v>1292</v>
      </c>
      <c r="M2454" s="48"/>
      <c r="N2454" s="94" t="s">
        <v>1292</v>
      </c>
      <c r="P2454" t="str">
        <f>VLOOKUP(B2454,PTN!A:B,2,FALSE)</f>
        <v>UNIVERSITAS MULAWARMAN</v>
      </c>
      <c r="Q2454" t="str">
        <f t="shared" si="38"/>
        <v>UNIVERSITAS MULAWARMANTEKNIK LINGKUNGAN</v>
      </c>
    </row>
    <row r="2455" spans="1:17" ht="15.75" thickBot="1" x14ac:dyDescent="0.3">
      <c r="A2455" s="7">
        <v>2454</v>
      </c>
      <c r="B2455" s="6">
        <v>61</v>
      </c>
      <c r="C2455" s="48">
        <v>5411203</v>
      </c>
      <c r="D2455" t="s">
        <v>239</v>
      </c>
      <c r="E2455" s="48">
        <v>15</v>
      </c>
      <c r="F2455" s="10" t="s">
        <v>20</v>
      </c>
      <c r="J2455" s="138" t="s">
        <v>1292</v>
      </c>
      <c r="K2455" s="138" t="s">
        <v>1292</v>
      </c>
      <c r="L2455" s="138" t="s">
        <v>1292</v>
      </c>
      <c r="M2455" s="51"/>
      <c r="N2455" s="95" t="s">
        <v>1292</v>
      </c>
      <c r="P2455" t="str">
        <f>VLOOKUP(B2455,PTN!A:B,2,FALSE)</f>
        <v>UNIVERSITAS MULAWARMAN</v>
      </c>
      <c r="Q2455" t="str">
        <f t="shared" si="38"/>
        <v>UNIVERSITAS MULAWARMANTEKNIK PERTAMBANGAN</v>
      </c>
    </row>
    <row r="2456" spans="1:17" ht="15.75" thickBot="1" x14ac:dyDescent="0.3">
      <c r="A2456" s="7">
        <v>2455</v>
      </c>
      <c r="B2456" s="6">
        <v>61</v>
      </c>
      <c r="C2456" s="51">
        <v>5411176</v>
      </c>
      <c r="D2456" t="s">
        <v>54</v>
      </c>
      <c r="E2456" s="51">
        <v>15</v>
      </c>
      <c r="F2456" s="10" t="s">
        <v>20</v>
      </c>
      <c r="J2456" s="138" t="s">
        <v>1292</v>
      </c>
      <c r="K2456" s="138" t="s">
        <v>1292</v>
      </c>
      <c r="L2456" s="138" t="s">
        <v>1292</v>
      </c>
      <c r="M2456" s="48"/>
      <c r="N2456" s="94" t="s">
        <v>1292</v>
      </c>
      <c r="P2456" t="str">
        <f>VLOOKUP(B2456,PTN!A:B,2,FALSE)</f>
        <v>UNIVERSITAS MULAWARMAN</v>
      </c>
      <c r="Q2456" t="str">
        <f t="shared" si="38"/>
        <v>UNIVERSITAS MULAWARMANTEKNIK SIPIL</v>
      </c>
    </row>
    <row r="2457" spans="1:17" ht="15.75" thickBot="1" x14ac:dyDescent="0.3">
      <c r="A2457" s="7">
        <v>2456</v>
      </c>
      <c r="B2457" s="6">
        <v>61</v>
      </c>
      <c r="C2457" s="48">
        <v>5411315</v>
      </c>
      <c r="D2457" t="s">
        <v>222</v>
      </c>
      <c r="E2457" s="48">
        <v>24</v>
      </c>
      <c r="F2457" s="10" t="s">
        <v>20</v>
      </c>
      <c r="J2457" s="138" t="s">
        <v>1292</v>
      </c>
      <c r="K2457" s="138" t="s">
        <v>1292</v>
      </c>
      <c r="L2457" s="138" t="s">
        <v>1292</v>
      </c>
      <c r="M2457" s="51"/>
      <c r="N2457" s="95" t="s">
        <v>1292</v>
      </c>
      <c r="P2457" t="str">
        <f>VLOOKUP(B2457,PTN!A:B,2,FALSE)</f>
        <v>UNIVERSITAS MULAWARMAN</v>
      </c>
      <c r="Q2457" t="str">
        <f t="shared" si="38"/>
        <v>UNIVERSITAS MULAWARMANTEKNOLOGI HASIL PERIKANAN</v>
      </c>
    </row>
    <row r="2458" spans="1:17" ht="15.75" thickBot="1" x14ac:dyDescent="0.3">
      <c r="A2458" s="7">
        <v>2457</v>
      </c>
      <c r="B2458" s="6">
        <v>61</v>
      </c>
      <c r="C2458" s="57">
        <v>5411033</v>
      </c>
      <c r="D2458" t="s">
        <v>96</v>
      </c>
      <c r="E2458" s="57">
        <v>20</v>
      </c>
      <c r="F2458" s="10" t="s">
        <v>20</v>
      </c>
      <c r="J2458" s="138" t="s">
        <v>1292</v>
      </c>
      <c r="K2458" s="138" t="s">
        <v>1292</v>
      </c>
      <c r="L2458" s="138" t="s">
        <v>1292</v>
      </c>
      <c r="M2458" s="21"/>
      <c r="N2458" s="83" t="s">
        <v>1292</v>
      </c>
      <c r="P2458" t="str">
        <f>VLOOKUP(B2458,PTN!A:B,2,FALSE)</f>
        <v>UNIVERSITAS MULAWARMAN</v>
      </c>
      <c r="Q2458" t="str">
        <f t="shared" si="38"/>
        <v>UNIVERSITAS MULAWARMANTEKNOLOGI HASIL PERTANIAN</v>
      </c>
    </row>
    <row r="2459" spans="1:17" ht="16.5" thickTop="1" thickBot="1" x14ac:dyDescent="0.3">
      <c r="A2459" s="7">
        <v>2458</v>
      </c>
      <c r="B2459" s="6">
        <v>61</v>
      </c>
      <c r="C2459" s="12">
        <v>5412036</v>
      </c>
      <c r="D2459" t="s">
        <v>55</v>
      </c>
      <c r="E2459" s="12">
        <v>48</v>
      </c>
      <c r="F2459" s="10" t="s">
        <v>13</v>
      </c>
      <c r="J2459" s="138" t="s">
        <v>1292</v>
      </c>
      <c r="K2459" s="138" t="s">
        <v>1292</v>
      </c>
      <c r="L2459" s="138" t="s">
        <v>1292</v>
      </c>
      <c r="M2459" s="21"/>
      <c r="N2459" s="83" t="s">
        <v>1292</v>
      </c>
      <c r="P2459" t="str">
        <f>VLOOKUP(B2459,PTN!A:B,2,FALSE)</f>
        <v>UNIVERSITAS MULAWARMAN</v>
      </c>
      <c r="Q2459" t="str">
        <f t="shared" si="38"/>
        <v>UNIVERSITAS MULAWARMANAKUNTANSI</v>
      </c>
    </row>
    <row r="2460" spans="1:17" ht="16.5" thickTop="1" thickBot="1" x14ac:dyDescent="0.3">
      <c r="A2460" s="7">
        <v>2459</v>
      </c>
      <c r="B2460" s="6">
        <v>61</v>
      </c>
      <c r="C2460" s="13">
        <v>5412141</v>
      </c>
      <c r="D2460" t="s">
        <v>187</v>
      </c>
      <c r="E2460" s="13">
        <v>24</v>
      </c>
      <c r="F2460" s="10" t="s">
        <v>13</v>
      </c>
      <c r="J2460" s="138" t="s">
        <v>1292</v>
      </c>
      <c r="K2460" s="138" t="s">
        <v>1292</v>
      </c>
      <c r="L2460" s="138" t="s">
        <v>1292</v>
      </c>
      <c r="M2460" s="24"/>
      <c r="N2460" s="84" t="s">
        <v>1292</v>
      </c>
      <c r="P2460" t="str">
        <f>VLOOKUP(B2460,PTN!A:B,2,FALSE)</f>
        <v>UNIVERSITAS MULAWARMAN</v>
      </c>
      <c r="Q2460" t="str">
        <f t="shared" si="38"/>
        <v>UNIVERSITAS MULAWARMANBIMBINGAN DAN KONSELING</v>
      </c>
    </row>
    <row r="2461" spans="1:17" ht="16.5" thickTop="1" thickBot="1" x14ac:dyDescent="0.3">
      <c r="A2461" s="7">
        <v>2460</v>
      </c>
      <c r="B2461" s="6">
        <v>61</v>
      </c>
      <c r="C2461" s="12">
        <v>5412245</v>
      </c>
      <c r="D2461" t="s">
        <v>57</v>
      </c>
      <c r="E2461" s="12">
        <v>14</v>
      </c>
      <c r="F2461" s="10" t="s">
        <v>13</v>
      </c>
      <c r="J2461" s="138" t="s">
        <v>1292</v>
      </c>
      <c r="K2461" s="138" t="s">
        <v>1292</v>
      </c>
      <c r="L2461" s="138" t="s">
        <v>1292</v>
      </c>
      <c r="M2461" s="12"/>
      <c r="N2461" s="88" t="s">
        <v>1292</v>
      </c>
      <c r="P2461" t="str">
        <f>VLOOKUP(B2461,PTN!A:B,2,FALSE)</f>
        <v>UNIVERSITAS MULAWARMAN</v>
      </c>
      <c r="Q2461" t="str">
        <f t="shared" si="38"/>
        <v>UNIVERSITAS MULAWARMANEKONOMI ISLAM</v>
      </c>
    </row>
    <row r="2462" spans="1:17" ht="15.75" thickBot="1" x14ac:dyDescent="0.3">
      <c r="A2462" s="7">
        <v>2461</v>
      </c>
      <c r="B2462" s="6">
        <v>61</v>
      </c>
      <c r="C2462" s="13">
        <v>5412021</v>
      </c>
      <c r="D2462" t="s">
        <v>69</v>
      </c>
      <c r="E2462" s="13">
        <v>30</v>
      </c>
      <c r="F2462" s="10" t="s">
        <v>13</v>
      </c>
      <c r="J2462" s="138" t="s">
        <v>1292</v>
      </c>
      <c r="K2462" s="138" t="s">
        <v>1292</v>
      </c>
      <c r="L2462" s="138" t="s">
        <v>1292</v>
      </c>
      <c r="M2462" s="13"/>
      <c r="N2462" s="89" t="s">
        <v>1292</v>
      </c>
      <c r="P2462" t="str">
        <f>VLOOKUP(B2462,PTN!A:B,2,FALSE)</f>
        <v>UNIVERSITAS MULAWARMAN</v>
      </c>
      <c r="Q2462" t="str">
        <f t="shared" si="38"/>
        <v>UNIVERSITAS MULAWARMANEKONOMI PEMBANGUNAN</v>
      </c>
    </row>
    <row r="2463" spans="1:17" ht="15.75" thickBot="1" x14ac:dyDescent="0.3">
      <c r="A2463" s="7">
        <v>2462</v>
      </c>
      <c r="B2463" s="6">
        <v>61</v>
      </c>
      <c r="C2463" s="12">
        <v>5412253</v>
      </c>
      <c r="D2463" t="s">
        <v>433</v>
      </c>
      <c r="E2463" s="12">
        <v>9</v>
      </c>
      <c r="F2463" s="10" t="s">
        <v>13</v>
      </c>
      <c r="J2463" s="138" t="s">
        <v>1292</v>
      </c>
      <c r="K2463" s="138" t="s">
        <v>1292</v>
      </c>
      <c r="L2463" s="138" t="s">
        <v>1292</v>
      </c>
      <c r="M2463" s="12"/>
      <c r="N2463" s="88" t="s">
        <v>1292</v>
      </c>
      <c r="P2463" t="str">
        <f>VLOOKUP(B2463,PTN!A:B,2,FALSE)</f>
        <v>UNIVERSITAS MULAWARMAN</v>
      </c>
      <c r="Q2463" t="str">
        <f t="shared" si="38"/>
        <v>UNIVERSITAS MULAWARMANETNOMUSIKOLOGI</v>
      </c>
    </row>
    <row r="2464" spans="1:17" ht="15.75" thickBot="1" x14ac:dyDescent="0.3">
      <c r="A2464" s="7">
        <v>2463</v>
      </c>
      <c r="B2464" s="6">
        <v>61</v>
      </c>
      <c r="C2464" s="13">
        <v>5412091</v>
      </c>
      <c r="D2464" t="s">
        <v>389</v>
      </c>
      <c r="E2464" s="13">
        <v>32</v>
      </c>
      <c r="F2464" s="10" t="s">
        <v>13</v>
      </c>
      <c r="J2464" s="138" t="s">
        <v>1292</v>
      </c>
      <c r="K2464" s="138" t="s">
        <v>1292</v>
      </c>
      <c r="L2464" s="138" t="s">
        <v>1292</v>
      </c>
      <c r="M2464" s="13"/>
      <c r="N2464" s="89" t="s">
        <v>1292</v>
      </c>
      <c r="P2464" t="str">
        <f>VLOOKUP(B2464,PTN!A:B,2,FALSE)</f>
        <v>UNIVERSITAS MULAWARMAN</v>
      </c>
      <c r="Q2464" t="str">
        <f t="shared" si="38"/>
        <v>UNIVERSITAS MULAWARMANILMU ADMINISTRASI BISNIS</v>
      </c>
    </row>
    <row r="2465" spans="1:17" ht="15.75" thickBot="1" x14ac:dyDescent="0.3">
      <c r="A2465" s="7">
        <v>2464</v>
      </c>
      <c r="B2465" s="6">
        <v>61</v>
      </c>
      <c r="C2465" s="12">
        <v>5412044</v>
      </c>
      <c r="D2465" t="s">
        <v>29</v>
      </c>
      <c r="E2465" s="12">
        <v>32</v>
      </c>
      <c r="F2465" s="10" t="s">
        <v>13</v>
      </c>
      <c r="J2465" s="138" t="s">
        <v>1292</v>
      </c>
      <c r="K2465" s="138" t="s">
        <v>1292</v>
      </c>
      <c r="L2465" s="138" t="s">
        <v>1292</v>
      </c>
      <c r="M2465" s="12"/>
      <c r="N2465" s="88" t="s">
        <v>1292</v>
      </c>
      <c r="P2465" t="str">
        <f>VLOOKUP(B2465,PTN!A:B,2,FALSE)</f>
        <v>UNIVERSITAS MULAWARMAN</v>
      </c>
      <c r="Q2465" t="str">
        <f t="shared" si="38"/>
        <v>UNIVERSITAS MULAWARMANILMU ADMINISTRASI NEGARA</v>
      </c>
    </row>
    <row r="2466" spans="1:17" ht="15.75" thickBot="1" x14ac:dyDescent="0.3">
      <c r="A2466" s="7">
        <v>2465</v>
      </c>
      <c r="B2466" s="6">
        <v>61</v>
      </c>
      <c r="C2466" s="13">
        <v>5412075</v>
      </c>
      <c r="D2466" t="s">
        <v>168</v>
      </c>
      <c r="E2466" s="13">
        <v>32</v>
      </c>
      <c r="F2466" s="10" t="s">
        <v>13</v>
      </c>
      <c r="J2466" s="138">
        <v>582.97</v>
      </c>
      <c r="K2466" s="138">
        <v>591.10773000000006</v>
      </c>
      <c r="L2466" s="138">
        <v>574.83226999999999</v>
      </c>
      <c r="M2466" s="13"/>
      <c r="N2466" s="89">
        <v>582.97</v>
      </c>
      <c r="P2466" t="str">
        <f>VLOOKUP(B2466,PTN!A:B,2,FALSE)</f>
        <v>UNIVERSITAS MULAWARMAN</v>
      </c>
      <c r="Q2466" t="str">
        <f t="shared" si="38"/>
        <v>UNIVERSITAS MULAWARMANILMU HUBUNGAN INTERNASIONAL</v>
      </c>
    </row>
    <row r="2467" spans="1:17" ht="15.75" thickBot="1" x14ac:dyDescent="0.3">
      <c r="A2467" s="7">
        <v>2466</v>
      </c>
      <c r="B2467" s="6">
        <v>61</v>
      </c>
      <c r="C2467" s="12">
        <v>5412187</v>
      </c>
      <c r="D2467" t="s">
        <v>31</v>
      </c>
      <c r="E2467" s="12">
        <v>80</v>
      </c>
      <c r="F2467" s="10" t="s">
        <v>13</v>
      </c>
      <c r="J2467" s="138" t="s">
        <v>1292</v>
      </c>
      <c r="K2467" s="138" t="s">
        <v>1292</v>
      </c>
      <c r="L2467" s="138" t="s">
        <v>1292</v>
      </c>
      <c r="M2467" s="12"/>
      <c r="N2467" s="88" t="s">
        <v>1292</v>
      </c>
      <c r="P2467" t="str">
        <f>VLOOKUP(B2467,PTN!A:B,2,FALSE)</f>
        <v>UNIVERSITAS MULAWARMAN</v>
      </c>
      <c r="Q2467" t="str">
        <f t="shared" si="38"/>
        <v>UNIVERSITAS MULAWARMANILMU HUKUM</v>
      </c>
    </row>
    <row r="2468" spans="1:17" ht="15.75" thickBot="1" x14ac:dyDescent="0.3">
      <c r="A2468" s="7">
        <v>2467</v>
      </c>
      <c r="B2468" s="6">
        <v>61</v>
      </c>
      <c r="C2468" s="13">
        <v>5412083</v>
      </c>
      <c r="D2468" t="s">
        <v>60</v>
      </c>
      <c r="E2468" s="13">
        <v>32</v>
      </c>
      <c r="F2468" s="10" t="s">
        <v>13</v>
      </c>
      <c r="J2468" s="138" t="s">
        <v>1292</v>
      </c>
      <c r="K2468" s="138" t="s">
        <v>1292</v>
      </c>
      <c r="L2468" s="138" t="s">
        <v>1292</v>
      </c>
      <c r="M2468" s="13"/>
      <c r="N2468" s="89" t="s">
        <v>1292</v>
      </c>
      <c r="P2468" t="str">
        <f>VLOOKUP(B2468,PTN!A:B,2,FALSE)</f>
        <v>UNIVERSITAS MULAWARMAN</v>
      </c>
      <c r="Q2468" t="str">
        <f t="shared" si="38"/>
        <v>UNIVERSITAS MULAWARMANILMU KOMUNIKASI</v>
      </c>
    </row>
    <row r="2469" spans="1:17" ht="15.75" thickBot="1" x14ac:dyDescent="0.3">
      <c r="A2469" s="7">
        <v>2468</v>
      </c>
      <c r="B2469" s="6">
        <v>61</v>
      </c>
      <c r="C2469" s="12">
        <v>5412052</v>
      </c>
      <c r="D2469" t="s">
        <v>97</v>
      </c>
      <c r="E2469" s="12">
        <v>32</v>
      </c>
      <c r="F2469" s="10" t="s">
        <v>13</v>
      </c>
      <c r="J2469" s="138" t="s">
        <v>1292</v>
      </c>
      <c r="K2469" s="138" t="s">
        <v>1292</v>
      </c>
      <c r="L2469" s="138" t="s">
        <v>1292</v>
      </c>
      <c r="M2469" s="12"/>
      <c r="N2469" s="88" t="s">
        <v>1292</v>
      </c>
      <c r="P2469" t="str">
        <f>VLOOKUP(B2469,PTN!A:B,2,FALSE)</f>
        <v>UNIVERSITAS MULAWARMAN</v>
      </c>
      <c r="Q2469" t="str">
        <f t="shared" si="38"/>
        <v>UNIVERSITAS MULAWARMANILMU PEMERINTAHAN</v>
      </c>
    </row>
    <row r="2470" spans="1:17" ht="15.75" thickBot="1" x14ac:dyDescent="0.3">
      <c r="A2470" s="7">
        <v>2469</v>
      </c>
      <c r="B2470" s="6">
        <v>61</v>
      </c>
      <c r="C2470" s="13">
        <v>5412067</v>
      </c>
      <c r="D2470" t="s">
        <v>642</v>
      </c>
      <c r="E2470" s="13">
        <v>32</v>
      </c>
      <c r="F2470" s="10" t="s">
        <v>13</v>
      </c>
      <c r="J2470" s="138" t="s">
        <v>1292</v>
      </c>
      <c r="K2470" s="138" t="s">
        <v>1292</v>
      </c>
      <c r="L2470" s="138" t="s">
        <v>1292</v>
      </c>
      <c r="M2470" s="13"/>
      <c r="N2470" s="89" t="s">
        <v>1292</v>
      </c>
      <c r="P2470" t="str">
        <f>VLOOKUP(B2470,PTN!A:B,2,FALSE)</f>
        <v>UNIVERSITAS MULAWARMAN</v>
      </c>
      <c r="Q2470" t="str">
        <f t="shared" si="38"/>
        <v>UNIVERSITAS MULAWARMANILMU SOSIATRI</v>
      </c>
    </row>
    <row r="2471" spans="1:17" ht="15.75" thickBot="1" x14ac:dyDescent="0.3">
      <c r="A2471" s="7">
        <v>2470</v>
      </c>
      <c r="B2471" s="6">
        <v>61</v>
      </c>
      <c r="C2471" s="12">
        <v>5412013</v>
      </c>
      <c r="D2471" t="s">
        <v>61</v>
      </c>
      <c r="E2471" s="12">
        <v>48</v>
      </c>
      <c r="F2471" s="10" t="s">
        <v>13</v>
      </c>
      <c r="J2471" s="138" t="s">
        <v>1292</v>
      </c>
      <c r="K2471" s="138" t="s">
        <v>1292</v>
      </c>
      <c r="L2471" s="138" t="s">
        <v>1292</v>
      </c>
      <c r="M2471" s="12"/>
      <c r="N2471" s="88" t="s">
        <v>1292</v>
      </c>
      <c r="P2471" t="str">
        <f>VLOOKUP(B2471,PTN!A:B,2,FALSE)</f>
        <v>UNIVERSITAS MULAWARMAN</v>
      </c>
      <c r="Q2471" t="str">
        <f t="shared" si="38"/>
        <v>UNIVERSITAS MULAWARMANMANAJEMEN</v>
      </c>
    </row>
    <row r="2472" spans="1:17" ht="15.75" thickBot="1" x14ac:dyDescent="0.3">
      <c r="A2472" s="7">
        <v>2471</v>
      </c>
      <c r="B2472" s="6">
        <v>61</v>
      </c>
      <c r="C2472" s="13">
        <v>5412125</v>
      </c>
      <c r="D2472" t="s">
        <v>643</v>
      </c>
      <c r="E2472" s="13">
        <v>24</v>
      </c>
      <c r="F2472" s="10" t="s">
        <v>13</v>
      </c>
      <c r="J2472" s="138" t="s">
        <v>1292</v>
      </c>
      <c r="K2472" s="138" t="s">
        <v>1292</v>
      </c>
      <c r="L2472" s="138" t="s">
        <v>1292</v>
      </c>
      <c r="M2472" s="13"/>
      <c r="N2472" s="89" t="s">
        <v>1292</v>
      </c>
      <c r="P2472" t="str">
        <f>VLOOKUP(B2472,PTN!A:B,2,FALSE)</f>
        <v>UNIVERSITAS MULAWARMAN</v>
      </c>
      <c r="Q2472" t="str">
        <f t="shared" si="38"/>
        <v>UNIVERSITAS MULAWARMANPEND. BAHASA, SASTRA INDO. &amp; DAERAH</v>
      </c>
    </row>
    <row r="2473" spans="1:17" ht="15.75" thickBot="1" x14ac:dyDescent="0.3">
      <c r="A2473" s="7">
        <v>2472</v>
      </c>
      <c r="B2473" s="6">
        <v>61</v>
      </c>
      <c r="C2473" s="12">
        <v>5412172</v>
      </c>
      <c r="D2473" t="s">
        <v>596</v>
      </c>
      <c r="E2473" s="12">
        <v>24</v>
      </c>
      <c r="F2473" s="10" t="s">
        <v>13</v>
      </c>
      <c r="J2473" s="138" t="s">
        <v>1292</v>
      </c>
      <c r="K2473" s="138" t="s">
        <v>1292</v>
      </c>
      <c r="L2473" s="138" t="s">
        <v>1292</v>
      </c>
      <c r="M2473" s="12"/>
      <c r="N2473" s="88" t="s">
        <v>1292</v>
      </c>
      <c r="P2473" t="str">
        <f>VLOOKUP(B2473,PTN!A:B,2,FALSE)</f>
        <v>UNIVERSITAS MULAWARMAN</v>
      </c>
      <c r="Q2473" t="str">
        <f t="shared" si="38"/>
        <v>UNIVERSITAS MULAWARMANPENDIDIKAN ANAK USIA DINI</v>
      </c>
    </row>
    <row r="2474" spans="1:17" ht="15.75" thickBot="1" x14ac:dyDescent="0.3">
      <c r="A2474" s="7">
        <v>2473</v>
      </c>
      <c r="B2474" s="6">
        <v>61</v>
      </c>
      <c r="C2474" s="13">
        <v>5412133</v>
      </c>
      <c r="D2474" t="s">
        <v>71</v>
      </c>
      <c r="E2474" s="13">
        <v>24</v>
      </c>
      <c r="F2474" s="10" t="s">
        <v>13</v>
      </c>
      <c r="J2474" s="138">
        <v>572.41</v>
      </c>
      <c r="K2474" s="138">
        <v>580.54773</v>
      </c>
      <c r="L2474" s="138">
        <v>564.27226999999993</v>
      </c>
      <c r="M2474" s="13"/>
      <c r="N2474" s="89">
        <v>572.41</v>
      </c>
      <c r="P2474" t="str">
        <f>VLOOKUP(B2474,PTN!A:B,2,FALSE)</f>
        <v>UNIVERSITAS MULAWARMAN</v>
      </c>
      <c r="Q2474" t="str">
        <f t="shared" si="38"/>
        <v>UNIVERSITAS MULAWARMANPENDIDIKAN BAHASA INGGRIS</v>
      </c>
    </row>
    <row r="2475" spans="1:17" ht="15.75" thickBot="1" x14ac:dyDescent="0.3">
      <c r="A2475" s="7">
        <v>2474</v>
      </c>
      <c r="B2475" s="6">
        <v>61</v>
      </c>
      <c r="C2475" s="12">
        <v>5412117</v>
      </c>
      <c r="D2475" t="s">
        <v>100</v>
      </c>
      <c r="E2475" s="12">
        <v>24</v>
      </c>
      <c r="F2475" s="10" t="s">
        <v>13</v>
      </c>
      <c r="J2475" s="138" t="s">
        <v>1292</v>
      </c>
      <c r="K2475" s="138" t="s">
        <v>1292</v>
      </c>
      <c r="L2475" s="138" t="s">
        <v>1292</v>
      </c>
      <c r="M2475" s="12"/>
      <c r="N2475" s="88" t="s">
        <v>1292</v>
      </c>
      <c r="P2475" t="str">
        <f>VLOOKUP(B2475,PTN!A:B,2,FALSE)</f>
        <v>UNIVERSITAS MULAWARMAN</v>
      </c>
      <c r="Q2475" t="str">
        <f t="shared" si="38"/>
        <v>UNIVERSITAS MULAWARMANPENDIDIKAN EKONOMI</v>
      </c>
    </row>
    <row r="2476" spans="1:17" ht="15.75" thickBot="1" x14ac:dyDescent="0.3">
      <c r="A2476" s="7">
        <v>2475</v>
      </c>
      <c r="B2476" s="6">
        <v>61</v>
      </c>
      <c r="C2476" s="13">
        <v>5412237</v>
      </c>
      <c r="D2476" t="s">
        <v>72</v>
      </c>
      <c r="E2476" s="13">
        <v>12</v>
      </c>
      <c r="F2476" s="10" t="s">
        <v>13</v>
      </c>
      <c r="J2476" s="138" t="s">
        <v>1292</v>
      </c>
      <c r="K2476" s="138" t="s">
        <v>1292</v>
      </c>
      <c r="L2476" s="138" t="s">
        <v>1292</v>
      </c>
      <c r="M2476" s="13"/>
      <c r="N2476" s="89" t="s">
        <v>1292</v>
      </c>
      <c r="P2476" t="str">
        <f>VLOOKUP(B2476,PTN!A:B,2,FALSE)</f>
        <v>UNIVERSITAS MULAWARMAN</v>
      </c>
      <c r="Q2476" t="str">
        <f t="shared" si="38"/>
        <v>UNIVERSITAS MULAWARMANPENDIDIKAN GEOGRAFI</v>
      </c>
    </row>
    <row r="2477" spans="1:17" ht="15.75" thickBot="1" x14ac:dyDescent="0.3">
      <c r="A2477" s="7">
        <v>2476</v>
      </c>
      <c r="B2477" s="6">
        <v>61</v>
      </c>
      <c r="C2477" s="12">
        <v>5412164</v>
      </c>
      <c r="D2477" t="s">
        <v>73</v>
      </c>
      <c r="E2477" s="12">
        <v>24</v>
      </c>
      <c r="F2477" s="10" t="s">
        <v>13</v>
      </c>
      <c r="J2477" s="138" t="s">
        <v>1292</v>
      </c>
      <c r="K2477" s="138" t="s">
        <v>1292</v>
      </c>
      <c r="L2477" s="138" t="s">
        <v>1292</v>
      </c>
      <c r="M2477" s="12"/>
      <c r="N2477" s="88" t="s">
        <v>1292</v>
      </c>
      <c r="P2477" t="str">
        <f>VLOOKUP(B2477,PTN!A:B,2,FALSE)</f>
        <v>UNIVERSITAS MULAWARMAN</v>
      </c>
      <c r="Q2477" t="str">
        <f t="shared" si="38"/>
        <v>UNIVERSITAS MULAWARMANPENDIDIKAN GURU SEKOLAH DASAR</v>
      </c>
    </row>
    <row r="2478" spans="1:17" ht="15.75" thickBot="1" x14ac:dyDescent="0.3">
      <c r="A2478" s="7">
        <v>2477</v>
      </c>
      <c r="B2478" s="6">
        <v>61</v>
      </c>
      <c r="C2478" s="13">
        <v>5412156</v>
      </c>
      <c r="D2478" t="s">
        <v>452</v>
      </c>
      <c r="E2478" s="13">
        <v>24</v>
      </c>
      <c r="F2478" s="10" t="s">
        <v>13</v>
      </c>
      <c r="J2478" s="138" t="s">
        <v>1292</v>
      </c>
      <c r="K2478" s="138" t="s">
        <v>1292</v>
      </c>
      <c r="L2478" s="138" t="s">
        <v>1292</v>
      </c>
      <c r="M2478" s="13"/>
      <c r="N2478" s="89" t="s">
        <v>1292</v>
      </c>
      <c r="P2478" t="str">
        <f>VLOOKUP(B2478,PTN!A:B,2,FALSE)</f>
        <v>UNIVERSITAS MULAWARMAN</v>
      </c>
      <c r="Q2478" t="str">
        <f t="shared" si="38"/>
        <v>UNIVERSITAS MULAWARMANPENDIDIKAN JASMANI, KESEHATAN &amp; REKREASI</v>
      </c>
    </row>
    <row r="2479" spans="1:17" ht="15.75" thickBot="1" x14ac:dyDescent="0.3">
      <c r="A2479" s="7">
        <v>2478</v>
      </c>
      <c r="B2479" s="6">
        <v>61</v>
      </c>
      <c r="C2479" s="12">
        <v>5412222</v>
      </c>
      <c r="D2479" t="s">
        <v>201</v>
      </c>
      <c r="E2479" s="12">
        <v>12</v>
      </c>
      <c r="F2479" s="10" t="s">
        <v>13</v>
      </c>
      <c r="J2479" s="138" t="s">
        <v>1292</v>
      </c>
      <c r="K2479" s="138" t="s">
        <v>1292</v>
      </c>
      <c r="L2479" s="138" t="s">
        <v>1292</v>
      </c>
      <c r="M2479" s="12"/>
      <c r="N2479" s="88" t="s">
        <v>1292</v>
      </c>
      <c r="P2479" t="str">
        <f>VLOOKUP(B2479,PTN!A:B,2,FALSE)</f>
        <v>UNIVERSITAS MULAWARMAN</v>
      </c>
      <c r="Q2479" t="str">
        <f t="shared" si="38"/>
        <v>UNIVERSITAS MULAWARMANPENDIDIKAN LUAR SEKOLAH</v>
      </c>
    </row>
    <row r="2480" spans="1:17" ht="15.75" thickBot="1" x14ac:dyDescent="0.3">
      <c r="A2480" s="7">
        <v>2479</v>
      </c>
      <c r="B2480" s="6">
        <v>61</v>
      </c>
      <c r="C2480" s="13">
        <v>5412261</v>
      </c>
      <c r="D2480" t="s">
        <v>75</v>
      </c>
      <c r="E2480" s="13">
        <v>12</v>
      </c>
      <c r="F2480" s="10" t="s">
        <v>13</v>
      </c>
      <c r="J2480" s="138" t="s">
        <v>1292</v>
      </c>
      <c r="K2480" s="138" t="s">
        <v>1292</v>
      </c>
      <c r="L2480" s="138" t="s">
        <v>1292</v>
      </c>
      <c r="M2480" s="13"/>
      <c r="N2480" s="89" t="s">
        <v>1292</v>
      </c>
      <c r="P2480" t="str">
        <f>VLOOKUP(B2480,PTN!A:B,2,FALSE)</f>
        <v>UNIVERSITAS MULAWARMAN</v>
      </c>
      <c r="Q2480" t="str">
        <f t="shared" si="38"/>
        <v>UNIVERSITAS MULAWARMANPENDIDIKAN SEJARAH</v>
      </c>
    </row>
    <row r="2481" spans="1:17" ht="15.75" thickBot="1" x14ac:dyDescent="0.3">
      <c r="A2481" s="7">
        <v>2480</v>
      </c>
      <c r="B2481" s="6">
        <v>61</v>
      </c>
      <c r="C2481" s="12">
        <v>5412102</v>
      </c>
      <c r="D2481" t="s">
        <v>581</v>
      </c>
      <c r="E2481" s="12">
        <v>24</v>
      </c>
      <c r="F2481" s="10" t="s">
        <v>13</v>
      </c>
      <c r="J2481" s="138" t="s">
        <v>1292</v>
      </c>
      <c r="K2481" s="138" t="s">
        <v>1292</v>
      </c>
      <c r="L2481" s="138" t="s">
        <v>1292</v>
      </c>
      <c r="M2481" s="12"/>
      <c r="N2481" s="88" t="s">
        <v>1292</v>
      </c>
      <c r="P2481" t="str">
        <f>VLOOKUP(B2481,PTN!A:B,2,FALSE)</f>
        <v>UNIVERSITAS MULAWARMAN</v>
      </c>
      <c r="Q2481" t="str">
        <f t="shared" si="38"/>
        <v>UNIVERSITAS MULAWARMANPEND. PANCASILA DAN KEWARGANEGARAAN</v>
      </c>
    </row>
    <row r="2482" spans="1:17" ht="15.75" thickBot="1" x14ac:dyDescent="0.3">
      <c r="A2482" s="7">
        <v>2481</v>
      </c>
      <c r="B2482" s="6">
        <v>61</v>
      </c>
      <c r="C2482" s="13">
        <v>5412195</v>
      </c>
      <c r="D2482" t="s">
        <v>36</v>
      </c>
      <c r="E2482" s="13">
        <v>32</v>
      </c>
      <c r="F2482" s="10" t="s">
        <v>13</v>
      </c>
      <c r="J2482" s="138">
        <v>587.66</v>
      </c>
      <c r="K2482" s="138">
        <v>595.79773</v>
      </c>
      <c r="L2482" s="138">
        <v>579.52226999999993</v>
      </c>
      <c r="M2482" s="13"/>
      <c r="N2482" s="89">
        <v>587.66</v>
      </c>
      <c r="P2482" t="str">
        <f>VLOOKUP(B2482,PTN!A:B,2,FALSE)</f>
        <v>UNIVERSITAS MULAWARMAN</v>
      </c>
      <c r="Q2482" t="str">
        <f t="shared" si="38"/>
        <v>UNIVERSITAS MULAWARMANPSIKOLOGI</v>
      </c>
    </row>
    <row r="2483" spans="1:17" ht="15.75" thickBot="1" x14ac:dyDescent="0.3">
      <c r="A2483" s="7">
        <v>2482</v>
      </c>
      <c r="B2483" s="6">
        <v>61</v>
      </c>
      <c r="C2483" s="12">
        <v>5412206</v>
      </c>
      <c r="D2483" t="s">
        <v>62</v>
      </c>
      <c r="E2483" s="12">
        <v>18</v>
      </c>
      <c r="F2483" s="10" t="s">
        <v>13</v>
      </c>
      <c r="J2483" s="138" t="s">
        <v>1292</v>
      </c>
      <c r="K2483" s="138" t="s">
        <v>1292</v>
      </c>
      <c r="L2483" s="138" t="s">
        <v>1292</v>
      </c>
      <c r="M2483" s="12"/>
      <c r="N2483" s="88" t="s">
        <v>1292</v>
      </c>
      <c r="P2483" t="str">
        <f>VLOOKUP(B2483,PTN!A:B,2,FALSE)</f>
        <v>UNIVERSITAS MULAWARMAN</v>
      </c>
      <c r="Q2483" t="str">
        <f t="shared" si="38"/>
        <v>UNIVERSITAS MULAWARMANSASTRA INDONESIA</v>
      </c>
    </row>
    <row r="2484" spans="1:17" ht="15.75" thickBot="1" x14ac:dyDescent="0.3">
      <c r="A2484" s="7">
        <v>2483</v>
      </c>
      <c r="B2484" s="6">
        <v>61</v>
      </c>
      <c r="C2484" s="16">
        <v>5412214</v>
      </c>
      <c r="D2484" t="s">
        <v>139</v>
      </c>
      <c r="E2484" s="16">
        <v>36</v>
      </c>
      <c r="F2484" s="10" t="s">
        <v>13</v>
      </c>
      <c r="J2484" s="138" t="s">
        <v>1292</v>
      </c>
      <c r="K2484" s="138" t="s">
        <v>1292</v>
      </c>
      <c r="L2484" s="138" t="s">
        <v>1292</v>
      </c>
      <c r="M2484" s="21"/>
      <c r="N2484" s="83" t="s">
        <v>1292</v>
      </c>
      <c r="P2484" t="str">
        <f>VLOOKUP(B2484,PTN!A:B,2,FALSE)</f>
        <v>UNIVERSITAS MULAWARMAN</v>
      </c>
      <c r="Q2484" t="str">
        <f t="shared" si="38"/>
        <v>UNIVERSITAS MULAWARMANSASTRA INGGRIS</v>
      </c>
    </row>
    <row r="2485" spans="1:17" ht="16.5" thickTop="1" thickBot="1" x14ac:dyDescent="0.3">
      <c r="A2485" s="7">
        <v>2484</v>
      </c>
      <c r="B2485" s="6">
        <v>63</v>
      </c>
      <c r="C2485" s="12">
        <v>5511034</v>
      </c>
      <c r="D2485" t="s">
        <v>37</v>
      </c>
      <c r="E2485" s="12">
        <v>36</v>
      </c>
      <c r="F2485" s="10" t="s">
        <v>20</v>
      </c>
      <c r="J2485" s="138" t="s">
        <v>1292</v>
      </c>
      <c r="K2485" s="138" t="s">
        <v>1292</v>
      </c>
      <c r="L2485" s="138" t="s">
        <v>1292</v>
      </c>
      <c r="M2485" s="21"/>
      <c r="N2485" s="83" t="s">
        <v>1292</v>
      </c>
      <c r="P2485" t="str">
        <f>VLOOKUP(B2485,PTN!A:B,2,FALSE)</f>
        <v>UNIVERSITAS BORNEO TARAKAN</v>
      </c>
      <c r="Q2485" t="str">
        <f t="shared" si="38"/>
        <v>UNIVERSITAS BORNEO TARAKANAGRIBISNIS</v>
      </c>
    </row>
    <row r="2486" spans="1:17" ht="16.5" thickTop="1" thickBot="1" x14ac:dyDescent="0.3">
      <c r="A2486" s="7">
        <v>2485</v>
      </c>
      <c r="B2486" s="6">
        <v>63</v>
      </c>
      <c r="C2486" s="13">
        <v>5511042</v>
      </c>
      <c r="D2486" t="s">
        <v>64</v>
      </c>
      <c r="E2486" s="13">
        <v>36</v>
      </c>
      <c r="F2486" s="10" t="s">
        <v>20</v>
      </c>
      <c r="J2486" s="138" t="s">
        <v>1292</v>
      </c>
      <c r="K2486" s="138" t="s">
        <v>1292</v>
      </c>
      <c r="L2486" s="138" t="s">
        <v>1292</v>
      </c>
      <c r="M2486" s="24"/>
      <c r="N2486" s="84" t="s">
        <v>1292</v>
      </c>
      <c r="P2486" t="str">
        <f>VLOOKUP(B2486,PTN!A:B,2,FALSE)</f>
        <v>UNIVERSITAS BORNEO TARAKAN</v>
      </c>
      <c r="Q2486" t="str">
        <f t="shared" si="38"/>
        <v>UNIVERSITAS BORNEO TARAKANAGROTEKNOLOGI</v>
      </c>
    </row>
    <row r="2487" spans="1:17" ht="16.5" thickTop="1" thickBot="1" x14ac:dyDescent="0.3">
      <c r="A2487" s="7">
        <v>2486</v>
      </c>
      <c r="B2487" s="6">
        <v>63</v>
      </c>
      <c r="C2487" s="12">
        <v>5511107</v>
      </c>
      <c r="D2487" t="s">
        <v>106</v>
      </c>
      <c r="E2487" s="12">
        <v>36</v>
      </c>
      <c r="F2487" s="10" t="s">
        <v>20</v>
      </c>
      <c r="J2487" s="138" t="s">
        <v>1292</v>
      </c>
      <c r="K2487" s="138" t="s">
        <v>1292</v>
      </c>
      <c r="L2487" s="138" t="s">
        <v>1292</v>
      </c>
      <c r="M2487" s="12"/>
      <c r="N2487" s="88" t="s">
        <v>1292</v>
      </c>
      <c r="P2487" t="str">
        <f>VLOOKUP(B2487,PTN!A:B,2,FALSE)</f>
        <v>UNIVERSITAS BORNEO TARAKAN</v>
      </c>
      <c r="Q2487" t="str">
        <f t="shared" si="38"/>
        <v>UNIVERSITAS BORNEO TARAKANAKUAKULTUR</v>
      </c>
    </row>
    <row r="2488" spans="1:17" ht="15.75" thickBot="1" x14ac:dyDescent="0.3">
      <c r="A2488" s="7">
        <v>2487</v>
      </c>
      <c r="B2488" s="6">
        <v>63</v>
      </c>
      <c r="C2488" s="13">
        <v>5511096</v>
      </c>
      <c r="D2488" t="s">
        <v>143</v>
      </c>
      <c r="E2488" s="13">
        <v>36</v>
      </c>
      <c r="F2488" s="10" t="s">
        <v>20</v>
      </c>
      <c r="J2488" s="138" t="s">
        <v>1292</v>
      </c>
      <c r="K2488" s="138" t="s">
        <v>1292</v>
      </c>
      <c r="L2488" s="138" t="s">
        <v>1292</v>
      </c>
      <c r="M2488" s="13"/>
      <c r="N2488" s="89" t="s">
        <v>1292</v>
      </c>
      <c r="P2488" t="str">
        <f>VLOOKUP(B2488,PTN!A:B,2,FALSE)</f>
        <v>UNIVERSITAS BORNEO TARAKAN</v>
      </c>
      <c r="Q2488" t="str">
        <f t="shared" si="38"/>
        <v>UNIVERSITAS BORNEO TARAKANMANAJEMEN SUMBER DAYA PERAIRAN</v>
      </c>
    </row>
    <row r="2489" spans="1:17" ht="15.75" thickBot="1" x14ac:dyDescent="0.3">
      <c r="A2489" s="7">
        <v>2488</v>
      </c>
      <c r="B2489" s="6">
        <v>63</v>
      </c>
      <c r="C2489" s="12">
        <v>5511081</v>
      </c>
      <c r="D2489" t="s">
        <v>67</v>
      </c>
      <c r="E2489" s="12">
        <v>24</v>
      </c>
      <c r="F2489" s="10" t="s">
        <v>20</v>
      </c>
      <c r="J2489" s="138" t="s">
        <v>1292</v>
      </c>
      <c r="K2489" s="138" t="s">
        <v>1292</v>
      </c>
      <c r="L2489" s="138" t="s">
        <v>1292</v>
      </c>
      <c r="M2489" s="12"/>
      <c r="N2489" s="88" t="s">
        <v>1292</v>
      </c>
      <c r="P2489" t="str">
        <f>VLOOKUP(B2489,PTN!A:B,2,FALSE)</f>
        <v>UNIVERSITAS BORNEO TARAKAN</v>
      </c>
      <c r="Q2489" t="str">
        <f t="shared" si="38"/>
        <v>UNIVERSITAS BORNEO TARAKANPENDIDIKAN BIOLOGI</v>
      </c>
    </row>
    <row r="2490" spans="1:17" ht="15.75" thickBot="1" x14ac:dyDescent="0.3">
      <c r="A2490" s="7">
        <v>2489</v>
      </c>
      <c r="B2490" s="6">
        <v>63</v>
      </c>
      <c r="C2490" s="13">
        <v>5511073</v>
      </c>
      <c r="D2490" t="s">
        <v>44</v>
      </c>
      <c r="E2490" s="13">
        <v>24</v>
      </c>
      <c r="F2490" s="10" t="s">
        <v>20</v>
      </c>
      <c r="J2490" s="138" t="s">
        <v>1292</v>
      </c>
      <c r="K2490" s="138" t="s">
        <v>1292</v>
      </c>
      <c r="L2490" s="138" t="s">
        <v>1292</v>
      </c>
      <c r="M2490" s="13"/>
      <c r="N2490" s="89" t="s">
        <v>1292</v>
      </c>
      <c r="P2490" t="str">
        <f>VLOOKUP(B2490,PTN!A:B,2,FALSE)</f>
        <v>UNIVERSITAS BORNEO TARAKAN</v>
      </c>
      <c r="Q2490" t="str">
        <f t="shared" si="38"/>
        <v>UNIVERSITAS BORNEO TARAKANPENDIDIKAN MATEMATIKA</v>
      </c>
    </row>
    <row r="2491" spans="1:17" ht="15.75" thickBot="1" x14ac:dyDescent="0.3">
      <c r="A2491" s="7">
        <v>2490</v>
      </c>
      <c r="B2491" s="6">
        <v>63</v>
      </c>
      <c r="C2491" s="12">
        <v>5511011</v>
      </c>
      <c r="D2491" t="s">
        <v>48</v>
      </c>
      <c r="E2491" s="12">
        <v>24</v>
      </c>
      <c r="F2491" s="10" t="s">
        <v>20</v>
      </c>
      <c r="J2491" s="138" t="s">
        <v>1292</v>
      </c>
      <c r="K2491" s="138" t="s">
        <v>1292</v>
      </c>
      <c r="L2491" s="138" t="s">
        <v>1292</v>
      </c>
      <c r="M2491" s="12"/>
      <c r="N2491" s="88" t="s">
        <v>1292</v>
      </c>
      <c r="P2491" t="str">
        <f>VLOOKUP(B2491,PTN!A:B,2,FALSE)</f>
        <v>UNIVERSITAS BORNEO TARAKAN</v>
      </c>
      <c r="Q2491" t="str">
        <f t="shared" si="38"/>
        <v>UNIVERSITAS BORNEO TARAKANTEKNIK ELEKTRO</v>
      </c>
    </row>
    <row r="2492" spans="1:17" ht="15.75" thickBot="1" x14ac:dyDescent="0.3">
      <c r="A2492" s="7">
        <v>2491</v>
      </c>
      <c r="B2492" s="6">
        <v>63</v>
      </c>
      <c r="C2492" s="13">
        <v>5511123</v>
      </c>
      <c r="D2492" t="s">
        <v>53</v>
      </c>
      <c r="E2492" s="13">
        <v>24</v>
      </c>
      <c r="F2492" s="10" t="s">
        <v>20</v>
      </c>
      <c r="J2492" s="138" t="s">
        <v>1292</v>
      </c>
      <c r="K2492" s="138" t="s">
        <v>1292</v>
      </c>
      <c r="L2492" s="138" t="s">
        <v>1292</v>
      </c>
      <c r="M2492" s="13"/>
      <c r="N2492" s="89" t="s">
        <v>1292</v>
      </c>
      <c r="P2492" t="str">
        <f>VLOOKUP(B2492,PTN!A:B,2,FALSE)</f>
        <v>UNIVERSITAS BORNEO TARAKAN</v>
      </c>
      <c r="Q2492" t="str">
        <f t="shared" si="38"/>
        <v>UNIVERSITAS BORNEO TARAKANTEKNIK MESIN</v>
      </c>
    </row>
    <row r="2493" spans="1:17" ht="15.75" thickBot="1" x14ac:dyDescent="0.3">
      <c r="A2493" s="7">
        <v>2492</v>
      </c>
      <c r="B2493" s="6">
        <v>63</v>
      </c>
      <c r="C2493" s="12">
        <v>5511026</v>
      </c>
      <c r="D2493" t="s">
        <v>54</v>
      </c>
      <c r="E2493" s="12">
        <v>26</v>
      </c>
      <c r="F2493" s="10" t="s">
        <v>20</v>
      </c>
      <c r="J2493" s="138" t="s">
        <v>1292</v>
      </c>
      <c r="K2493" s="138" t="s">
        <v>1292</v>
      </c>
      <c r="L2493" s="138" t="s">
        <v>1292</v>
      </c>
      <c r="M2493" s="12"/>
      <c r="N2493" s="88" t="s">
        <v>1292</v>
      </c>
      <c r="P2493" t="str">
        <f>VLOOKUP(B2493,PTN!A:B,2,FALSE)</f>
        <v>UNIVERSITAS BORNEO TARAKAN</v>
      </c>
      <c r="Q2493" t="str">
        <f t="shared" si="38"/>
        <v>UNIVERSITAS BORNEO TARAKANTEKNIK SIPIL</v>
      </c>
    </row>
    <row r="2494" spans="1:17" ht="15.75" thickBot="1" x14ac:dyDescent="0.3">
      <c r="A2494" s="7">
        <v>2493</v>
      </c>
      <c r="B2494" s="6">
        <v>63</v>
      </c>
      <c r="C2494" s="16">
        <v>5511115</v>
      </c>
      <c r="D2494" t="s">
        <v>222</v>
      </c>
      <c r="E2494" s="16">
        <v>24</v>
      </c>
      <c r="F2494" s="10" t="s">
        <v>20</v>
      </c>
      <c r="J2494" s="138" t="s">
        <v>1292</v>
      </c>
      <c r="K2494" s="138" t="s">
        <v>1292</v>
      </c>
      <c r="L2494" s="138" t="s">
        <v>1292</v>
      </c>
      <c r="M2494" s="13"/>
      <c r="N2494" s="89" t="s">
        <v>1292</v>
      </c>
      <c r="P2494" t="str">
        <f>VLOOKUP(B2494,PTN!A:B,2,FALSE)</f>
        <v>UNIVERSITAS BORNEO TARAKAN</v>
      </c>
      <c r="Q2494" t="str">
        <f t="shared" si="38"/>
        <v>UNIVERSITAS BORNEO TARAKANTEKNOLOGI HASIL PERIKANAN</v>
      </c>
    </row>
    <row r="2495" spans="1:17" ht="16.5" thickTop="1" thickBot="1" x14ac:dyDescent="0.3">
      <c r="A2495" s="7">
        <v>2494</v>
      </c>
      <c r="B2495" s="6">
        <v>63</v>
      </c>
      <c r="C2495" s="12">
        <v>5512014</v>
      </c>
      <c r="D2495" t="s">
        <v>187</v>
      </c>
      <c r="E2495" s="12">
        <v>36</v>
      </c>
      <c r="F2495" s="10" t="s">
        <v>13</v>
      </c>
      <c r="J2495" s="138" t="s">
        <v>1292</v>
      </c>
      <c r="K2495" s="138" t="s">
        <v>1292</v>
      </c>
      <c r="L2495" s="138" t="s">
        <v>1292</v>
      </c>
      <c r="M2495" s="21"/>
      <c r="N2495" s="83" t="s">
        <v>1292</v>
      </c>
      <c r="P2495" t="str">
        <f>VLOOKUP(B2495,PTN!A:B,2,FALSE)</f>
        <v>UNIVERSITAS BORNEO TARAKAN</v>
      </c>
      <c r="Q2495" t="str">
        <f t="shared" si="38"/>
        <v>UNIVERSITAS BORNEO TARAKANBIMBINGAN DAN KONSELING</v>
      </c>
    </row>
    <row r="2496" spans="1:17" ht="15.75" thickBot="1" x14ac:dyDescent="0.3">
      <c r="A2496" s="7">
        <v>2495</v>
      </c>
      <c r="B2496" s="6">
        <v>63</v>
      </c>
      <c r="C2496" s="13">
        <v>5512076</v>
      </c>
      <c r="D2496" t="s">
        <v>69</v>
      </c>
      <c r="E2496" s="13">
        <v>36</v>
      </c>
      <c r="F2496" s="10" t="s">
        <v>13</v>
      </c>
      <c r="J2496" s="138" t="s">
        <v>1292</v>
      </c>
      <c r="K2496" s="138" t="s">
        <v>1292</v>
      </c>
      <c r="L2496" s="138" t="s">
        <v>1292</v>
      </c>
      <c r="M2496" s="21"/>
      <c r="N2496" s="83" t="s">
        <v>1292</v>
      </c>
      <c r="P2496" t="str">
        <f>VLOOKUP(B2496,PTN!A:B,2,FALSE)</f>
        <v>UNIVERSITAS BORNEO TARAKAN</v>
      </c>
      <c r="Q2496" t="str">
        <f t="shared" si="38"/>
        <v>UNIVERSITAS BORNEO TARAKANEKONOMI PEMBANGUNAN</v>
      </c>
    </row>
    <row r="2497" spans="1:17" ht="16.5" thickTop="1" thickBot="1" x14ac:dyDescent="0.3">
      <c r="A2497" s="7">
        <v>2496</v>
      </c>
      <c r="B2497" s="6">
        <v>63</v>
      </c>
      <c r="C2497" s="12">
        <v>5512092</v>
      </c>
      <c r="D2497" t="s">
        <v>112</v>
      </c>
      <c r="E2497" s="12">
        <v>60</v>
      </c>
      <c r="F2497" s="10" t="s">
        <v>13</v>
      </c>
      <c r="J2497" s="138" t="s">
        <v>1292</v>
      </c>
      <c r="K2497" s="138" t="s">
        <v>1292</v>
      </c>
      <c r="L2497" s="138" t="s">
        <v>1292</v>
      </c>
      <c r="M2497" s="24"/>
      <c r="N2497" s="84" t="s">
        <v>1292</v>
      </c>
      <c r="P2497" t="str">
        <f>VLOOKUP(B2497,PTN!A:B,2,FALSE)</f>
        <v>UNIVERSITAS BORNEO TARAKAN</v>
      </c>
      <c r="Q2497" t="str">
        <f t="shared" si="38"/>
        <v>UNIVERSITAS BORNEO TARAKANHUKUM</v>
      </c>
    </row>
    <row r="2498" spans="1:17" ht="16.5" thickTop="1" thickBot="1" x14ac:dyDescent="0.3">
      <c r="A2498" s="7">
        <v>2497</v>
      </c>
      <c r="B2498" s="6">
        <v>63</v>
      </c>
      <c r="C2498" s="13">
        <v>5512084</v>
      </c>
      <c r="D2498" t="s">
        <v>61</v>
      </c>
      <c r="E2498" s="13">
        <v>48</v>
      </c>
      <c r="F2498" s="10" t="s">
        <v>13</v>
      </c>
      <c r="J2498" s="138" t="s">
        <v>1292</v>
      </c>
      <c r="K2498" s="138" t="s">
        <v>1292</v>
      </c>
      <c r="L2498" s="138" t="s">
        <v>1292</v>
      </c>
      <c r="M2498" s="12"/>
      <c r="N2498" s="88" t="s">
        <v>1292</v>
      </c>
      <c r="P2498" t="str">
        <f>VLOOKUP(B2498,PTN!A:B,2,FALSE)</f>
        <v>UNIVERSITAS BORNEO TARAKAN</v>
      </c>
      <c r="Q2498" t="str">
        <f t="shared" si="38"/>
        <v>UNIVERSITAS BORNEO TARAKANMANAJEMEN</v>
      </c>
    </row>
    <row r="2499" spans="1:17" ht="15.75" thickBot="1" x14ac:dyDescent="0.3">
      <c r="A2499" s="7">
        <v>2498</v>
      </c>
      <c r="B2499" s="6">
        <v>63</v>
      </c>
      <c r="C2499" s="12">
        <v>5512037</v>
      </c>
      <c r="D2499" t="s">
        <v>70</v>
      </c>
      <c r="E2499" s="12">
        <v>24</v>
      </c>
      <c r="F2499" s="10" t="s">
        <v>13</v>
      </c>
      <c r="J2499" s="138" t="s">
        <v>1292</v>
      </c>
      <c r="K2499" s="138" t="s">
        <v>1292</v>
      </c>
      <c r="L2499" s="138" t="s">
        <v>1292</v>
      </c>
      <c r="M2499" s="13"/>
      <c r="N2499" s="89" t="s">
        <v>1292</v>
      </c>
      <c r="P2499" t="str">
        <f>VLOOKUP(B2499,PTN!A:B,2,FALSE)</f>
        <v>UNIVERSITAS BORNEO TARAKAN</v>
      </c>
      <c r="Q2499" t="str">
        <f t="shared" ref="Q2499:Q2562" si="39">P2499&amp;D2499</f>
        <v>UNIVERSITAS BORNEO TARAKANPENDIDIKAN BAHASA INDONESIA</v>
      </c>
    </row>
    <row r="2500" spans="1:17" ht="15.75" thickBot="1" x14ac:dyDescent="0.3">
      <c r="A2500" s="7">
        <v>2499</v>
      </c>
      <c r="B2500" s="6">
        <v>63</v>
      </c>
      <c r="C2500" s="13">
        <v>5512045</v>
      </c>
      <c r="D2500" t="s">
        <v>71</v>
      </c>
      <c r="E2500" s="13">
        <v>24</v>
      </c>
      <c r="F2500" s="10" t="s">
        <v>13</v>
      </c>
      <c r="J2500" s="138" t="s">
        <v>1292</v>
      </c>
      <c r="K2500" s="138" t="s">
        <v>1292</v>
      </c>
      <c r="L2500" s="138" t="s">
        <v>1292</v>
      </c>
      <c r="M2500" s="12"/>
      <c r="N2500" s="88" t="s">
        <v>1292</v>
      </c>
      <c r="P2500" t="str">
        <f>VLOOKUP(B2500,PTN!A:B,2,FALSE)</f>
        <v>UNIVERSITAS BORNEO TARAKAN</v>
      </c>
      <c r="Q2500" t="str">
        <f t="shared" si="39"/>
        <v>UNIVERSITAS BORNEO TARAKANPENDIDIKAN BAHASA INGGRIS</v>
      </c>
    </row>
    <row r="2501" spans="1:17" ht="15.75" thickBot="1" x14ac:dyDescent="0.3">
      <c r="A2501" s="7">
        <v>2500</v>
      </c>
      <c r="B2501" s="6">
        <v>63</v>
      </c>
      <c r="C2501" s="14">
        <v>5512111</v>
      </c>
      <c r="D2501" t="s">
        <v>73</v>
      </c>
      <c r="E2501" s="14">
        <v>36</v>
      </c>
      <c r="F2501" s="10" t="s">
        <v>13</v>
      </c>
      <c r="J2501" s="138" t="s">
        <v>1292</v>
      </c>
      <c r="K2501" s="138" t="s">
        <v>1292</v>
      </c>
      <c r="L2501" s="138" t="s">
        <v>1292</v>
      </c>
      <c r="M2501" s="13"/>
      <c r="N2501" s="89" t="s">
        <v>1292</v>
      </c>
      <c r="P2501" t="str">
        <f>VLOOKUP(B2501,PTN!A:B,2,FALSE)</f>
        <v>UNIVERSITAS BORNEO TARAKAN</v>
      </c>
      <c r="Q2501" t="str">
        <f t="shared" si="39"/>
        <v>UNIVERSITAS BORNEO TARAKANPENDIDIKAN GURU SEKOLAH DASAR</v>
      </c>
    </row>
    <row r="2502" spans="1:17" ht="16.5" thickTop="1" thickBot="1" x14ac:dyDescent="0.3">
      <c r="A2502" s="7">
        <v>2501</v>
      </c>
      <c r="B2502" s="6">
        <v>74</v>
      </c>
      <c r="C2502" s="12">
        <v>7221346</v>
      </c>
      <c r="D2502" t="s">
        <v>19</v>
      </c>
      <c r="E2502" s="12">
        <v>24</v>
      </c>
      <c r="F2502" s="10" t="s">
        <v>20</v>
      </c>
      <c r="J2502" s="138" t="s">
        <v>1292</v>
      </c>
      <c r="K2502" s="138" t="s">
        <v>1292</v>
      </c>
      <c r="L2502" s="138" t="s">
        <v>1292</v>
      </c>
      <c r="M2502" s="21"/>
      <c r="N2502" s="83" t="s">
        <v>1292</v>
      </c>
      <c r="P2502" t="str">
        <f>VLOOKUP(B2502,PTN!A:B,2,FALSE)</f>
        <v>UNIVERSITAS NEGERI MANADO</v>
      </c>
      <c r="Q2502" t="str">
        <f t="shared" si="39"/>
        <v>UNIVERSITAS NEGERI MANADOARSITEKTUR</v>
      </c>
    </row>
    <row r="2503" spans="1:17" ht="15.75" thickBot="1" x14ac:dyDescent="0.3">
      <c r="A2503" s="7">
        <v>2502</v>
      </c>
      <c r="B2503" s="6">
        <v>74</v>
      </c>
      <c r="C2503" s="13">
        <v>7221025</v>
      </c>
      <c r="D2503" t="s">
        <v>644</v>
      </c>
      <c r="E2503" s="13">
        <v>24</v>
      </c>
      <c r="F2503" s="10" t="s">
        <v>20</v>
      </c>
      <c r="J2503" s="138" t="s">
        <v>1292</v>
      </c>
      <c r="K2503" s="138" t="s">
        <v>1292</v>
      </c>
      <c r="L2503" s="138" t="s">
        <v>1292</v>
      </c>
      <c r="M2503" s="21"/>
      <c r="N2503" s="83" t="s">
        <v>1292</v>
      </c>
      <c r="P2503" t="str">
        <f>VLOOKUP(B2503,PTN!A:B,2,FALSE)</f>
        <v>UNIVERSITAS NEGERI MANADO</v>
      </c>
      <c r="Q2503" t="str">
        <f t="shared" si="39"/>
        <v>UNIVERSITAS NEGERI MANADOILMU BIOLOGI</v>
      </c>
    </row>
    <row r="2504" spans="1:17" ht="16.5" thickTop="1" thickBot="1" x14ac:dyDescent="0.3">
      <c r="A2504" s="7">
        <v>2503</v>
      </c>
      <c r="B2504" s="6">
        <v>74</v>
      </c>
      <c r="C2504" s="12">
        <v>7221064</v>
      </c>
      <c r="D2504" t="s">
        <v>645</v>
      </c>
      <c r="E2504" s="12">
        <v>12</v>
      </c>
      <c r="F2504" s="10" t="s">
        <v>20</v>
      </c>
      <c r="J2504" s="138" t="s">
        <v>1292</v>
      </c>
      <c r="K2504" s="138" t="s">
        <v>1292</v>
      </c>
      <c r="L2504" s="138" t="s">
        <v>1292</v>
      </c>
      <c r="M2504" s="24"/>
      <c r="N2504" s="84" t="s">
        <v>1292</v>
      </c>
      <c r="P2504" t="str">
        <f>VLOOKUP(B2504,PTN!A:B,2,FALSE)</f>
        <v>UNIVERSITAS NEGERI MANADO</v>
      </c>
      <c r="Q2504" t="str">
        <f t="shared" si="39"/>
        <v>UNIVERSITAS NEGERI MANADOILMU FISIKA</v>
      </c>
    </row>
    <row r="2505" spans="1:17" ht="16.5" thickTop="1" thickBot="1" x14ac:dyDescent="0.3">
      <c r="A2505" s="7">
        <v>2504</v>
      </c>
      <c r="B2505" s="6">
        <v>74</v>
      </c>
      <c r="C2505" s="13">
        <v>7221122</v>
      </c>
      <c r="D2505" t="s">
        <v>646</v>
      </c>
      <c r="E2505" s="13">
        <v>12</v>
      </c>
      <c r="F2505" s="10" t="s">
        <v>20</v>
      </c>
      <c r="J2505" s="138" t="s">
        <v>1292</v>
      </c>
      <c r="K2505" s="138" t="s">
        <v>1292</v>
      </c>
      <c r="L2505" s="138" t="s">
        <v>1292</v>
      </c>
      <c r="M2505" s="12"/>
      <c r="N2505" s="88" t="s">
        <v>1292</v>
      </c>
      <c r="P2505" t="str">
        <f>VLOOKUP(B2505,PTN!A:B,2,FALSE)</f>
        <v>UNIVERSITAS NEGERI MANADO</v>
      </c>
      <c r="Q2505" t="str">
        <f t="shared" si="39"/>
        <v>UNIVERSITAS NEGERI MANADOILMU GEOGRAFI</v>
      </c>
    </row>
    <row r="2506" spans="1:17" ht="15.75" thickBot="1" x14ac:dyDescent="0.3">
      <c r="A2506" s="7">
        <v>2505</v>
      </c>
      <c r="B2506" s="6">
        <v>74</v>
      </c>
      <c r="C2506" s="12">
        <v>7221137</v>
      </c>
      <c r="D2506" t="s">
        <v>114</v>
      </c>
      <c r="E2506" s="12">
        <v>24</v>
      </c>
      <c r="F2506" s="10" t="s">
        <v>20</v>
      </c>
      <c r="J2506" s="138" t="s">
        <v>1292</v>
      </c>
      <c r="K2506" s="138" t="s">
        <v>1292</v>
      </c>
      <c r="L2506" s="138" t="s">
        <v>1292</v>
      </c>
      <c r="M2506" s="13"/>
      <c r="N2506" s="89" t="s">
        <v>1292</v>
      </c>
      <c r="P2506" t="str">
        <f>VLOOKUP(B2506,PTN!A:B,2,FALSE)</f>
        <v>UNIVERSITAS NEGERI MANADO</v>
      </c>
      <c r="Q2506" t="str">
        <f t="shared" si="39"/>
        <v>UNIVERSITAS NEGERI MANADOILMU KEOLAHRAGAAN</v>
      </c>
    </row>
    <row r="2507" spans="1:17" ht="15.75" thickBot="1" x14ac:dyDescent="0.3">
      <c r="A2507" s="7">
        <v>2506</v>
      </c>
      <c r="B2507" s="6">
        <v>74</v>
      </c>
      <c r="C2507" s="13">
        <v>7221377</v>
      </c>
      <c r="D2507" t="s">
        <v>110</v>
      </c>
      <c r="E2507" s="13">
        <v>48</v>
      </c>
      <c r="F2507" s="10" t="s">
        <v>20</v>
      </c>
      <c r="J2507" s="138" t="s">
        <v>1292</v>
      </c>
      <c r="K2507" s="138" t="s">
        <v>1292</v>
      </c>
      <c r="L2507" s="138" t="s">
        <v>1292</v>
      </c>
      <c r="M2507" s="12"/>
      <c r="N2507" s="88" t="s">
        <v>1292</v>
      </c>
      <c r="P2507" t="str">
        <f>VLOOKUP(B2507,PTN!A:B,2,FALSE)</f>
        <v>UNIVERSITAS NEGERI MANADO</v>
      </c>
      <c r="Q2507" t="str">
        <f t="shared" si="39"/>
        <v>UNIVERSITAS NEGERI MANADOILMU KESEHATAN MASYARAKAT</v>
      </c>
    </row>
    <row r="2508" spans="1:17" ht="15.75" thickBot="1" x14ac:dyDescent="0.3">
      <c r="A2508" s="7">
        <v>2507</v>
      </c>
      <c r="B2508" s="6">
        <v>74</v>
      </c>
      <c r="C2508" s="12">
        <v>7221041</v>
      </c>
      <c r="D2508" t="s">
        <v>647</v>
      </c>
      <c r="E2508" s="12">
        <v>12</v>
      </c>
      <c r="F2508" s="10" t="s">
        <v>20</v>
      </c>
      <c r="J2508" s="138" t="s">
        <v>1292</v>
      </c>
      <c r="K2508" s="138" t="s">
        <v>1292</v>
      </c>
      <c r="L2508" s="138" t="s">
        <v>1292</v>
      </c>
      <c r="M2508" s="13"/>
      <c r="N2508" s="89" t="s">
        <v>1292</v>
      </c>
      <c r="P2508" t="str">
        <f>VLOOKUP(B2508,PTN!A:B,2,FALSE)</f>
        <v>UNIVERSITAS NEGERI MANADO</v>
      </c>
      <c r="Q2508" t="str">
        <f t="shared" si="39"/>
        <v>UNIVERSITAS NEGERI MANADOILMU KIMIA</v>
      </c>
    </row>
    <row r="2509" spans="1:17" ht="15.75" thickBot="1" x14ac:dyDescent="0.3">
      <c r="A2509" s="7">
        <v>2508</v>
      </c>
      <c r="B2509" s="6">
        <v>74</v>
      </c>
      <c r="C2509" s="13">
        <v>7221017</v>
      </c>
      <c r="D2509" t="s">
        <v>214</v>
      </c>
      <c r="E2509" s="13">
        <v>54</v>
      </c>
      <c r="F2509" s="10" t="s">
        <v>20</v>
      </c>
      <c r="J2509" s="138" t="s">
        <v>1292</v>
      </c>
      <c r="K2509" s="138" t="s">
        <v>1292</v>
      </c>
      <c r="L2509" s="138" t="s">
        <v>1292</v>
      </c>
      <c r="M2509" s="12"/>
      <c r="N2509" s="88" t="s">
        <v>1292</v>
      </c>
      <c r="P2509" t="str">
        <f>VLOOKUP(B2509,PTN!A:B,2,FALSE)</f>
        <v>UNIVERSITAS NEGERI MANADO</v>
      </c>
      <c r="Q2509" t="str">
        <f t="shared" si="39"/>
        <v>UNIVERSITAS NEGERI MANADOPEND. BIOLOGI</v>
      </c>
    </row>
    <row r="2510" spans="1:17" ht="15.75" thickBot="1" x14ac:dyDescent="0.3">
      <c r="A2510" s="7">
        <v>2509</v>
      </c>
      <c r="B2510" s="6">
        <v>74</v>
      </c>
      <c r="C2510" s="12">
        <v>7221056</v>
      </c>
      <c r="D2510" t="s">
        <v>216</v>
      </c>
      <c r="E2510" s="12">
        <v>24</v>
      </c>
      <c r="F2510" s="10" t="s">
        <v>20</v>
      </c>
      <c r="J2510" s="138" t="s">
        <v>1292</v>
      </c>
      <c r="K2510" s="138" t="s">
        <v>1292</v>
      </c>
      <c r="L2510" s="138" t="s">
        <v>1292</v>
      </c>
      <c r="M2510" s="13"/>
      <c r="N2510" s="89" t="s">
        <v>1292</v>
      </c>
      <c r="P2510" t="str">
        <f>VLOOKUP(B2510,PTN!A:B,2,FALSE)</f>
        <v>UNIVERSITAS NEGERI MANADO</v>
      </c>
      <c r="Q2510" t="str">
        <f t="shared" si="39"/>
        <v>UNIVERSITAS NEGERI MANADOPEND. FISIKA</v>
      </c>
    </row>
    <row r="2511" spans="1:17" ht="15.75" thickBot="1" x14ac:dyDescent="0.3">
      <c r="A2511" s="7">
        <v>2510</v>
      </c>
      <c r="B2511" s="6">
        <v>74</v>
      </c>
      <c r="C2511" s="13">
        <v>7221176</v>
      </c>
      <c r="D2511" t="s">
        <v>115</v>
      </c>
      <c r="E2511" s="13">
        <v>12</v>
      </c>
      <c r="F2511" s="10" t="s">
        <v>20</v>
      </c>
      <c r="J2511" s="138" t="s">
        <v>1292</v>
      </c>
      <c r="K2511" s="138" t="s">
        <v>1292</v>
      </c>
      <c r="L2511" s="138" t="s">
        <v>1292</v>
      </c>
      <c r="M2511" s="12"/>
      <c r="N2511" s="88" t="s">
        <v>1292</v>
      </c>
      <c r="P2511" t="str">
        <f>VLOOKUP(B2511,PTN!A:B,2,FALSE)</f>
        <v>UNIVERSITAS NEGERI MANADO</v>
      </c>
      <c r="Q2511" t="str">
        <f t="shared" si="39"/>
        <v>UNIVERSITAS NEGERI MANADOPENDIDIKAN IPA</v>
      </c>
    </row>
    <row r="2512" spans="1:17" ht="15.75" thickBot="1" x14ac:dyDescent="0.3">
      <c r="A2512" s="7">
        <v>2511</v>
      </c>
      <c r="B2512" s="6">
        <v>74</v>
      </c>
      <c r="C2512" s="12">
        <v>7221106</v>
      </c>
      <c r="D2512" t="s">
        <v>648</v>
      </c>
      <c r="E2512" s="12">
        <v>60</v>
      </c>
      <c r="F2512" s="10" t="s">
        <v>20</v>
      </c>
      <c r="J2512" s="138" t="s">
        <v>1292</v>
      </c>
      <c r="K2512" s="138" t="s">
        <v>1292</v>
      </c>
      <c r="L2512" s="138" t="s">
        <v>1292</v>
      </c>
      <c r="M2512" s="13"/>
      <c r="N2512" s="89" t="s">
        <v>1292</v>
      </c>
      <c r="P2512" t="str">
        <f>VLOOKUP(B2512,PTN!A:B,2,FALSE)</f>
        <v>UNIVERSITAS NEGERI MANADO</v>
      </c>
      <c r="Q2512" t="str">
        <f t="shared" si="39"/>
        <v>UNIVERSITAS NEGERI MANADOPEND. INF./KOM</v>
      </c>
    </row>
    <row r="2513" spans="1:17" ht="15.75" thickBot="1" x14ac:dyDescent="0.3">
      <c r="A2513" s="7">
        <v>2512</v>
      </c>
      <c r="B2513" s="6">
        <v>74</v>
      </c>
      <c r="C2513" s="13">
        <v>7221033</v>
      </c>
      <c r="D2513" t="s">
        <v>217</v>
      </c>
      <c r="E2513" s="13">
        <v>12</v>
      </c>
      <c r="F2513" s="10" t="s">
        <v>20</v>
      </c>
      <c r="J2513" s="138" t="s">
        <v>1292</v>
      </c>
      <c r="K2513" s="138" t="s">
        <v>1292</v>
      </c>
      <c r="L2513" s="138" t="s">
        <v>1292</v>
      </c>
      <c r="M2513" s="12"/>
      <c r="N2513" s="88" t="s">
        <v>1292</v>
      </c>
      <c r="P2513" t="str">
        <f>VLOOKUP(B2513,PTN!A:B,2,FALSE)</f>
        <v>UNIVERSITAS NEGERI MANADO</v>
      </c>
      <c r="Q2513" t="str">
        <f t="shared" si="39"/>
        <v>UNIVERSITAS NEGERI MANADOPEND. KIMIA</v>
      </c>
    </row>
    <row r="2514" spans="1:17" ht="15.75" thickBot="1" x14ac:dyDescent="0.3">
      <c r="A2514" s="7">
        <v>2513</v>
      </c>
      <c r="B2514" s="6">
        <v>74</v>
      </c>
      <c r="C2514" s="12">
        <v>7221072</v>
      </c>
      <c r="D2514" t="s">
        <v>218</v>
      </c>
      <c r="E2514" s="12">
        <v>60</v>
      </c>
      <c r="F2514" s="10" t="s">
        <v>20</v>
      </c>
      <c r="J2514" s="138" t="s">
        <v>1292</v>
      </c>
      <c r="K2514" s="138" t="s">
        <v>1292</v>
      </c>
      <c r="L2514" s="138" t="s">
        <v>1292</v>
      </c>
      <c r="M2514" s="13"/>
      <c r="N2514" s="89" t="s">
        <v>1292</v>
      </c>
      <c r="P2514" t="str">
        <f>VLOOKUP(B2514,PTN!A:B,2,FALSE)</f>
        <v>UNIVERSITAS NEGERI MANADO</v>
      </c>
      <c r="Q2514" t="str">
        <f t="shared" si="39"/>
        <v>UNIVERSITAS NEGERI MANADOPEND. MATEMATIKA</v>
      </c>
    </row>
    <row r="2515" spans="1:17" ht="15.75" thickBot="1" x14ac:dyDescent="0.3">
      <c r="A2515" s="7">
        <v>2514</v>
      </c>
      <c r="B2515" s="6">
        <v>74</v>
      </c>
      <c r="C2515" s="13">
        <v>7221087</v>
      </c>
      <c r="D2515" t="s">
        <v>649</v>
      </c>
      <c r="E2515" s="13">
        <v>12</v>
      </c>
      <c r="F2515" s="10" t="s">
        <v>20</v>
      </c>
      <c r="J2515" s="138" t="s">
        <v>1292</v>
      </c>
      <c r="K2515" s="138" t="s">
        <v>1292</v>
      </c>
      <c r="L2515" s="138" t="s">
        <v>1292</v>
      </c>
      <c r="M2515" s="12"/>
      <c r="N2515" s="88" t="s">
        <v>1292</v>
      </c>
      <c r="P2515" t="str">
        <f>VLOOKUP(B2515,PTN!A:B,2,FALSE)</f>
        <v>UNIVERSITAS NEGERI MANADO</v>
      </c>
      <c r="Q2515" t="str">
        <f t="shared" si="39"/>
        <v>UNIVERSITAS NEGERI MANADOPEND. TEK BANGUNAN</v>
      </c>
    </row>
    <row r="2516" spans="1:17" ht="15.75" thickBot="1" x14ac:dyDescent="0.3">
      <c r="A2516" s="7">
        <v>2515</v>
      </c>
      <c r="B2516" s="6">
        <v>74</v>
      </c>
      <c r="C2516" s="12">
        <v>7221095</v>
      </c>
      <c r="D2516" t="s">
        <v>650</v>
      </c>
      <c r="E2516" s="12">
        <v>24</v>
      </c>
      <c r="F2516" s="10" t="s">
        <v>20</v>
      </c>
      <c r="J2516" s="138" t="s">
        <v>1292</v>
      </c>
      <c r="K2516" s="138" t="s">
        <v>1292</v>
      </c>
      <c r="L2516" s="138" t="s">
        <v>1292</v>
      </c>
      <c r="M2516" s="13"/>
      <c r="N2516" s="89" t="s">
        <v>1292</v>
      </c>
      <c r="P2516" t="str">
        <f>VLOOKUP(B2516,PTN!A:B,2,FALSE)</f>
        <v>UNIVERSITAS NEGERI MANADO</v>
      </c>
      <c r="Q2516" t="str">
        <f t="shared" si="39"/>
        <v>UNIVERSITAS NEGERI MANADOPEND. TEK ELEKTRO</v>
      </c>
    </row>
    <row r="2517" spans="1:17" ht="15.75" thickBot="1" x14ac:dyDescent="0.3">
      <c r="A2517" s="7">
        <v>2516</v>
      </c>
      <c r="B2517" s="6">
        <v>74</v>
      </c>
      <c r="C2517" s="13">
        <v>7221114</v>
      </c>
      <c r="D2517" t="s">
        <v>651</v>
      </c>
      <c r="E2517" s="13">
        <v>24</v>
      </c>
      <c r="F2517" s="10" t="s">
        <v>20</v>
      </c>
      <c r="J2517" s="138" t="s">
        <v>1292</v>
      </c>
      <c r="K2517" s="138" t="s">
        <v>1292</v>
      </c>
      <c r="L2517" s="138" t="s">
        <v>1292</v>
      </c>
      <c r="M2517" s="12"/>
      <c r="N2517" s="88" t="s">
        <v>1292</v>
      </c>
      <c r="P2517" t="str">
        <f>VLOOKUP(B2517,PTN!A:B,2,FALSE)</f>
        <v>UNIVERSITAS NEGERI MANADO</v>
      </c>
      <c r="Q2517" t="str">
        <f t="shared" si="39"/>
        <v>UNIVERSITAS NEGERI MANADOPEND. TEK MESIN</v>
      </c>
    </row>
    <row r="2518" spans="1:17" ht="15.75" thickBot="1" x14ac:dyDescent="0.3">
      <c r="A2518" s="7">
        <v>2517</v>
      </c>
      <c r="B2518" s="6">
        <v>74</v>
      </c>
      <c r="C2518" s="12">
        <v>7221354</v>
      </c>
      <c r="D2518" t="s">
        <v>50</v>
      </c>
      <c r="E2518" s="12">
        <v>48</v>
      </c>
      <c r="F2518" s="10" t="s">
        <v>20</v>
      </c>
      <c r="J2518" s="138" t="s">
        <v>1292</v>
      </c>
      <c r="K2518" s="138" t="s">
        <v>1292</v>
      </c>
      <c r="L2518" s="138" t="s">
        <v>1292</v>
      </c>
      <c r="M2518" s="13"/>
      <c r="N2518" s="89" t="s">
        <v>1292</v>
      </c>
      <c r="P2518" t="str">
        <f>VLOOKUP(B2518,PTN!A:B,2,FALSE)</f>
        <v>UNIVERSITAS NEGERI MANADO</v>
      </c>
      <c r="Q2518" t="str">
        <f t="shared" si="39"/>
        <v>UNIVERSITAS NEGERI MANADOTEKNIK INFORMATIKA</v>
      </c>
    </row>
    <row r="2519" spans="1:17" ht="15.75" thickBot="1" x14ac:dyDescent="0.3">
      <c r="A2519" s="7">
        <v>2518</v>
      </c>
      <c r="B2519" s="6">
        <v>74</v>
      </c>
      <c r="C2519" s="13">
        <v>7221385</v>
      </c>
      <c r="D2519" t="s">
        <v>53</v>
      </c>
      <c r="E2519" s="13">
        <v>24</v>
      </c>
      <c r="F2519" s="10" t="s">
        <v>20</v>
      </c>
      <c r="J2519" s="138" t="s">
        <v>1292</v>
      </c>
      <c r="K2519" s="138" t="s">
        <v>1292</v>
      </c>
      <c r="L2519" s="138" t="s">
        <v>1292</v>
      </c>
      <c r="M2519" s="12"/>
      <c r="N2519" s="88" t="s">
        <v>1292</v>
      </c>
      <c r="P2519" t="str">
        <f>VLOOKUP(B2519,PTN!A:B,2,FALSE)</f>
        <v>UNIVERSITAS NEGERI MANADO</v>
      </c>
      <c r="Q2519" t="str">
        <f t="shared" si="39"/>
        <v>UNIVERSITAS NEGERI MANADOTEKNIK MESIN</v>
      </c>
    </row>
    <row r="2520" spans="1:17" ht="15.75" thickBot="1" x14ac:dyDescent="0.3">
      <c r="A2520" s="7">
        <v>2519</v>
      </c>
      <c r="B2520" s="6">
        <v>74</v>
      </c>
      <c r="C2520" s="14">
        <v>7221362</v>
      </c>
      <c r="D2520" t="s">
        <v>54</v>
      </c>
      <c r="E2520" s="14">
        <v>24</v>
      </c>
      <c r="F2520" s="10" t="s">
        <v>20</v>
      </c>
      <c r="J2520" s="138" t="s">
        <v>1292</v>
      </c>
      <c r="K2520" s="138" t="s">
        <v>1292</v>
      </c>
      <c r="L2520" s="138" t="s">
        <v>1292</v>
      </c>
      <c r="M2520" s="13"/>
      <c r="N2520" s="89" t="s">
        <v>1292</v>
      </c>
      <c r="P2520" t="str">
        <f>VLOOKUP(B2520,PTN!A:B,2,FALSE)</f>
        <v>UNIVERSITAS NEGERI MANADO</v>
      </c>
      <c r="Q2520" t="str">
        <f t="shared" si="39"/>
        <v>UNIVERSITAS NEGERI MANADOTEKNIK SIPIL</v>
      </c>
    </row>
    <row r="2521" spans="1:17" ht="16.5" thickTop="1" thickBot="1" x14ac:dyDescent="0.3">
      <c r="A2521" s="7">
        <v>2520</v>
      </c>
      <c r="B2521" s="6">
        <v>74</v>
      </c>
      <c r="C2521" s="12">
        <v>7222253</v>
      </c>
      <c r="D2521" t="s">
        <v>55</v>
      </c>
      <c r="E2521" s="12">
        <v>72</v>
      </c>
      <c r="F2521" s="10" t="s">
        <v>13</v>
      </c>
      <c r="J2521" s="138" t="s">
        <v>1292</v>
      </c>
      <c r="K2521" s="138" t="s">
        <v>1292</v>
      </c>
      <c r="L2521" s="138" t="s">
        <v>1292</v>
      </c>
      <c r="M2521" s="21"/>
      <c r="N2521" s="83" t="s">
        <v>1292</v>
      </c>
      <c r="P2521" t="str">
        <f>VLOOKUP(B2521,PTN!A:B,2,FALSE)</f>
        <v>UNIVERSITAS NEGERI MANADO</v>
      </c>
      <c r="Q2521" t="str">
        <f t="shared" si="39"/>
        <v>UNIVERSITAS NEGERI MANADOAKUNTANSI</v>
      </c>
    </row>
    <row r="2522" spans="1:17" ht="15.75" thickBot="1" x14ac:dyDescent="0.3">
      <c r="A2522" s="7">
        <v>2521</v>
      </c>
      <c r="B2522" s="6">
        <v>74</v>
      </c>
      <c r="C2522" s="13">
        <v>7222052</v>
      </c>
      <c r="D2522" t="s">
        <v>652</v>
      </c>
      <c r="E2522" s="13">
        <v>36</v>
      </c>
      <c r="F2522" s="10" t="s">
        <v>13</v>
      </c>
      <c r="J2522" s="138" t="s">
        <v>1292</v>
      </c>
      <c r="K2522" s="138" t="s">
        <v>1292</v>
      </c>
      <c r="L2522" s="138" t="s">
        <v>1292</v>
      </c>
      <c r="M2522" s="21"/>
      <c r="N2522" s="83" t="s">
        <v>1292</v>
      </c>
      <c r="P2522" t="str">
        <f>VLOOKUP(B2522,PTN!A:B,2,FALSE)</f>
        <v>UNIVERSITAS NEGERI MANADO</v>
      </c>
      <c r="Q2522" t="str">
        <f t="shared" si="39"/>
        <v>UNIVERSITAS NEGERI MANADOBAH &amp; SASTRA INGGRIS</v>
      </c>
    </row>
    <row r="2523" spans="1:17" ht="16.5" thickTop="1" thickBot="1" x14ac:dyDescent="0.3">
      <c r="A2523" s="7">
        <v>2522</v>
      </c>
      <c r="B2523" s="6">
        <v>74</v>
      </c>
      <c r="C2523" s="12">
        <v>7222261</v>
      </c>
      <c r="D2523" t="s">
        <v>27</v>
      </c>
      <c r="E2523" s="12">
        <v>12</v>
      </c>
      <c r="F2523" s="10" t="s">
        <v>13</v>
      </c>
      <c r="J2523" s="138" t="s">
        <v>1292</v>
      </c>
      <c r="K2523" s="138" t="s">
        <v>1292</v>
      </c>
      <c r="L2523" s="138" t="s">
        <v>1292</v>
      </c>
      <c r="M2523" s="24"/>
      <c r="N2523" s="84" t="s">
        <v>1292</v>
      </c>
      <c r="P2523" t="str">
        <f>VLOOKUP(B2523,PTN!A:B,2,FALSE)</f>
        <v>UNIVERSITAS NEGERI MANADO</v>
      </c>
      <c r="Q2523" t="str">
        <f t="shared" si="39"/>
        <v>UNIVERSITAS NEGERI MANADOBIMBINGAN KONSELING</v>
      </c>
    </row>
    <row r="2524" spans="1:17" ht="16.5" thickTop="1" thickBot="1" x14ac:dyDescent="0.3">
      <c r="A2524" s="7">
        <v>2523</v>
      </c>
      <c r="B2524" s="6">
        <v>74</v>
      </c>
      <c r="C2524" s="13">
        <v>7222141</v>
      </c>
      <c r="D2524" t="s">
        <v>256</v>
      </c>
      <c r="E2524" s="13">
        <v>60</v>
      </c>
      <c r="F2524" s="10" t="s">
        <v>13</v>
      </c>
      <c r="J2524" s="138" t="s">
        <v>1292</v>
      </c>
      <c r="K2524" s="138" t="s">
        <v>1292</v>
      </c>
      <c r="L2524" s="138" t="s">
        <v>1292</v>
      </c>
      <c r="M2524" s="12"/>
      <c r="N2524" s="88" t="s">
        <v>1292</v>
      </c>
      <c r="P2524" t="str">
        <f>VLOOKUP(B2524,PTN!A:B,2,FALSE)</f>
        <v>UNIVERSITAS NEGERI MANADO</v>
      </c>
      <c r="Q2524" t="str">
        <f t="shared" si="39"/>
        <v>UNIVERSITAS NEGERI MANADOILMU ADM NEGARA</v>
      </c>
    </row>
    <row r="2525" spans="1:17" ht="15.75" thickBot="1" x14ac:dyDescent="0.3">
      <c r="A2525" s="7">
        <v>2524</v>
      </c>
      <c r="B2525" s="6">
        <v>74</v>
      </c>
      <c r="C2525" s="12">
        <v>7222311</v>
      </c>
      <c r="D2525" t="s">
        <v>30</v>
      </c>
      <c r="E2525" s="12">
        <v>36</v>
      </c>
      <c r="F2525" s="10" t="s">
        <v>13</v>
      </c>
      <c r="J2525" s="138" t="s">
        <v>1292</v>
      </c>
      <c r="K2525" s="138" t="s">
        <v>1292</v>
      </c>
      <c r="L2525" s="138" t="s">
        <v>1292</v>
      </c>
      <c r="M2525" s="13"/>
      <c r="N2525" s="89" t="s">
        <v>1292</v>
      </c>
      <c r="P2525" t="str">
        <f>VLOOKUP(B2525,PTN!A:B,2,FALSE)</f>
        <v>UNIVERSITAS NEGERI MANADO</v>
      </c>
      <c r="Q2525" t="str">
        <f t="shared" si="39"/>
        <v>UNIVERSITAS NEGERI MANADOILMU EKONOMI</v>
      </c>
    </row>
    <row r="2526" spans="1:17" ht="15.75" thickBot="1" x14ac:dyDescent="0.3">
      <c r="A2526" s="7">
        <v>2525</v>
      </c>
      <c r="B2526" s="6">
        <v>74</v>
      </c>
      <c r="C2526" s="13">
        <v>7222156</v>
      </c>
      <c r="D2526" t="s">
        <v>31</v>
      </c>
      <c r="E2526" s="13">
        <v>60</v>
      </c>
      <c r="F2526" s="10" t="s">
        <v>13</v>
      </c>
      <c r="J2526" s="138" t="s">
        <v>1292</v>
      </c>
      <c r="K2526" s="138" t="s">
        <v>1292</v>
      </c>
      <c r="L2526" s="138" t="s">
        <v>1292</v>
      </c>
      <c r="M2526" s="12"/>
      <c r="N2526" s="88" t="s">
        <v>1292</v>
      </c>
      <c r="P2526" t="str">
        <f>VLOOKUP(B2526,PTN!A:B,2,FALSE)</f>
        <v>UNIVERSITAS NEGERI MANADO</v>
      </c>
      <c r="Q2526" t="str">
        <f t="shared" si="39"/>
        <v>UNIVERSITAS NEGERI MANADOILMU HUKUM</v>
      </c>
    </row>
    <row r="2527" spans="1:17" ht="15.75" thickBot="1" x14ac:dyDescent="0.3">
      <c r="A2527" s="7">
        <v>2526</v>
      </c>
      <c r="B2527" s="6">
        <v>74</v>
      </c>
      <c r="C2527" s="12">
        <v>7222172</v>
      </c>
      <c r="D2527" t="s">
        <v>653</v>
      </c>
      <c r="E2527" s="12">
        <v>72</v>
      </c>
      <c r="F2527" s="10" t="s">
        <v>13</v>
      </c>
      <c r="J2527" s="138" t="s">
        <v>1292</v>
      </c>
      <c r="K2527" s="138" t="s">
        <v>1292</v>
      </c>
      <c r="L2527" s="138" t="s">
        <v>1292</v>
      </c>
      <c r="M2527" s="13"/>
      <c r="N2527" s="89" t="s">
        <v>1292</v>
      </c>
      <c r="P2527" t="str">
        <f>VLOOKUP(B2527,PTN!A:B,2,FALSE)</f>
        <v>UNIVERSITAS NEGERI MANADO</v>
      </c>
      <c r="Q2527" t="str">
        <f t="shared" si="39"/>
        <v>UNIVERSITAS NEGERI MANADOMANAJEMEN S1</v>
      </c>
    </row>
    <row r="2528" spans="1:17" ht="15.75" thickBot="1" x14ac:dyDescent="0.3">
      <c r="A2528" s="7">
        <v>2527</v>
      </c>
      <c r="B2528" s="6">
        <v>74</v>
      </c>
      <c r="C2528" s="13">
        <v>7222276</v>
      </c>
      <c r="D2528" t="s">
        <v>612</v>
      </c>
      <c r="E2528" s="13">
        <v>24</v>
      </c>
      <c r="F2528" s="10" t="s">
        <v>13</v>
      </c>
      <c r="J2528" s="138" t="s">
        <v>1292</v>
      </c>
      <c r="K2528" s="138" t="s">
        <v>1292</v>
      </c>
      <c r="L2528" s="138" t="s">
        <v>1292</v>
      </c>
      <c r="M2528" s="12"/>
      <c r="N2528" s="88" t="s">
        <v>1292</v>
      </c>
      <c r="P2528" t="str">
        <f>VLOOKUP(B2528,PTN!A:B,2,FALSE)</f>
        <v>UNIVERSITAS NEGERI MANADO</v>
      </c>
      <c r="Q2528" t="str">
        <f t="shared" si="39"/>
        <v>UNIVERSITAS NEGERI MANADOPEND. ANAK USIA DINI</v>
      </c>
    </row>
    <row r="2529" spans="1:17" ht="15.75" thickBot="1" x14ac:dyDescent="0.3">
      <c r="A2529" s="7">
        <v>2528</v>
      </c>
      <c r="B2529" s="6">
        <v>74</v>
      </c>
      <c r="C2529" s="12">
        <v>7222021</v>
      </c>
      <c r="D2529" t="s">
        <v>283</v>
      </c>
      <c r="E2529" s="12">
        <v>36</v>
      </c>
      <c r="F2529" s="10" t="s">
        <v>13</v>
      </c>
      <c r="J2529" s="138" t="s">
        <v>1292</v>
      </c>
      <c r="K2529" s="138" t="s">
        <v>1292</v>
      </c>
      <c r="L2529" s="138" t="s">
        <v>1292</v>
      </c>
      <c r="M2529" s="13"/>
      <c r="N2529" s="89" t="s">
        <v>1292</v>
      </c>
      <c r="P2529" t="str">
        <f>VLOOKUP(B2529,PTN!A:B,2,FALSE)</f>
        <v>UNIVERSITAS NEGERI MANADO</v>
      </c>
      <c r="Q2529" t="str">
        <f t="shared" si="39"/>
        <v>UNIVERSITAS NEGERI MANADOPEND. BAHASA INDONESIA</v>
      </c>
    </row>
    <row r="2530" spans="1:17" ht="15.75" thickBot="1" x14ac:dyDescent="0.3">
      <c r="A2530" s="7">
        <v>2529</v>
      </c>
      <c r="B2530" s="6">
        <v>74</v>
      </c>
      <c r="C2530" s="13">
        <v>7222067</v>
      </c>
      <c r="D2530" t="s">
        <v>226</v>
      </c>
      <c r="E2530" s="13">
        <v>12</v>
      </c>
      <c r="F2530" s="10" t="s">
        <v>13</v>
      </c>
      <c r="J2530" s="138" t="s">
        <v>1292</v>
      </c>
      <c r="K2530" s="138" t="s">
        <v>1292</v>
      </c>
      <c r="L2530" s="138" t="s">
        <v>1292</v>
      </c>
      <c r="M2530" s="12"/>
      <c r="N2530" s="88" t="s">
        <v>1292</v>
      </c>
      <c r="P2530" t="str">
        <f>VLOOKUP(B2530,PTN!A:B,2,FALSE)</f>
        <v>UNIVERSITAS NEGERI MANADO</v>
      </c>
      <c r="Q2530" t="str">
        <f t="shared" si="39"/>
        <v>UNIVERSITAS NEGERI MANADOPEND. BAHASA JEPANG</v>
      </c>
    </row>
    <row r="2531" spans="1:17" ht="15.75" thickBot="1" x14ac:dyDescent="0.3">
      <c r="A2531" s="7">
        <v>2530</v>
      </c>
      <c r="B2531" s="6">
        <v>74</v>
      </c>
      <c r="C2531" s="12">
        <v>7222044</v>
      </c>
      <c r="D2531" t="s">
        <v>654</v>
      </c>
      <c r="E2531" s="12">
        <v>48</v>
      </c>
      <c r="F2531" s="10" t="s">
        <v>13</v>
      </c>
      <c r="J2531" s="138" t="s">
        <v>1292</v>
      </c>
      <c r="K2531" s="138" t="s">
        <v>1292</v>
      </c>
      <c r="L2531" s="138" t="s">
        <v>1292</v>
      </c>
      <c r="M2531" s="13"/>
      <c r="N2531" s="89" t="s">
        <v>1292</v>
      </c>
      <c r="P2531" t="str">
        <f>VLOOKUP(B2531,PTN!A:B,2,FALSE)</f>
        <v>UNIVERSITAS NEGERI MANADO</v>
      </c>
      <c r="Q2531" t="str">
        <f t="shared" si="39"/>
        <v>UNIVERSITAS NEGERI MANADOPEND. BAH INGGRIS</v>
      </c>
    </row>
    <row r="2532" spans="1:17" ht="15.75" thickBot="1" x14ac:dyDescent="0.3">
      <c r="A2532" s="7">
        <v>2531</v>
      </c>
      <c r="B2532" s="6">
        <v>74</v>
      </c>
      <c r="C2532" s="13">
        <v>7222075</v>
      </c>
      <c r="D2532" t="s">
        <v>655</v>
      </c>
      <c r="E2532" s="13">
        <v>12</v>
      </c>
      <c r="F2532" s="10" t="s">
        <v>13</v>
      </c>
      <c r="J2532" s="138" t="s">
        <v>1292</v>
      </c>
      <c r="K2532" s="138" t="s">
        <v>1292</v>
      </c>
      <c r="L2532" s="138" t="s">
        <v>1292</v>
      </c>
      <c r="M2532" s="12"/>
      <c r="N2532" s="88" t="s">
        <v>1292</v>
      </c>
      <c r="P2532" t="str">
        <f>VLOOKUP(B2532,PTN!A:B,2,FALSE)</f>
        <v>UNIVERSITAS NEGERI MANADO</v>
      </c>
      <c r="Q2532" t="str">
        <f t="shared" si="39"/>
        <v>UNIVERSITAS NEGERI MANADOPEND. BAH. JERMAN</v>
      </c>
    </row>
    <row r="2533" spans="1:17" ht="15.75" thickBot="1" x14ac:dyDescent="0.3">
      <c r="A2533" s="7">
        <v>2532</v>
      </c>
      <c r="B2533" s="6">
        <v>74</v>
      </c>
      <c r="C2533" s="12">
        <v>7222083</v>
      </c>
      <c r="D2533" t="s">
        <v>656</v>
      </c>
      <c r="E2533" s="12">
        <v>12</v>
      </c>
      <c r="F2533" s="10" t="s">
        <v>13</v>
      </c>
      <c r="J2533" s="138" t="s">
        <v>1292</v>
      </c>
      <c r="K2533" s="138" t="s">
        <v>1292</v>
      </c>
      <c r="L2533" s="138" t="s">
        <v>1292</v>
      </c>
      <c r="M2533" s="13"/>
      <c r="N2533" s="89" t="s">
        <v>1292</v>
      </c>
      <c r="P2533" t="str">
        <f>VLOOKUP(B2533,PTN!A:B,2,FALSE)</f>
        <v>UNIVERSITAS NEGERI MANADO</v>
      </c>
      <c r="Q2533" t="str">
        <f t="shared" si="39"/>
        <v>UNIVERSITAS NEGERI MANADOPEND. BAH. PERANCIS</v>
      </c>
    </row>
    <row r="2534" spans="1:17" ht="15.75" thickBot="1" x14ac:dyDescent="0.3">
      <c r="A2534" s="7">
        <v>2533</v>
      </c>
      <c r="B2534" s="6">
        <v>74</v>
      </c>
      <c r="C2534" s="13">
        <v>7222164</v>
      </c>
      <c r="D2534" t="s">
        <v>657</v>
      </c>
      <c r="E2534" s="13">
        <v>60</v>
      </c>
      <c r="F2534" s="10" t="s">
        <v>13</v>
      </c>
      <c r="J2534" s="138" t="s">
        <v>1292</v>
      </c>
      <c r="K2534" s="138" t="s">
        <v>1292</v>
      </c>
      <c r="L2534" s="138" t="s">
        <v>1292</v>
      </c>
      <c r="M2534" s="12"/>
      <c r="N2534" s="88" t="s">
        <v>1292</v>
      </c>
      <c r="P2534" t="str">
        <f>VLOOKUP(B2534,PTN!A:B,2,FALSE)</f>
        <v>UNIVERSITAS NEGERI MANADO</v>
      </c>
      <c r="Q2534" t="str">
        <f t="shared" si="39"/>
        <v>UNIVERSITAS NEGERI MANADOPEND EKONOMI S1</v>
      </c>
    </row>
    <row r="2535" spans="1:17" ht="15.75" thickBot="1" x14ac:dyDescent="0.3">
      <c r="A2535" s="7">
        <v>2534</v>
      </c>
      <c r="B2535" s="6">
        <v>74</v>
      </c>
      <c r="C2535" s="12">
        <v>7222133</v>
      </c>
      <c r="D2535" t="s">
        <v>658</v>
      </c>
      <c r="E2535" s="12">
        <v>24</v>
      </c>
      <c r="F2535" s="10" t="s">
        <v>13</v>
      </c>
      <c r="J2535" s="138" t="s">
        <v>1292</v>
      </c>
      <c r="K2535" s="138" t="s">
        <v>1292</v>
      </c>
      <c r="L2535" s="138" t="s">
        <v>1292</v>
      </c>
      <c r="M2535" s="13"/>
      <c r="N2535" s="89" t="s">
        <v>1292</v>
      </c>
      <c r="P2535" t="str">
        <f>VLOOKUP(B2535,PTN!A:B,2,FALSE)</f>
        <v>UNIVERSITAS NEGERI MANADO</v>
      </c>
      <c r="Q2535" t="str">
        <f t="shared" si="39"/>
        <v>UNIVERSITAS NEGERI MANADOPEND GEOGRAFI</v>
      </c>
    </row>
    <row r="2536" spans="1:17" ht="15.75" thickBot="1" x14ac:dyDescent="0.3">
      <c r="A2536" s="7">
        <v>2535</v>
      </c>
      <c r="B2536" s="6">
        <v>74</v>
      </c>
      <c r="C2536" s="13">
        <v>7222303</v>
      </c>
      <c r="D2536" t="s">
        <v>409</v>
      </c>
      <c r="E2536" s="13">
        <v>12</v>
      </c>
      <c r="F2536" s="10" t="s">
        <v>13</v>
      </c>
      <c r="J2536" s="138" t="s">
        <v>1292</v>
      </c>
      <c r="K2536" s="138" t="s">
        <v>1292</v>
      </c>
      <c r="L2536" s="138" t="s">
        <v>1292</v>
      </c>
      <c r="M2536" s="12"/>
      <c r="N2536" s="88" t="s">
        <v>1292</v>
      </c>
      <c r="P2536" t="str">
        <f>VLOOKUP(B2536,PTN!A:B,2,FALSE)</f>
        <v>UNIVERSITAS NEGERI MANADO</v>
      </c>
      <c r="Q2536" t="str">
        <f t="shared" si="39"/>
        <v>UNIVERSITAS NEGERI MANADOPENDIDIKAN IPS</v>
      </c>
    </row>
    <row r="2537" spans="1:17" ht="15.75" thickBot="1" x14ac:dyDescent="0.3">
      <c r="A2537" s="7">
        <v>2536</v>
      </c>
      <c r="B2537" s="6">
        <v>74</v>
      </c>
      <c r="C2537" s="12">
        <v>7222284</v>
      </c>
      <c r="D2537" t="s">
        <v>334</v>
      </c>
      <c r="E2537" s="12">
        <v>24</v>
      </c>
      <c r="F2537" s="10" t="s">
        <v>13</v>
      </c>
      <c r="J2537" s="138" t="s">
        <v>1292</v>
      </c>
      <c r="K2537" s="138" t="s">
        <v>1292</v>
      </c>
      <c r="L2537" s="138" t="s">
        <v>1292</v>
      </c>
      <c r="M2537" s="13"/>
      <c r="N2537" s="89" t="s">
        <v>1292</v>
      </c>
      <c r="P2537" t="str">
        <f>VLOOKUP(B2537,PTN!A:B,2,FALSE)</f>
        <v>UNIVERSITAS NEGERI MANADO</v>
      </c>
      <c r="Q2537" t="str">
        <f t="shared" si="39"/>
        <v>UNIVERSITAS NEGERI MANADOPENDIDIKAN SOSIOLOGI</v>
      </c>
    </row>
    <row r="2538" spans="1:17" ht="15.75" thickBot="1" x14ac:dyDescent="0.3">
      <c r="A2538" s="7">
        <v>2537</v>
      </c>
      <c r="B2538" s="6">
        <v>74</v>
      </c>
      <c r="C2538" s="13">
        <v>7222195</v>
      </c>
      <c r="D2538" t="s">
        <v>659</v>
      </c>
      <c r="E2538" s="13">
        <v>48</v>
      </c>
      <c r="F2538" s="10" t="s">
        <v>13</v>
      </c>
      <c r="J2538" s="138" t="s">
        <v>1292</v>
      </c>
      <c r="K2538" s="138" t="s">
        <v>1292</v>
      </c>
      <c r="L2538" s="138" t="s">
        <v>1292</v>
      </c>
      <c r="M2538" s="12"/>
      <c r="N2538" s="88" t="s">
        <v>1292</v>
      </c>
      <c r="P2538" t="str">
        <f>VLOOKUP(B2538,PTN!A:B,2,FALSE)</f>
        <v>UNIVERSITAS NEGERI MANADO</v>
      </c>
      <c r="Q2538" t="str">
        <f t="shared" si="39"/>
        <v>UNIVERSITAS NEGERI MANADOPEND. JASMANI, KES. REK</v>
      </c>
    </row>
    <row r="2539" spans="1:17" ht="15.75" thickBot="1" x14ac:dyDescent="0.3">
      <c r="A2539" s="7">
        <v>2538</v>
      </c>
      <c r="B2539" s="6">
        <v>74</v>
      </c>
      <c r="C2539" s="12">
        <v>7222187</v>
      </c>
      <c r="D2539" t="s">
        <v>660</v>
      </c>
      <c r="E2539" s="12">
        <v>36</v>
      </c>
      <c r="F2539" s="10" t="s">
        <v>13</v>
      </c>
      <c r="J2539" s="138" t="s">
        <v>1292</v>
      </c>
      <c r="K2539" s="138" t="s">
        <v>1292</v>
      </c>
      <c r="L2539" s="138" t="s">
        <v>1292</v>
      </c>
      <c r="M2539" s="13"/>
      <c r="N2539" s="89" t="s">
        <v>1292</v>
      </c>
      <c r="P2539" t="str">
        <f>VLOOKUP(B2539,PTN!A:B,2,FALSE)</f>
        <v>UNIVERSITAS NEGERI MANADO</v>
      </c>
      <c r="Q2539" t="str">
        <f t="shared" si="39"/>
        <v>UNIVERSITAS NEGERI MANADOPEND. KEPELATIHAN OR</v>
      </c>
    </row>
    <row r="2540" spans="1:17" ht="15.75" thickBot="1" x14ac:dyDescent="0.3">
      <c r="A2540" s="7">
        <v>2539</v>
      </c>
      <c r="B2540" s="6">
        <v>74</v>
      </c>
      <c r="C2540" s="13">
        <v>7222013</v>
      </c>
      <c r="D2540" t="s">
        <v>661</v>
      </c>
      <c r="E2540" s="13">
        <v>12</v>
      </c>
      <c r="F2540" s="10" t="s">
        <v>13</v>
      </c>
      <c r="J2540" s="138" t="s">
        <v>1292</v>
      </c>
      <c r="K2540" s="138" t="s">
        <v>1292</v>
      </c>
      <c r="L2540" s="138" t="s">
        <v>1292</v>
      </c>
      <c r="M2540" s="12"/>
      <c r="N2540" s="88" t="s">
        <v>1292</v>
      </c>
      <c r="P2540" t="str">
        <f>VLOOKUP(B2540,PTN!A:B,2,FALSE)</f>
        <v>UNIVERSITAS NEGERI MANADO</v>
      </c>
      <c r="Q2540" t="str">
        <f t="shared" si="39"/>
        <v>UNIVERSITAS NEGERI MANADOPEND. KES. KEL</v>
      </c>
    </row>
    <row r="2541" spans="1:17" ht="15.75" thickBot="1" x14ac:dyDescent="0.3">
      <c r="A2541" s="7">
        <v>2540</v>
      </c>
      <c r="B2541" s="6">
        <v>74</v>
      </c>
      <c r="C2541" s="12">
        <v>7222125</v>
      </c>
      <c r="D2541" t="s">
        <v>233</v>
      </c>
      <c r="E2541" s="12">
        <v>24</v>
      </c>
      <c r="F2541" s="10" t="s">
        <v>13</v>
      </c>
      <c r="J2541" s="138" t="s">
        <v>1292</v>
      </c>
      <c r="K2541" s="138" t="s">
        <v>1292</v>
      </c>
      <c r="L2541" s="138" t="s">
        <v>1292</v>
      </c>
      <c r="M2541" s="13"/>
      <c r="N2541" s="89" t="s">
        <v>1292</v>
      </c>
      <c r="P2541" t="str">
        <f>VLOOKUP(B2541,PTN!A:B,2,FALSE)</f>
        <v>UNIVERSITAS NEGERI MANADO</v>
      </c>
      <c r="Q2541" t="str">
        <f t="shared" si="39"/>
        <v>UNIVERSITAS NEGERI MANADOPEND. SEJARAH</v>
      </c>
    </row>
    <row r="2542" spans="1:17" ht="15.75" thickBot="1" x14ac:dyDescent="0.3">
      <c r="A2542" s="7">
        <v>2541</v>
      </c>
      <c r="B2542" s="6">
        <v>74</v>
      </c>
      <c r="C2542" s="13">
        <v>7222091</v>
      </c>
      <c r="D2542" t="s">
        <v>662</v>
      </c>
      <c r="E2542" s="13">
        <v>36</v>
      </c>
      <c r="F2542" s="10" t="s">
        <v>13</v>
      </c>
      <c r="J2542" s="138" t="s">
        <v>1292</v>
      </c>
      <c r="K2542" s="138" t="s">
        <v>1292</v>
      </c>
      <c r="L2542" s="138" t="s">
        <v>1292</v>
      </c>
      <c r="M2542" s="12"/>
      <c r="N2542" s="88" t="s">
        <v>1292</v>
      </c>
      <c r="P2542" t="str">
        <f>VLOOKUP(B2542,PTN!A:B,2,FALSE)</f>
        <v>UNIVERSITAS NEGERI MANADO</v>
      </c>
      <c r="Q2542" t="str">
        <f t="shared" si="39"/>
        <v>UNIVERSITAS NEGERI MANADOPEND. SENI MUSIK</v>
      </c>
    </row>
    <row r="2543" spans="1:17" ht="15.75" thickBot="1" x14ac:dyDescent="0.3">
      <c r="A2543" s="7">
        <v>2542</v>
      </c>
      <c r="B2543" s="6">
        <v>74</v>
      </c>
      <c r="C2543" s="12">
        <v>7222102</v>
      </c>
      <c r="D2543" t="s">
        <v>663</v>
      </c>
      <c r="E2543" s="12">
        <v>12</v>
      </c>
      <c r="F2543" s="10" t="s">
        <v>13</v>
      </c>
      <c r="J2543" s="138" t="s">
        <v>1292</v>
      </c>
      <c r="K2543" s="138" t="s">
        <v>1292</v>
      </c>
      <c r="L2543" s="138" t="s">
        <v>1292</v>
      </c>
      <c r="M2543" s="13"/>
      <c r="N2543" s="89" t="s">
        <v>1292</v>
      </c>
      <c r="P2543" t="str">
        <f>VLOOKUP(B2543,PTN!A:B,2,FALSE)</f>
        <v>UNIVERSITAS NEGERI MANADO</v>
      </c>
      <c r="Q2543" t="str">
        <f t="shared" si="39"/>
        <v>UNIVERSITAS NEGERI MANADOPEND. SENI RUPA</v>
      </c>
    </row>
    <row r="2544" spans="1:17" ht="15.75" thickBot="1" x14ac:dyDescent="0.3">
      <c r="A2544" s="7">
        <v>2543</v>
      </c>
      <c r="B2544" s="6">
        <v>74</v>
      </c>
      <c r="C2544" s="13">
        <v>7222237</v>
      </c>
      <c r="D2544" t="s">
        <v>234</v>
      </c>
      <c r="E2544" s="13">
        <v>96</v>
      </c>
      <c r="F2544" s="10" t="s">
        <v>13</v>
      </c>
      <c r="J2544" s="138" t="s">
        <v>1292</v>
      </c>
      <c r="K2544" s="138" t="s">
        <v>1292</v>
      </c>
      <c r="L2544" s="138" t="s">
        <v>1292</v>
      </c>
      <c r="M2544" s="12"/>
      <c r="N2544" s="88" t="s">
        <v>1292</v>
      </c>
      <c r="P2544" t="str">
        <f>VLOOKUP(B2544,PTN!A:B,2,FALSE)</f>
        <v>UNIVERSITAS NEGERI MANADO</v>
      </c>
      <c r="Q2544" t="str">
        <f t="shared" si="39"/>
        <v>UNIVERSITAS NEGERI MANADOPGSD</v>
      </c>
    </row>
    <row r="2545" spans="1:17" ht="15.75" thickBot="1" x14ac:dyDescent="0.3">
      <c r="A2545" s="7">
        <v>2544</v>
      </c>
      <c r="B2545" s="6">
        <v>74</v>
      </c>
      <c r="C2545" s="12">
        <v>7222214</v>
      </c>
      <c r="D2545" t="s">
        <v>664</v>
      </c>
      <c r="E2545" s="12">
        <v>12</v>
      </c>
      <c r="F2545" s="10" t="s">
        <v>13</v>
      </c>
      <c r="J2545" s="138" t="s">
        <v>1292</v>
      </c>
      <c r="K2545" s="138" t="s">
        <v>1292</v>
      </c>
      <c r="L2545" s="138" t="s">
        <v>1292</v>
      </c>
      <c r="M2545" s="13"/>
      <c r="N2545" s="89" t="s">
        <v>1292</v>
      </c>
      <c r="P2545" t="str">
        <f>VLOOKUP(B2545,PTN!A:B,2,FALSE)</f>
        <v>UNIVERSITAS NEGERI MANADO</v>
      </c>
      <c r="Q2545" t="str">
        <f t="shared" si="39"/>
        <v>UNIVERSITAS NEGERI MANADOPLB/P.KH</v>
      </c>
    </row>
    <row r="2546" spans="1:17" ht="15.75" thickBot="1" x14ac:dyDescent="0.3">
      <c r="A2546" s="7">
        <v>2545</v>
      </c>
      <c r="B2546" s="6">
        <v>74</v>
      </c>
      <c r="C2546" s="13">
        <v>7222206</v>
      </c>
      <c r="D2546" t="s">
        <v>665</v>
      </c>
      <c r="E2546" s="13">
        <v>12</v>
      </c>
      <c r="F2546" s="10" t="s">
        <v>13</v>
      </c>
      <c r="J2546" s="138" t="s">
        <v>1292</v>
      </c>
      <c r="K2546" s="138" t="s">
        <v>1292</v>
      </c>
      <c r="L2546" s="138" t="s">
        <v>1292</v>
      </c>
      <c r="M2546" s="12"/>
      <c r="N2546" s="88" t="s">
        <v>1292</v>
      </c>
      <c r="P2546" t="str">
        <f>VLOOKUP(B2546,PTN!A:B,2,FALSE)</f>
        <v>UNIVERSITAS NEGERI MANADO</v>
      </c>
      <c r="Q2546" t="str">
        <f t="shared" si="39"/>
        <v>UNIVERSITAS NEGERI MANADOPLS</v>
      </c>
    </row>
    <row r="2547" spans="1:17" ht="15.75" thickBot="1" x14ac:dyDescent="0.3">
      <c r="A2547" s="7">
        <v>2546</v>
      </c>
      <c r="B2547" s="6">
        <v>74</v>
      </c>
      <c r="C2547" s="12">
        <v>7222117</v>
      </c>
      <c r="D2547" t="s">
        <v>262</v>
      </c>
      <c r="E2547" s="12">
        <v>24</v>
      </c>
      <c r="F2547" s="10" t="s">
        <v>13</v>
      </c>
      <c r="J2547" s="138" t="s">
        <v>1292</v>
      </c>
      <c r="K2547" s="138" t="s">
        <v>1292</v>
      </c>
      <c r="L2547" s="138" t="s">
        <v>1292</v>
      </c>
      <c r="M2547" s="13"/>
      <c r="N2547" s="89" t="s">
        <v>1292</v>
      </c>
      <c r="P2547" t="str">
        <f>VLOOKUP(B2547,PTN!A:B,2,FALSE)</f>
        <v>UNIVERSITAS NEGERI MANADO</v>
      </c>
      <c r="Q2547" t="str">
        <f t="shared" si="39"/>
        <v>UNIVERSITAS NEGERI MANADOPPKN</v>
      </c>
    </row>
    <row r="2548" spans="1:17" ht="15.75" thickBot="1" x14ac:dyDescent="0.3">
      <c r="A2548" s="7">
        <v>2547</v>
      </c>
      <c r="B2548" s="6">
        <v>74</v>
      </c>
      <c r="C2548" s="16">
        <v>7222222</v>
      </c>
      <c r="D2548" t="s">
        <v>36</v>
      </c>
      <c r="E2548" s="16">
        <v>48</v>
      </c>
      <c r="F2548" s="10" t="s">
        <v>13</v>
      </c>
      <c r="J2548" s="138" t="s">
        <v>1292</v>
      </c>
      <c r="K2548" s="138" t="s">
        <v>1292</v>
      </c>
      <c r="L2548" s="138" t="s">
        <v>1292</v>
      </c>
      <c r="M2548" s="12"/>
      <c r="N2548" s="88" t="s">
        <v>1292</v>
      </c>
      <c r="P2548" t="str">
        <f>VLOOKUP(B2548,PTN!A:B,2,FALSE)</f>
        <v>UNIVERSITAS NEGERI MANADO</v>
      </c>
      <c r="Q2548" t="str">
        <f t="shared" si="39"/>
        <v>UNIVERSITAS NEGERI MANADOPSIKOLOGI</v>
      </c>
    </row>
    <row r="2549" spans="1:17" ht="16.5" thickTop="1" thickBot="1" x14ac:dyDescent="0.3">
      <c r="A2549" s="7">
        <v>2548</v>
      </c>
      <c r="B2549" s="6">
        <v>73</v>
      </c>
      <c r="C2549" s="48">
        <v>7211166</v>
      </c>
      <c r="D2549" t="s">
        <v>37</v>
      </c>
      <c r="E2549" s="48">
        <v>50</v>
      </c>
      <c r="F2549" s="10" t="s">
        <v>20</v>
      </c>
      <c r="J2549" s="138" t="s">
        <v>1292</v>
      </c>
      <c r="K2549" s="138" t="s">
        <v>1292</v>
      </c>
      <c r="L2549" s="138" t="s">
        <v>1292</v>
      </c>
      <c r="M2549" s="13"/>
      <c r="N2549" s="89" t="s">
        <v>1292</v>
      </c>
      <c r="P2549" t="str">
        <f>VLOOKUP(B2549,PTN!A:B,2,FALSE)</f>
        <v>UNIVERSITAS SAM RATULANGI</v>
      </c>
      <c r="Q2549" t="str">
        <f t="shared" si="39"/>
        <v>UNIVERSITAS SAM RATULANGIAGRIBISNIS</v>
      </c>
    </row>
    <row r="2550" spans="1:17" ht="15.75" thickBot="1" x14ac:dyDescent="0.3">
      <c r="A2550" s="7">
        <v>2549</v>
      </c>
      <c r="B2550" s="6">
        <v>73</v>
      </c>
      <c r="C2550" s="51">
        <v>7211232</v>
      </c>
      <c r="D2550" t="s">
        <v>536</v>
      </c>
      <c r="E2550" s="51">
        <v>19</v>
      </c>
      <c r="F2550" s="10" t="s">
        <v>20</v>
      </c>
      <c r="J2550" s="138" t="s">
        <v>1292</v>
      </c>
      <c r="K2550" s="138" t="s">
        <v>1292</v>
      </c>
      <c r="L2550" s="138" t="s">
        <v>1292</v>
      </c>
      <c r="N2550" s="83" t="s">
        <v>1292</v>
      </c>
      <c r="P2550" t="str">
        <f>VLOOKUP(B2550,PTN!A:B,2,FALSE)</f>
        <v>UNIVERSITAS SAM RATULANGI</v>
      </c>
      <c r="Q2550" t="str">
        <f t="shared" si="39"/>
        <v>UNIVERSITAS SAM RATULANGIAGROBISNIS PERIKANAN</v>
      </c>
    </row>
    <row r="2551" spans="1:17" ht="15.75" thickBot="1" x14ac:dyDescent="0.3">
      <c r="A2551" s="7">
        <v>2550</v>
      </c>
      <c r="B2551" s="6">
        <v>73</v>
      </c>
      <c r="C2551" s="48">
        <v>7211174</v>
      </c>
      <c r="D2551" t="s">
        <v>38</v>
      </c>
      <c r="E2551" s="48">
        <v>15</v>
      </c>
      <c r="F2551" s="10" t="s">
        <v>20</v>
      </c>
      <c r="J2551" s="138" t="s">
        <v>1292</v>
      </c>
      <c r="K2551" s="138" t="s">
        <v>1292</v>
      </c>
      <c r="L2551" s="138" t="s">
        <v>1292</v>
      </c>
      <c r="N2551" s="83" t="s">
        <v>1292</v>
      </c>
      <c r="P2551" t="str">
        <f>VLOOKUP(B2551,PTN!A:B,2,FALSE)</f>
        <v>UNIVERSITAS SAM RATULANGI</v>
      </c>
      <c r="Q2551" t="str">
        <f t="shared" si="39"/>
        <v>UNIVERSITAS SAM RATULANGIAGROEKOTEKNOLOGI</v>
      </c>
    </row>
    <row r="2552" spans="1:17" ht="16.5" thickTop="1" thickBot="1" x14ac:dyDescent="0.3">
      <c r="A2552" s="7">
        <v>2551</v>
      </c>
      <c r="B2552" s="6">
        <v>73</v>
      </c>
      <c r="C2552" s="51">
        <v>7211313</v>
      </c>
      <c r="D2552" t="s">
        <v>250</v>
      </c>
      <c r="E2552" s="51">
        <v>12</v>
      </c>
      <c r="F2552" s="10" t="s">
        <v>20</v>
      </c>
      <c r="J2552" s="138" t="s">
        <v>1292</v>
      </c>
      <c r="K2552" s="138" t="s">
        <v>1292</v>
      </c>
      <c r="L2552" s="138" t="s">
        <v>1292</v>
      </c>
      <c r="M2552" s="45"/>
      <c r="N2552" s="86" t="s">
        <v>1292</v>
      </c>
      <c r="P2552" t="str">
        <f>VLOOKUP(B2552,PTN!A:B,2,FALSE)</f>
        <v>UNIVERSITAS SAM RATULANGI</v>
      </c>
      <c r="Q2552" t="str">
        <f t="shared" si="39"/>
        <v>UNIVERSITAS SAM RATULANGIAGRONOMI</v>
      </c>
    </row>
    <row r="2553" spans="1:17" ht="16.5" thickTop="1" thickBot="1" x14ac:dyDescent="0.3">
      <c r="A2553" s="7">
        <v>2552</v>
      </c>
      <c r="B2553" s="6">
        <v>73</v>
      </c>
      <c r="C2553" s="48">
        <v>7211085</v>
      </c>
      <c r="D2553" t="s">
        <v>19</v>
      </c>
      <c r="E2553" s="48">
        <v>20</v>
      </c>
      <c r="F2553" s="10" t="s">
        <v>20</v>
      </c>
      <c r="J2553" s="138" t="s">
        <v>1292</v>
      </c>
      <c r="K2553" s="138" t="s">
        <v>1292</v>
      </c>
      <c r="L2553" s="138" t="s">
        <v>1292</v>
      </c>
      <c r="M2553" s="48"/>
      <c r="N2553" s="94" t="s">
        <v>1292</v>
      </c>
      <c r="P2553" t="str">
        <f>VLOOKUP(B2553,PTN!A:B,2,FALSE)</f>
        <v>UNIVERSITAS SAM RATULANGI</v>
      </c>
      <c r="Q2553" t="str">
        <f t="shared" si="39"/>
        <v>UNIVERSITAS SAM RATULANGIARSITEKTUR</v>
      </c>
    </row>
    <row r="2554" spans="1:17" ht="15.75" thickBot="1" x14ac:dyDescent="0.3">
      <c r="A2554" s="7">
        <v>2553</v>
      </c>
      <c r="B2554" s="6">
        <v>73</v>
      </c>
      <c r="C2554" s="51">
        <v>7211143</v>
      </c>
      <c r="D2554" t="s">
        <v>21</v>
      </c>
      <c r="E2554" s="51">
        <v>15</v>
      </c>
      <c r="F2554" s="10" t="s">
        <v>20</v>
      </c>
      <c r="J2554" s="138" t="s">
        <v>1292</v>
      </c>
      <c r="K2554" s="138" t="s">
        <v>1292</v>
      </c>
      <c r="L2554" s="138" t="s">
        <v>1292</v>
      </c>
      <c r="M2554" s="51"/>
      <c r="N2554" s="95" t="s">
        <v>1292</v>
      </c>
      <c r="P2554" t="str">
        <f>VLOOKUP(B2554,PTN!A:B,2,FALSE)</f>
        <v>UNIVERSITAS SAM RATULANGI</v>
      </c>
      <c r="Q2554" t="str">
        <f t="shared" si="39"/>
        <v>UNIVERSITAS SAM RATULANGIBIOLOGI</v>
      </c>
    </row>
    <row r="2555" spans="1:17" ht="15.75" thickBot="1" x14ac:dyDescent="0.3">
      <c r="A2555" s="7">
        <v>2554</v>
      </c>
      <c r="B2555" s="6">
        <v>73</v>
      </c>
      <c r="C2555" s="48">
        <v>7211216</v>
      </c>
      <c r="D2555" t="s">
        <v>39</v>
      </c>
      <c r="E2555" s="48">
        <v>13</v>
      </c>
      <c r="F2555" s="10" t="s">
        <v>20</v>
      </c>
      <c r="J2555" s="138" t="s">
        <v>1292</v>
      </c>
      <c r="K2555" s="138" t="s">
        <v>1292</v>
      </c>
      <c r="L2555" s="138" t="s">
        <v>1292</v>
      </c>
      <c r="M2555" s="48"/>
      <c r="N2555" s="94" t="s">
        <v>1292</v>
      </c>
      <c r="P2555" t="str">
        <f>VLOOKUP(B2555,PTN!A:B,2,FALSE)</f>
        <v>UNIVERSITAS SAM RATULANGI</v>
      </c>
      <c r="Q2555" t="str">
        <f t="shared" si="39"/>
        <v>UNIVERSITAS SAM RATULANGIBUDIDAYA PERAIRAN</v>
      </c>
    </row>
    <row r="2556" spans="1:17" ht="15.75" thickBot="1" x14ac:dyDescent="0.3">
      <c r="A2556" s="7">
        <v>2555</v>
      </c>
      <c r="B2556" s="6">
        <v>73</v>
      </c>
      <c r="C2556" s="51">
        <v>7211271</v>
      </c>
      <c r="D2556" t="s">
        <v>77</v>
      </c>
      <c r="E2556" s="51">
        <v>20</v>
      </c>
      <c r="F2556" s="10" t="s">
        <v>20</v>
      </c>
      <c r="J2556" s="138" t="s">
        <v>1292</v>
      </c>
      <c r="K2556" s="138" t="s">
        <v>1292</v>
      </c>
      <c r="L2556" s="138" t="s">
        <v>1292</v>
      </c>
      <c r="M2556" s="51"/>
      <c r="N2556" s="95" t="s">
        <v>1292</v>
      </c>
      <c r="P2556" t="str">
        <f>VLOOKUP(B2556,PTN!A:B,2,FALSE)</f>
        <v>UNIVERSITAS SAM RATULANGI</v>
      </c>
      <c r="Q2556" t="str">
        <f t="shared" si="39"/>
        <v>UNIVERSITAS SAM RATULANGIFARMASI</v>
      </c>
    </row>
    <row r="2557" spans="1:17" ht="15.75" thickBot="1" x14ac:dyDescent="0.3">
      <c r="A2557" s="7">
        <v>2556</v>
      </c>
      <c r="B2557" s="6">
        <v>73</v>
      </c>
      <c r="C2557" s="48">
        <v>7211135</v>
      </c>
      <c r="D2557" t="s">
        <v>65</v>
      </c>
      <c r="E2557" s="48">
        <v>13</v>
      </c>
      <c r="F2557" s="10" t="s">
        <v>20</v>
      </c>
      <c r="J2557" s="138" t="s">
        <v>1292</v>
      </c>
      <c r="K2557" s="138" t="s">
        <v>1292</v>
      </c>
      <c r="L2557" s="138" t="s">
        <v>1292</v>
      </c>
      <c r="M2557" s="48"/>
      <c r="N2557" s="94" t="s">
        <v>1292</v>
      </c>
      <c r="P2557" t="str">
        <f>VLOOKUP(B2557,PTN!A:B,2,FALSE)</f>
        <v>UNIVERSITAS SAM RATULANGI</v>
      </c>
      <c r="Q2557" t="str">
        <f t="shared" si="39"/>
        <v>UNIVERSITAS SAM RATULANGIFISIKA</v>
      </c>
    </row>
    <row r="2558" spans="1:17" ht="15.75" thickBot="1" x14ac:dyDescent="0.3">
      <c r="A2558" s="7">
        <v>2557</v>
      </c>
      <c r="B2558" s="6">
        <v>73</v>
      </c>
      <c r="C2558" s="51">
        <v>7211112</v>
      </c>
      <c r="D2558" t="s">
        <v>141</v>
      </c>
      <c r="E2558" s="51">
        <v>15</v>
      </c>
      <c r="F2558" s="10" t="s">
        <v>20</v>
      </c>
      <c r="J2558" s="138" t="s">
        <v>1292</v>
      </c>
      <c r="K2558" s="138" t="s">
        <v>1292</v>
      </c>
      <c r="L2558" s="138" t="s">
        <v>1292</v>
      </c>
      <c r="M2558" s="51"/>
      <c r="N2558" s="95" t="s">
        <v>1292</v>
      </c>
      <c r="P2558" t="str">
        <f>VLOOKUP(B2558,PTN!A:B,2,FALSE)</f>
        <v>UNIVERSITAS SAM RATULANGI</v>
      </c>
      <c r="Q2558" t="str">
        <f t="shared" si="39"/>
        <v>UNIVERSITAS SAM RATULANGIILMU DAN TEKNOLOGI PANGAN</v>
      </c>
    </row>
    <row r="2559" spans="1:17" ht="15.75" thickBot="1" x14ac:dyDescent="0.3">
      <c r="A2559" s="7">
        <v>2558</v>
      </c>
      <c r="B2559" s="6">
        <v>73</v>
      </c>
      <c r="C2559" s="48">
        <v>7211197</v>
      </c>
      <c r="D2559" t="s">
        <v>40</v>
      </c>
      <c r="E2559" s="48">
        <v>25</v>
      </c>
      <c r="F2559" s="10" t="s">
        <v>20</v>
      </c>
      <c r="J2559" s="138" t="s">
        <v>1292</v>
      </c>
      <c r="K2559" s="138" t="s">
        <v>1292</v>
      </c>
      <c r="L2559" s="138" t="s">
        <v>1292</v>
      </c>
      <c r="M2559" s="48"/>
      <c r="N2559" s="94" t="s">
        <v>1292</v>
      </c>
      <c r="P2559" t="str">
        <f>VLOOKUP(B2559,PTN!A:B,2,FALSE)</f>
        <v>UNIVERSITAS SAM RATULANGI</v>
      </c>
      <c r="Q2559" t="str">
        <f t="shared" si="39"/>
        <v>UNIVERSITAS SAM RATULANGIILMU KELAUTAN</v>
      </c>
    </row>
    <row r="2560" spans="1:17" ht="15.75" thickBot="1" x14ac:dyDescent="0.3">
      <c r="A2560" s="7">
        <v>2559</v>
      </c>
      <c r="B2560" s="6">
        <v>73</v>
      </c>
      <c r="C2560" s="51">
        <v>7211046</v>
      </c>
      <c r="D2560" t="s">
        <v>78</v>
      </c>
      <c r="E2560" s="51">
        <v>19</v>
      </c>
      <c r="F2560" s="10" t="s">
        <v>20</v>
      </c>
      <c r="J2560" s="138" t="s">
        <v>1292</v>
      </c>
      <c r="K2560" s="138" t="s">
        <v>1292</v>
      </c>
      <c r="L2560" s="138" t="s">
        <v>1292</v>
      </c>
      <c r="M2560" s="51"/>
      <c r="N2560" s="95" t="s">
        <v>1292</v>
      </c>
      <c r="P2560" t="str">
        <f>VLOOKUP(B2560,PTN!A:B,2,FALSE)</f>
        <v>UNIVERSITAS SAM RATULANGI</v>
      </c>
      <c r="Q2560" t="str">
        <f t="shared" si="39"/>
        <v>UNIVERSITAS SAM RATULANGIILMU KEPERAWATAN</v>
      </c>
    </row>
    <row r="2561" spans="1:17" ht="15.75" thickBot="1" x14ac:dyDescent="0.3">
      <c r="A2561" s="7">
        <v>2560</v>
      </c>
      <c r="B2561" s="6">
        <v>73</v>
      </c>
      <c r="C2561" s="48">
        <v>7211031</v>
      </c>
      <c r="D2561" t="s">
        <v>110</v>
      </c>
      <c r="E2561" s="48">
        <v>50</v>
      </c>
      <c r="F2561" s="10" t="s">
        <v>20</v>
      </c>
      <c r="J2561" s="138" t="s">
        <v>1292</v>
      </c>
      <c r="K2561" s="138" t="s">
        <v>1292</v>
      </c>
      <c r="L2561" s="138" t="s">
        <v>1292</v>
      </c>
      <c r="M2561" s="48"/>
      <c r="N2561" s="94" t="s">
        <v>1292</v>
      </c>
      <c r="P2561" t="str">
        <f>VLOOKUP(B2561,PTN!A:B,2,FALSE)</f>
        <v>UNIVERSITAS SAM RATULANGI</v>
      </c>
      <c r="Q2561" t="str">
        <f t="shared" si="39"/>
        <v>UNIVERSITAS SAM RATULANGIILMU KESEHATAN MASYARAKAT</v>
      </c>
    </row>
    <row r="2562" spans="1:17" ht="15.75" thickBot="1" x14ac:dyDescent="0.3">
      <c r="A2562" s="7">
        <v>2561</v>
      </c>
      <c r="B2562" s="6">
        <v>73</v>
      </c>
      <c r="C2562" s="51">
        <v>7211305</v>
      </c>
      <c r="D2562" t="s">
        <v>79</v>
      </c>
      <c r="E2562" s="51">
        <v>15</v>
      </c>
      <c r="F2562" s="10" t="s">
        <v>20</v>
      </c>
      <c r="J2562" s="138" t="s">
        <v>1292</v>
      </c>
      <c r="K2562" s="138" t="s">
        <v>1292</v>
      </c>
      <c r="L2562" s="138" t="s">
        <v>1292</v>
      </c>
      <c r="M2562" s="51"/>
      <c r="N2562" s="95" t="s">
        <v>1292</v>
      </c>
      <c r="P2562" t="str">
        <f>VLOOKUP(B2562,PTN!A:B,2,FALSE)</f>
        <v>UNIVERSITAS SAM RATULANGI</v>
      </c>
      <c r="Q2562" t="str">
        <f t="shared" si="39"/>
        <v>UNIVERSITAS SAM RATULANGIILMU TANAH</v>
      </c>
    </row>
    <row r="2563" spans="1:17" ht="15.75" thickBot="1" x14ac:dyDescent="0.3">
      <c r="A2563" s="7">
        <v>2562</v>
      </c>
      <c r="B2563" s="6">
        <v>73</v>
      </c>
      <c r="C2563" s="48">
        <v>7211263</v>
      </c>
      <c r="D2563" t="s">
        <v>80</v>
      </c>
      <c r="E2563" s="48">
        <v>20</v>
      </c>
      <c r="F2563" s="10" t="s">
        <v>20</v>
      </c>
      <c r="J2563" s="138" t="s">
        <v>1292</v>
      </c>
      <c r="K2563" s="138" t="s">
        <v>1292</v>
      </c>
      <c r="L2563" s="138" t="s">
        <v>1292</v>
      </c>
      <c r="M2563" s="48"/>
      <c r="N2563" s="94" t="s">
        <v>1292</v>
      </c>
      <c r="P2563" t="str">
        <f>VLOOKUP(B2563,PTN!A:B,2,FALSE)</f>
        <v>UNIVERSITAS SAM RATULANGI</v>
      </c>
      <c r="Q2563" t="str">
        <f t="shared" ref="Q2563:Q2626" si="40">P2563&amp;D2563</f>
        <v>UNIVERSITAS SAM RATULANGIINFORMATIKA</v>
      </c>
    </row>
    <row r="2564" spans="1:17" ht="15.75" thickBot="1" x14ac:dyDescent="0.3">
      <c r="A2564" s="7">
        <v>2563</v>
      </c>
      <c r="B2564" s="6">
        <v>73</v>
      </c>
      <c r="C2564" s="51">
        <v>7211255</v>
      </c>
      <c r="D2564" t="s">
        <v>81</v>
      </c>
      <c r="E2564" s="51">
        <v>15</v>
      </c>
      <c r="F2564" s="10" t="s">
        <v>20</v>
      </c>
      <c r="J2564" s="138" t="s">
        <v>1292</v>
      </c>
      <c r="K2564" s="138" t="s">
        <v>1292</v>
      </c>
      <c r="L2564" s="138" t="s">
        <v>1292</v>
      </c>
      <c r="M2564" s="51"/>
      <c r="N2564" s="95" t="s">
        <v>1292</v>
      </c>
      <c r="P2564" t="str">
        <f>VLOOKUP(B2564,PTN!A:B,2,FALSE)</f>
        <v>UNIVERSITAS SAM RATULANGI</v>
      </c>
      <c r="Q2564" t="str">
        <f t="shared" si="40"/>
        <v>UNIVERSITAS SAM RATULANGIKEHUTANAN</v>
      </c>
    </row>
    <row r="2565" spans="1:17" ht="15.75" thickBot="1" x14ac:dyDescent="0.3">
      <c r="A2565" s="7">
        <v>2564</v>
      </c>
      <c r="B2565" s="6">
        <v>73</v>
      </c>
      <c r="C2565" s="48">
        <v>7211151</v>
      </c>
      <c r="D2565" t="s">
        <v>22</v>
      </c>
      <c r="E2565" s="48">
        <v>18</v>
      </c>
      <c r="F2565" s="10" t="s">
        <v>20</v>
      </c>
      <c r="J2565" s="138" t="s">
        <v>1292</v>
      </c>
      <c r="K2565" s="138" t="s">
        <v>1292</v>
      </c>
      <c r="L2565" s="138" t="s">
        <v>1292</v>
      </c>
      <c r="M2565" s="48"/>
      <c r="N2565" s="94" t="s">
        <v>1292</v>
      </c>
      <c r="P2565" t="str">
        <f>VLOOKUP(B2565,PTN!A:B,2,FALSE)</f>
        <v>UNIVERSITAS SAM RATULANGI</v>
      </c>
      <c r="Q2565" t="str">
        <f t="shared" si="40"/>
        <v>UNIVERSITAS SAM RATULANGIKIMIA</v>
      </c>
    </row>
    <row r="2566" spans="1:17" ht="15.75" thickBot="1" x14ac:dyDescent="0.3">
      <c r="A2566" s="7">
        <v>2565</v>
      </c>
      <c r="B2566" s="6">
        <v>73</v>
      </c>
      <c r="C2566" s="51">
        <v>7211201</v>
      </c>
      <c r="D2566" t="s">
        <v>213</v>
      </c>
      <c r="E2566" s="51">
        <v>13</v>
      </c>
      <c r="F2566" s="10" t="s">
        <v>20</v>
      </c>
      <c r="J2566" s="138" t="s">
        <v>1292</v>
      </c>
      <c r="K2566" s="138" t="s">
        <v>1292</v>
      </c>
      <c r="L2566" s="138" t="s">
        <v>1292</v>
      </c>
      <c r="M2566" s="51"/>
      <c r="N2566" s="95" t="s">
        <v>1292</v>
      </c>
      <c r="P2566" t="str">
        <f>VLOOKUP(B2566,PTN!A:B,2,FALSE)</f>
        <v>UNIVERSITAS SAM RATULANGI</v>
      </c>
      <c r="Q2566" t="str">
        <f t="shared" si="40"/>
        <v>UNIVERSITAS SAM RATULANGIMANAJEMEN SUMBERDAYA PERAIRAN</v>
      </c>
    </row>
    <row r="2567" spans="1:17" ht="15.75" thickBot="1" x14ac:dyDescent="0.3">
      <c r="A2567" s="7">
        <v>2566</v>
      </c>
      <c r="B2567" s="6">
        <v>73</v>
      </c>
      <c r="C2567" s="48">
        <v>7211127</v>
      </c>
      <c r="D2567" t="s">
        <v>66</v>
      </c>
      <c r="E2567" s="48">
        <v>30</v>
      </c>
      <c r="F2567" s="10" t="s">
        <v>20</v>
      </c>
      <c r="J2567" s="138" t="s">
        <v>1292</v>
      </c>
      <c r="K2567" s="138" t="s">
        <v>1292</v>
      </c>
      <c r="L2567" s="138" t="s">
        <v>1292</v>
      </c>
      <c r="M2567" s="48"/>
      <c r="N2567" s="94" t="s">
        <v>1292</v>
      </c>
      <c r="P2567" t="str">
        <f>VLOOKUP(B2567,PTN!A:B,2,FALSE)</f>
        <v>UNIVERSITAS SAM RATULANGI</v>
      </c>
      <c r="Q2567" t="str">
        <f t="shared" si="40"/>
        <v>UNIVERSITAS SAM RATULANGIMATEMATIKA</v>
      </c>
    </row>
    <row r="2568" spans="1:17" ht="15.75" thickBot="1" x14ac:dyDescent="0.3">
      <c r="A2568" s="7">
        <v>2567</v>
      </c>
      <c r="B2568" s="6">
        <v>73</v>
      </c>
      <c r="C2568" s="51">
        <v>7211247</v>
      </c>
      <c r="D2568" t="s">
        <v>83</v>
      </c>
      <c r="E2568" s="51">
        <v>13</v>
      </c>
      <c r="F2568" s="10" t="s">
        <v>20</v>
      </c>
      <c r="J2568" s="138" t="s">
        <v>1292</v>
      </c>
      <c r="K2568" s="138" t="s">
        <v>1292</v>
      </c>
      <c r="L2568" s="138" t="s">
        <v>1292</v>
      </c>
      <c r="M2568" s="51"/>
      <c r="N2568" s="95" t="s">
        <v>1292</v>
      </c>
      <c r="P2568" t="str">
        <f>VLOOKUP(B2568,PTN!A:B,2,FALSE)</f>
        <v>UNIVERSITAS SAM RATULANGI</v>
      </c>
      <c r="Q2568" t="str">
        <f t="shared" si="40"/>
        <v>UNIVERSITAS SAM RATULANGIPEMANFAATAN SUMBERDAYA PERIKANAN</v>
      </c>
    </row>
    <row r="2569" spans="1:17" ht="15.75" thickBot="1" x14ac:dyDescent="0.3">
      <c r="A2569" s="7">
        <v>2568</v>
      </c>
      <c r="B2569" s="6">
        <v>73</v>
      </c>
      <c r="C2569" s="48">
        <v>7211015</v>
      </c>
      <c r="D2569" t="s">
        <v>41</v>
      </c>
      <c r="E2569" s="48">
        <v>38</v>
      </c>
      <c r="F2569" s="10" t="s">
        <v>20</v>
      </c>
      <c r="J2569" s="138">
        <v>646.02</v>
      </c>
      <c r="K2569" s="138">
        <v>654.67499999999995</v>
      </c>
      <c r="L2569" s="138">
        <v>637.36500000000001</v>
      </c>
      <c r="M2569" s="48"/>
      <c r="N2569" s="94">
        <v>646.02</v>
      </c>
      <c r="P2569" t="str">
        <f>VLOOKUP(B2569,PTN!A:B,2,FALSE)</f>
        <v>UNIVERSITAS SAM RATULANGI</v>
      </c>
      <c r="Q2569" t="str">
        <f t="shared" si="40"/>
        <v>UNIVERSITAS SAM RATULANGIPENDIDIKAN DOKTER</v>
      </c>
    </row>
    <row r="2570" spans="1:17" ht="15.75" thickBot="1" x14ac:dyDescent="0.3">
      <c r="A2570" s="7">
        <v>2569</v>
      </c>
      <c r="B2570" s="6">
        <v>73</v>
      </c>
      <c r="C2570" s="51">
        <v>7211023</v>
      </c>
      <c r="D2570" t="s">
        <v>85</v>
      </c>
      <c r="E2570" s="51">
        <v>7</v>
      </c>
      <c r="F2570" s="10" t="s">
        <v>20</v>
      </c>
      <c r="J2570" s="138">
        <v>595.66999999999996</v>
      </c>
      <c r="K2570" s="138">
        <v>600.99</v>
      </c>
      <c r="L2570" s="138">
        <v>590.34999999999991</v>
      </c>
      <c r="M2570" s="51"/>
      <c r="N2570" s="95">
        <v>595.66999999999996</v>
      </c>
      <c r="P2570" t="str">
        <f>VLOOKUP(B2570,PTN!A:B,2,FALSE)</f>
        <v>UNIVERSITAS SAM RATULANGI</v>
      </c>
      <c r="Q2570" t="str">
        <f t="shared" si="40"/>
        <v>UNIVERSITAS SAM RATULANGIPENDIDIKAN DOKTER GIGI</v>
      </c>
    </row>
    <row r="2571" spans="1:17" ht="15.75" thickBot="1" x14ac:dyDescent="0.3">
      <c r="A2571" s="7">
        <v>2570</v>
      </c>
      <c r="B2571" s="6">
        <v>73</v>
      </c>
      <c r="C2571" s="48">
        <v>7211093</v>
      </c>
      <c r="D2571" t="s">
        <v>87</v>
      </c>
      <c r="E2571" s="48">
        <v>20</v>
      </c>
      <c r="F2571" s="10" t="s">
        <v>20</v>
      </c>
      <c r="J2571" s="138" t="s">
        <v>1292</v>
      </c>
      <c r="K2571" s="138" t="s">
        <v>1292</v>
      </c>
      <c r="L2571" s="138" t="s">
        <v>1292</v>
      </c>
      <c r="M2571" s="48"/>
      <c r="N2571" s="94" t="s">
        <v>1292</v>
      </c>
      <c r="P2571" t="str">
        <f>VLOOKUP(B2571,PTN!A:B,2,FALSE)</f>
        <v>UNIVERSITAS SAM RATULANGI</v>
      </c>
      <c r="Q2571" t="str">
        <f t="shared" si="40"/>
        <v>UNIVERSITAS SAM RATULANGIPERENCANAAN WILAYAH DAN KOTA</v>
      </c>
    </row>
    <row r="2572" spans="1:17" ht="15.75" thickBot="1" x14ac:dyDescent="0.3">
      <c r="A2572" s="7">
        <v>2571</v>
      </c>
      <c r="B2572" s="6">
        <v>73</v>
      </c>
      <c r="C2572" s="51">
        <v>7211182</v>
      </c>
      <c r="D2572" t="s">
        <v>88</v>
      </c>
      <c r="E2572" s="51">
        <v>55</v>
      </c>
      <c r="F2572" s="10" t="s">
        <v>20</v>
      </c>
      <c r="J2572" s="138" t="s">
        <v>1292</v>
      </c>
      <c r="K2572" s="138" t="s">
        <v>1292</v>
      </c>
      <c r="L2572" s="138" t="s">
        <v>1292</v>
      </c>
      <c r="M2572" s="21"/>
      <c r="N2572" s="83" t="s">
        <v>1292</v>
      </c>
      <c r="P2572" t="str">
        <f>VLOOKUP(B2572,PTN!A:B,2,FALSE)</f>
        <v>UNIVERSITAS SAM RATULANGI</v>
      </c>
      <c r="Q2572" t="str">
        <f t="shared" si="40"/>
        <v>UNIVERSITAS SAM RATULANGIPETERNAKAN</v>
      </c>
    </row>
    <row r="2573" spans="1:17" ht="15.75" thickBot="1" x14ac:dyDescent="0.3">
      <c r="A2573" s="7">
        <v>2572</v>
      </c>
      <c r="B2573" s="6">
        <v>73</v>
      </c>
      <c r="C2573" s="48">
        <v>7211321</v>
      </c>
      <c r="D2573" t="s">
        <v>89</v>
      </c>
      <c r="E2573" s="48">
        <v>13</v>
      </c>
      <c r="F2573" s="10" t="s">
        <v>20</v>
      </c>
      <c r="J2573" s="138" t="s">
        <v>1292</v>
      </c>
      <c r="K2573" s="138" t="s">
        <v>1292</v>
      </c>
      <c r="L2573" s="138" t="s">
        <v>1292</v>
      </c>
      <c r="M2573" s="21"/>
      <c r="N2573" s="83" t="s">
        <v>1292</v>
      </c>
      <c r="P2573" t="str">
        <f>VLOOKUP(B2573,PTN!A:B,2,FALSE)</f>
        <v>UNIVERSITAS SAM RATULANGI</v>
      </c>
      <c r="Q2573" t="str">
        <f t="shared" si="40"/>
        <v>UNIVERSITAS SAM RATULANGIPROTEKSI TANAMAN</v>
      </c>
    </row>
    <row r="2574" spans="1:17" ht="16.5" thickTop="1" thickBot="1" x14ac:dyDescent="0.3">
      <c r="A2574" s="7">
        <v>2573</v>
      </c>
      <c r="B2574" s="6">
        <v>73</v>
      </c>
      <c r="C2574" s="51">
        <v>7211294</v>
      </c>
      <c r="D2574" t="s">
        <v>46</v>
      </c>
      <c r="E2574" s="51">
        <v>20</v>
      </c>
      <c r="F2574" s="10" t="s">
        <v>20</v>
      </c>
      <c r="J2574" s="138" t="s">
        <v>1292</v>
      </c>
      <c r="K2574" s="138" t="s">
        <v>1292</v>
      </c>
      <c r="L2574" s="138" t="s">
        <v>1292</v>
      </c>
      <c r="M2574" s="24"/>
      <c r="N2574" s="84" t="s">
        <v>1292</v>
      </c>
      <c r="P2574" t="str">
        <f>VLOOKUP(B2574,PTN!A:B,2,FALSE)</f>
        <v>UNIVERSITAS SAM RATULANGI</v>
      </c>
      <c r="Q2574" t="str">
        <f t="shared" si="40"/>
        <v>UNIVERSITAS SAM RATULANGISISTEM INFORMASI</v>
      </c>
    </row>
    <row r="2575" spans="1:17" ht="16.5" thickTop="1" thickBot="1" x14ac:dyDescent="0.3">
      <c r="A2575" s="7">
        <v>2574</v>
      </c>
      <c r="B2575" s="6">
        <v>73</v>
      </c>
      <c r="C2575" s="48">
        <v>7211054</v>
      </c>
      <c r="D2575" t="s">
        <v>48</v>
      </c>
      <c r="E2575" s="48">
        <v>20</v>
      </c>
      <c r="F2575" s="10" t="s">
        <v>20</v>
      </c>
      <c r="J2575" s="138" t="s">
        <v>1292</v>
      </c>
      <c r="K2575" s="138" t="s">
        <v>1292</v>
      </c>
      <c r="L2575" s="138" t="s">
        <v>1292</v>
      </c>
      <c r="M2575" s="12"/>
      <c r="N2575" s="88" t="s">
        <v>1292</v>
      </c>
      <c r="P2575" t="str">
        <f>VLOOKUP(B2575,PTN!A:B,2,FALSE)</f>
        <v>UNIVERSITAS SAM RATULANGI</v>
      </c>
      <c r="Q2575" t="str">
        <f t="shared" si="40"/>
        <v>UNIVERSITAS SAM RATULANGITEKNIK ELEKTRO</v>
      </c>
    </row>
    <row r="2576" spans="1:17" ht="15.75" thickBot="1" x14ac:dyDescent="0.3">
      <c r="A2576" s="7">
        <v>2575</v>
      </c>
      <c r="B2576" s="6">
        <v>73</v>
      </c>
      <c r="C2576" s="51">
        <v>7211286</v>
      </c>
      <c r="D2576" t="s">
        <v>25</v>
      </c>
      <c r="E2576" s="51">
        <v>10</v>
      </c>
      <c r="F2576" s="10" t="s">
        <v>20</v>
      </c>
      <c r="J2576" s="138" t="s">
        <v>1292</v>
      </c>
      <c r="K2576" s="138" t="s">
        <v>1292</v>
      </c>
      <c r="L2576" s="138" t="s">
        <v>1292</v>
      </c>
      <c r="M2576" s="13"/>
      <c r="N2576" s="89" t="s">
        <v>1292</v>
      </c>
      <c r="P2576" t="str">
        <f>VLOOKUP(B2576,PTN!A:B,2,FALSE)</f>
        <v>UNIVERSITAS SAM RATULANGI</v>
      </c>
      <c r="Q2576" t="str">
        <f t="shared" si="40"/>
        <v>UNIVERSITAS SAM RATULANGITEKNIK LINGKUNGAN</v>
      </c>
    </row>
    <row r="2577" spans="1:17" ht="15.75" thickBot="1" x14ac:dyDescent="0.3">
      <c r="A2577" s="7">
        <v>2576</v>
      </c>
      <c r="B2577" s="6">
        <v>73</v>
      </c>
      <c r="C2577" s="48">
        <v>7211062</v>
      </c>
      <c r="D2577" t="s">
        <v>53</v>
      </c>
      <c r="E2577" s="48">
        <v>15</v>
      </c>
      <c r="F2577" s="10" t="s">
        <v>20</v>
      </c>
      <c r="J2577" s="138">
        <v>550</v>
      </c>
      <c r="K2577" s="138" t="s">
        <v>1292</v>
      </c>
      <c r="L2577" s="138" t="s">
        <v>1292</v>
      </c>
      <c r="M2577" s="12"/>
      <c r="N2577" s="88">
        <v>550</v>
      </c>
      <c r="P2577" t="str">
        <f>VLOOKUP(B2577,PTN!A:B,2,FALSE)</f>
        <v>UNIVERSITAS SAM RATULANGI</v>
      </c>
      <c r="Q2577" t="str">
        <f t="shared" si="40"/>
        <v>UNIVERSITAS SAM RATULANGITEKNIK MESIN</v>
      </c>
    </row>
    <row r="2578" spans="1:17" ht="15.75" thickBot="1" x14ac:dyDescent="0.3">
      <c r="A2578" s="7">
        <v>2577</v>
      </c>
      <c r="B2578" s="6">
        <v>73</v>
      </c>
      <c r="C2578" s="51">
        <v>7211104</v>
      </c>
      <c r="D2578" t="s">
        <v>95</v>
      </c>
      <c r="E2578" s="51">
        <v>20</v>
      </c>
      <c r="F2578" s="10" t="s">
        <v>20</v>
      </c>
      <c r="J2578" s="138" t="s">
        <v>1292</v>
      </c>
      <c r="K2578" s="138" t="s">
        <v>1292</v>
      </c>
      <c r="L2578" s="138" t="s">
        <v>1292</v>
      </c>
      <c r="M2578" s="13"/>
      <c r="N2578" s="89" t="s">
        <v>1292</v>
      </c>
      <c r="P2578" t="str">
        <f>VLOOKUP(B2578,PTN!A:B,2,FALSE)</f>
        <v>UNIVERSITAS SAM RATULANGI</v>
      </c>
      <c r="Q2578" t="str">
        <f t="shared" si="40"/>
        <v>UNIVERSITAS SAM RATULANGITEKNIK PERTANIAN</v>
      </c>
    </row>
    <row r="2579" spans="1:17" ht="15.75" thickBot="1" x14ac:dyDescent="0.3">
      <c r="A2579" s="7">
        <v>2578</v>
      </c>
      <c r="B2579" s="6">
        <v>73</v>
      </c>
      <c r="C2579" s="48">
        <v>7211077</v>
      </c>
      <c r="D2579" t="s">
        <v>54</v>
      </c>
      <c r="E2579" s="48">
        <v>30</v>
      </c>
      <c r="F2579" s="10" t="s">
        <v>20</v>
      </c>
      <c r="J2579" s="138" t="s">
        <v>1292</v>
      </c>
      <c r="K2579" s="138" t="s">
        <v>1292</v>
      </c>
      <c r="L2579" s="138" t="s">
        <v>1292</v>
      </c>
      <c r="M2579" s="12"/>
      <c r="N2579" s="88" t="s">
        <v>1292</v>
      </c>
      <c r="P2579" t="str">
        <f>VLOOKUP(B2579,PTN!A:B,2,FALSE)</f>
        <v>UNIVERSITAS SAM RATULANGI</v>
      </c>
      <c r="Q2579" t="str">
        <f t="shared" si="40"/>
        <v>UNIVERSITAS SAM RATULANGITEKNIK SIPIL</v>
      </c>
    </row>
    <row r="2580" spans="1:17" ht="15.75" thickBot="1" x14ac:dyDescent="0.3">
      <c r="A2580" s="7">
        <v>2579</v>
      </c>
      <c r="B2580" s="6">
        <v>73</v>
      </c>
      <c r="C2580" s="57">
        <v>7211224</v>
      </c>
      <c r="D2580" t="s">
        <v>222</v>
      </c>
      <c r="E2580" s="57">
        <v>13</v>
      </c>
      <c r="F2580" s="10" t="s">
        <v>20</v>
      </c>
      <c r="J2580" s="138" t="s">
        <v>1292</v>
      </c>
      <c r="K2580" s="138" t="s">
        <v>1292</v>
      </c>
      <c r="L2580" s="138" t="s">
        <v>1292</v>
      </c>
      <c r="M2580" s="13"/>
      <c r="N2580" s="89" t="s">
        <v>1292</v>
      </c>
      <c r="P2580" t="str">
        <f>VLOOKUP(B2580,PTN!A:B,2,FALSE)</f>
        <v>UNIVERSITAS SAM RATULANGI</v>
      </c>
      <c r="Q2580" t="str">
        <f t="shared" si="40"/>
        <v>UNIVERSITAS SAM RATULANGITEKNOLOGI HASIL PERIKANAN</v>
      </c>
    </row>
    <row r="2581" spans="1:17" ht="16.5" thickTop="1" thickBot="1" x14ac:dyDescent="0.3">
      <c r="A2581" s="7">
        <v>2580</v>
      </c>
      <c r="B2581" s="6">
        <v>73</v>
      </c>
      <c r="C2581" s="12">
        <v>7212034</v>
      </c>
      <c r="D2581" t="s">
        <v>55</v>
      </c>
      <c r="E2581" s="12">
        <v>63</v>
      </c>
      <c r="F2581" s="10" t="s">
        <v>13</v>
      </c>
      <c r="J2581" s="138" t="s">
        <v>1292</v>
      </c>
      <c r="K2581" s="138" t="s">
        <v>1292</v>
      </c>
      <c r="L2581" s="138" t="s">
        <v>1292</v>
      </c>
      <c r="M2581" s="12"/>
      <c r="N2581" s="88" t="s">
        <v>1292</v>
      </c>
      <c r="P2581" t="str">
        <f>VLOOKUP(B2581,PTN!A:B,2,FALSE)</f>
        <v>UNIVERSITAS SAM RATULANGI</v>
      </c>
      <c r="Q2581" t="str">
        <f t="shared" si="40"/>
        <v>UNIVERSITAS SAM RATULANGIAKUNTANSI</v>
      </c>
    </row>
    <row r="2582" spans="1:17" ht="15.75" thickBot="1" x14ac:dyDescent="0.3">
      <c r="A2582" s="7">
        <v>2581</v>
      </c>
      <c r="B2582" s="6">
        <v>73</v>
      </c>
      <c r="C2582" s="13">
        <v>7212162</v>
      </c>
      <c r="D2582" t="s">
        <v>144</v>
      </c>
      <c r="E2582" s="13">
        <v>13</v>
      </c>
      <c r="F2582" s="10" t="s">
        <v>13</v>
      </c>
      <c r="J2582" s="138" t="s">
        <v>1292</v>
      </c>
      <c r="K2582" s="138" t="s">
        <v>1292</v>
      </c>
      <c r="L2582" s="138" t="s">
        <v>1292</v>
      </c>
      <c r="M2582" s="13"/>
      <c r="N2582" s="89" t="s">
        <v>1292</v>
      </c>
      <c r="P2582" t="str">
        <f>VLOOKUP(B2582,PTN!A:B,2,FALSE)</f>
        <v>UNIVERSITAS SAM RATULANGI</v>
      </c>
      <c r="Q2582" t="str">
        <f t="shared" si="40"/>
        <v>UNIVERSITAS SAM RATULANGIANTROPOLOGI SOSIAL</v>
      </c>
    </row>
    <row r="2583" spans="1:17" ht="15.75" thickBot="1" x14ac:dyDescent="0.3">
      <c r="A2583" s="7">
        <v>2582</v>
      </c>
      <c r="B2583" s="6">
        <v>73</v>
      </c>
      <c r="C2583" s="12">
        <v>7212011</v>
      </c>
      <c r="D2583" t="s">
        <v>666</v>
      </c>
      <c r="E2583" s="12">
        <v>38</v>
      </c>
      <c r="F2583" s="10" t="s">
        <v>13</v>
      </c>
      <c r="J2583" s="138" t="s">
        <v>1292</v>
      </c>
      <c r="K2583" s="138" t="s">
        <v>1292</v>
      </c>
      <c r="L2583" s="138" t="s">
        <v>1292</v>
      </c>
      <c r="M2583" s="12"/>
      <c r="N2583" s="88" t="s">
        <v>1292</v>
      </c>
      <c r="P2583" t="str">
        <f>VLOOKUP(B2583,PTN!A:B,2,FALSE)</f>
        <v>UNIVERSITAS SAM RATULANGI</v>
      </c>
      <c r="Q2583" t="str">
        <f t="shared" si="40"/>
        <v>UNIVERSITAS SAM RATULANGIEKONOMI PEMBANGNAN</v>
      </c>
    </row>
    <row r="2584" spans="1:17" ht="15.75" thickBot="1" x14ac:dyDescent="0.3">
      <c r="A2584" s="7">
        <v>2583</v>
      </c>
      <c r="B2584" s="6">
        <v>73</v>
      </c>
      <c r="C2584" s="13">
        <v>7212057</v>
      </c>
      <c r="D2584" t="s">
        <v>389</v>
      </c>
      <c r="E2584" s="13">
        <v>25</v>
      </c>
      <c r="F2584" s="10" t="s">
        <v>13</v>
      </c>
      <c r="J2584" s="138" t="s">
        <v>1292</v>
      </c>
      <c r="K2584" s="138" t="s">
        <v>1292</v>
      </c>
      <c r="L2584" s="138" t="s">
        <v>1292</v>
      </c>
      <c r="M2584" s="13"/>
      <c r="N2584" s="89" t="s">
        <v>1292</v>
      </c>
      <c r="P2584" t="str">
        <f>VLOOKUP(B2584,PTN!A:B,2,FALSE)</f>
        <v>UNIVERSITAS SAM RATULANGI</v>
      </c>
      <c r="Q2584" t="str">
        <f t="shared" si="40"/>
        <v>UNIVERSITAS SAM RATULANGIILMU ADMINISTRASI BISNIS</v>
      </c>
    </row>
    <row r="2585" spans="1:17" ht="15.75" thickBot="1" x14ac:dyDescent="0.3">
      <c r="A2585" s="7">
        <v>2584</v>
      </c>
      <c r="B2585" s="6">
        <v>73</v>
      </c>
      <c r="C2585" s="12">
        <v>7212042</v>
      </c>
      <c r="D2585" t="s">
        <v>29</v>
      </c>
      <c r="E2585" s="12">
        <v>25</v>
      </c>
      <c r="F2585" s="10" t="s">
        <v>13</v>
      </c>
      <c r="J2585" s="138" t="s">
        <v>1292</v>
      </c>
      <c r="K2585" s="138" t="s">
        <v>1292</v>
      </c>
      <c r="L2585" s="138" t="s">
        <v>1292</v>
      </c>
      <c r="M2585" s="12"/>
      <c r="N2585" s="88" t="s">
        <v>1292</v>
      </c>
      <c r="P2585" t="str">
        <f>VLOOKUP(B2585,PTN!A:B,2,FALSE)</f>
        <v>UNIVERSITAS SAM RATULANGI</v>
      </c>
      <c r="Q2585" t="str">
        <f t="shared" si="40"/>
        <v>UNIVERSITAS SAM RATULANGIILMU ADMINISTRASI NEGARA</v>
      </c>
    </row>
    <row r="2586" spans="1:17" ht="15.75" thickBot="1" x14ac:dyDescent="0.3">
      <c r="A2586" s="7">
        <v>2585</v>
      </c>
      <c r="B2586" s="6">
        <v>73</v>
      </c>
      <c r="C2586" s="13">
        <v>7212115</v>
      </c>
      <c r="D2586" t="s">
        <v>31</v>
      </c>
      <c r="E2586" s="13">
        <v>180</v>
      </c>
      <c r="F2586" s="10" t="s">
        <v>13</v>
      </c>
      <c r="J2586" s="138" t="s">
        <v>1292</v>
      </c>
      <c r="K2586" s="138" t="s">
        <v>1292</v>
      </c>
      <c r="L2586" s="138" t="s">
        <v>1292</v>
      </c>
      <c r="M2586" s="13"/>
      <c r="N2586" s="89" t="s">
        <v>1292</v>
      </c>
      <c r="P2586" t="str">
        <f>VLOOKUP(B2586,PTN!A:B,2,FALSE)</f>
        <v>UNIVERSITAS SAM RATULANGI</v>
      </c>
      <c r="Q2586" t="str">
        <f t="shared" si="40"/>
        <v>UNIVERSITAS SAM RATULANGIILMU HUKUM</v>
      </c>
    </row>
    <row r="2587" spans="1:17" ht="15.75" thickBot="1" x14ac:dyDescent="0.3">
      <c r="A2587" s="7">
        <v>2586</v>
      </c>
      <c r="B2587" s="6">
        <v>73</v>
      </c>
      <c r="C2587" s="12">
        <v>7212096</v>
      </c>
      <c r="D2587" t="s">
        <v>60</v>
      </c>
      <c r="E2587" s="12">
        <v>25</v>
      </c>
      <c r="F2587" s="10" t="s">
        <v>13</v>
      </c>
      <c r="J2587" s="138" t="s">
        <v>1292</v>
      </c>
      <c r="K2587" s="138" t="s">
        <v>1292</v>
      </c>
      <c r="L2587" s="138" t="s">
        <v>1292</v>
      </c>
      <c r="M2587" s="12"/>
      <c r="N2587" s="88" t="s">
        <v>1292</v>
      </c>
      <c r="P2587" t="str">
        <f>VLOOKUP(B2587,PTN!A:B,2,FALSE)</f>
        <v>UNIVERSITAS SAM RATULANGI</v>
      </c>
      <c r="Q2587" t="str">
        <f t="shared" si="40"/>
        <v>UNIVERSITAS SAM RATULANGIILMU KOMUNIKASI</v>
      </c>
    </row>
    <row r="2588" spans="1:17" ht="15.75" thickBot="1" x14ac:dyDescent="0.3">
      <c r="A2588" s="7">
        <v>2587</v>
      </c>
      <c r="B2588" s="6">
        <v>73</v>
      </c>
      <c r="C2588" s="13">
        <v>7212065</v>
      </c>
      <c r="D2588" t="s">
        <v>97</v>
      </c>
      <c r="E2588" s="13">
        <v>25</v>
      </c>
      <c r="F2588" s="10" t="s">
        <v>13</v>
      </c>
      <c r="J2588" s="138" t="s">
        <v>1292</v>
      </c>
      <c r="K2588" s="138" t="s">
        <v>1292</v>
      </c>
      <c r="L2588" s="138" t="s">
        <v>1292</v>
      </c>
      <c r="M2588" s="13"/>
      <c r="N2588" s="89" t="s">
        <v>1292</v>
      </c>
      <c r="P2588" t="str">
        <f>VLOOKUP(B2588,PTN!A:B,2,FALSE)</f>
        <v>UNIVERSITAS SAM RATULANGI</v>
      </c>
      <c r="Q2588" t="str">
        <f t="shared" si="40"/>
        <v>UNIVERSITAS SAM RATULANGIILMU PEMERINTAHAN</v>
      </c>
    </row>
    <row r="2589" spans="1:17" ht="15.75" thickBot="1" x14ac:dyDescent="0.3">
      <c r="A2589" s="7">
        <v>2588</v>
      </c>
      <c r="B2589" s="6">
        <v>73</v>
      </c>
      <c r="C2589" s="12">
        <v>7212107</v>
      </c>
      <c r="D2589" t="s">
        <v>32</v>
      </c>
      <c r="E2589" s="12">
        <v>13</v>
      </c>
      <c r="F2589" s="10" t="s">
        <v>13</v>
      </c>
      <c r="J2589" s="138" t="s">
        <v>1292</v>
      </c>
      <c r="K2589" s="138" t="s">
        <v>1292</v>
      </c>
      <c r="L2589" s="138" t="s">
        <v>1292</v>
      </c>
      <c r="M2589" s="12"/>
      <c r="N2589" s="88" t="s">
        <v>1292</v>
      </c>
      <c r="P2589" t="str">
        <f>VLOOKUP(B2589,PTN!A:B,2,FALSE)</f>
        <v>UNIVERSITAS SAM RATULANGI</v>
      </c>
      <c r="Q2589" t="str">
        <f t="shared" si="40"/>
        <v>UNIVERSITAS SAM RATULANGIILMU PERPUSTAKAAN</v>
      </c>
    </row>
    <row r="2590" spans="1:17" ht="15.75" thickBot="1" x14ac:dyDescent="0.3">
      <c r="A2590" s="7">
        <v>2589</v>
      </c>
      <c r="B2590" s="6">
        <v>73</v>
      </c>
      <c r="C2590" s="13">
        <v>7212073</v>
      </c>
      <c r="D2590" t="s">
        <v>33</v>
      </c>
      <c r="E2590" s="13">
        <v>19</v>
      </c>
      <c r="F2590" s="10" t="s">
        <v>13</v>
      </c>
      <c r="J2590" s="138" t="s">
        <v>1292</v>
      </c>
      <c r="K2590" s="138" t="s">
        <v>1292</v>
      </c>
      <c r="L2590" s="138" t="s">
        <v>1292</v>
      </c>
      <c r="M2590" s="16"/>
      <c r="N2590" s="96" t="s">
        <v>1292</v>
      </c>
      <c r="P2590" t="str">
        <f>VLOOKUP(B2590,PTN!A:B,2,FALSE)</f>
        <v>UNIVERSITAS SAM RATULANGI</v>
      </c>
      <c r="Q2590" t="str">
        <f t="shared" si="40"/>
        <v>UNIVERSITAS SAM RATULANGIILMU POLITIK</v>
      </c>
    </row>
    <row r="2591" spans="1:17" ht="16.5" thickTop="1" thickBot="1" x14ac:dyDescent="0.3">
      <c r="A2591" s="7">
        <v>2590</v>
      </c>
      <c r="B2591" s="6">
        <v>73</v>
      </c>
      <c r="C2591" s="12">
        <v>7212154</v>
      </c>
      <c r="D2591" t="s">
        <v>148</v>
      </c>
      <c r="E2591" s="12">
        <v>8</v>
      </c>
      <c r="F2591" s="10" t="s">
        <v>13</v>
      </c>
      <c r="J2591" s="138" t="s">
        <v>1292</v>
      </c>
      <c r="K2591" s="138" t="s">
        <v>1292</v>
      </c>
      <c r="L2591" s="138" t="s">
        <v>1292</v>
      </c>
      <c r="N2591" s="83" t="s">
        <v>1292</v>
      </c>
      <c r="P2591" t="str">
        <f>VLOOKUP(B2591,PTN!A:B,2,FALSE)</f>
        <v>UNIVERSITAS SAM RATULANGI</v>
      </c>
      <c r="Q2591" t="str">
        <f t="shared" si="40"/>
        <v>UNIVERSITAS SAM RATULANGIILMU SEJARAH</v>
      </c>
    </row>
    <row r="2592" spans="1:17" ht="15.75" thickBot="1" x14ac:dyDescent="0.3">
      <c r="A2592" s="7">
        <v>2591</v>
      </c>
      <c r="B2592" s="6">
        <v>73</v>
      </c>
      <c r="C2592" s="13">
        <v>7212026</v>
      </c>
      <c r="D2592" t="s">
        <v>61</v>
      </c>
      <c r="E2592" s="13">
        <v>100</v>
      </c>
      <c r="F2592" s="10" t="s">
        <v>13</v>
      </c>
      <c r="J2592" s="138" t="s">
        <v>1292</v>
      </c>
      <c r="K2592" s="138" t="s">
        <v>1292</v>
      </c>
      <c r="L2592" s="138" t="s">
        <v>1292</v>
      </c>
      <c r="N2592" s="83" t="s">
        <v>1292</v>
      </c>
      <c r="P2592" t="str">
        <f>VLOOKUP(B2592,PTN!A:B,2,FALSE)</f>
        <v>UNIVERSITAS SAM RATULANGI</v>
      </c>
      <c r="Q2592" t="str">
        <f t="shared" si="40"/>
        <v>UNIVERSITAS SAM RATULANGIMANAJEMEN</v>
      </c>
    </row>
    <row r="2593" spans="1:17" ht="15.75" thickBot="1" x14ac:dyDescent="0.3">
      <c r="A2593" s="7">
        <v>2592</v>
      </c>
      <c r="B2593" s="6">
        <v>73</v>
      </c>
      <c r="C2593" s="12">
        <v>7212123</v>
      </c>
      <c r="D2593" t="s">
        <v>62</v>
      </c>
      <c r="E2593" s="12">
        <v>9</v>
      </c>
      <c r="F2593" s="10" t="s">
        <v>13</v>
      </c>
      <c r="J2593" s="138" t="s">
        <v>1292</v>
      </c>
      <c r="K2593" s="138" t="s">
        <v>1292</v>
      </c>
      <c r="L2593" s="138" t="s">
        <v>1292</v>
      </c>
      <c r="N2593" s="83" t="s">
        <v>1292</v>
      </c>
      <c r="P2593" t="str">
        <f>VLOOKUP(B2593,PTN!A:B,2,FALSE)</f>
        <v>UNIVERSITAS SAM RATULANGI</v>
      </c>
      <c r="Q2593" t="str">
        <f t="shared" si="40"/>
        <v>UNIVERSITAS SAM RATULANGISASTRA INDONESIA</v>
      </c>
    </row>
    <row r="2594" spans="1:17" ht="15.75" thickBot="1" x14ac:dyDescent="0.3">
      <c r="A2594" s="7">
        <v>2593</v>
      </c>
      <c r="B2594" s="6">
        <v>73</v>
      </c>
      <c r="C2594" s="13">
        <v>7212131</v>
      </c>
      <c r="D2594" t="s">
        <v>139</v>
      </c>
      <c r="E2594" s="13">
        <v>50</v>
      </c>
      <c r="F2594" s="10" t="s">
        <v>13</v>
      </c>
      <c r="J2594" s="138" t="s">
        <v>1292</v>
      </c>
      <c r="K2594" s="138" t="s">
        <v>1292</v>
      </c>
      <c r="L2594" s="138" t="s">
        <v>1292</v>
      </c>
      <c r="N2594" s="83" t="s">
        <v>1292</v>
      </c>
      <c r="P2594" t="str">
        <f>VLOOKUP(B2594,PTN!A:B,2,FALSE)</f>
        <v>UNIVERSITAS SAM RATULANGI</v>
      </c>
      <c r="Q2594" t="str">
        <f t="shared" si="40"/>
        <v>UNIVERSITAS SAM RATULANGISASTRA INGGRIS</v>
      </c>
    </row>
    <row r="2595" spans="1:17" ht="15.75" thickBot="1" x14ac:dyDescent="0.3">
      <c r="A2595" s="7">
        <v>2594</v>
      </c>
      <c r="B2595" s="6">
        <v>73</v>
      </c>
      <c r="C2595" s="12">
        <v>7212146</v>
      </c>
      <c r="D2595" t="s">
        <v>307</v>
      </c>
      <c r="E2595" s="12">
        <v>8</v>
      </c>
      <c r="F2595" s="10" t="s">
        <v>13</v>
      </c>
      <c r="J2595" s="138" t="s">
        <v>1292</v>
      </c>
      <c r="K2595" s="138" t="s">
        <v>1292</v>
      </c>
      <c r="L2595" s="138" t="s">
        <v>1292</v>
      </c>
      <c r="N2595" s="83" t="s">
        <v>1292</v>
      </c>
      <c r="P2595" t="str">
        <f>VLOOKUP(B2595,PTN!A:B,2,FALSE)</f>
        <v>UNIVERSITAS SAM RATULANGI</v>
      </c>
      <c r="Q2595" t="str">
        <f t="shared" si="40"/>
        <v>UNIVERSITAS SAM RATULANGISASTRA JERMAN</v>
      </c>
    </row>
    <row r="2596" spans="1:17" ht="15.75" thickBot="1" x14ac:dyDescent="0.3">
      <c r="A2596" s="7">
        <v>2595</v>
      </c>
      <c r="B2596" s="6">
        <v>73</v>
      </c>
      <c r="C2596" s="16">
        <v>7212081</v>
      </c>
      <c r="D2596" t="s">
        <v>63</v>
      </c>
      <c r="E2596" s="16">
        <v>13</v>
      </c>
      <c r="F2596" s="10" t="s">
        <v>13</v>
      </c>
      <c r="J2596" s="138" t="s">
        <v>1292</v>
      </c>
      <c r="K2596" s="138" t="s">
        <v>1292</v>
      </c>
      <c r="L2596" s="138" t="s">
        <v>1292</v>
      </c>
      <c r="M2596" s="21"/>
      <c r="N2596" s="83" t="s">
        <v>1292</v>
      </c>
      <c r="P2596" t="str">
        <f>VLOOKUP(B2596,PTN!A:B,2,FALSE)</f>
        <v>UNIVERSITAS SAM RATULANGI</v>
      </c>
      <c r="Q2596" t="str">
        <f t="shared" si="40"/>
        <v>UNIVERSITAS SAM RATULANGISOSIOLOGI</v>
      </c>
    </row>
    <row r="2597" spans="1:17" ht="16.5" thickTop="1" thickBot="1" x14ac:dyDescent="0.3">
      <c r="A2597" s="7">
        <v>2596</v>
      </c>
      <c r="B2597" s="6">
        <v>75</v>
      </c>
      <c r="C2597" s="12">
        <v>7311071</v>
      </c>
      <c r="D2597" t="s">
        <v>37</v>
      </c>
      <c r="E2597" s="12">
        <v>60</v>
      </c>
      <c r="F2597" s="10" t="s">
        <v>20</v>
      </c>
      <c r="J2597" s="138" t="s">
        <v>1292</v>
      </c>
      <c r="K2597" s="138" t="s">
        <v>1292</v>
      </c>
      <c r="L2597" s="138" t="s">
        <v>1292</v>
      </c>
      <c r="M2597" s="21"/>
      <c r="N2597" s="83" t="s">
        <v>1292</v>
      </c>
      <c r="P2597" t="str">
        <f>VLOOKUP(B2597,PTN!A:B,2,FALSE)</f>
        <v>UNIVERSITAS TADULAKO</v>
      </c>
      <c r="Q2597" t="str">
        <f t="shared" si="40"/>
        <v>UNIVERSITAS TADULAKOAGRIBISNIS</v>
      </c>
    </row>
    <row r="2598" spans="1:17" ht="16.5" thickTop="1" thickBot="1" x14ac:dyDescent="0.3">
      <c r="A2598" s="7">
        <v>2597</v>
      </c>
      <c r="B2598" s="6">
        <v>75</v>
      </c>
      <c r="C2598" s="13">
        <v>7311055</v>
      </c>
      <c r="D2598" t="s">
        <v>64</v>
      </c>
      <c r="E2598" s="13">
        <v>90</v>
      </c>
      <c r="F2598" s="10" t="s">
        <v>20</v>
      </c>
      <c r="J2598" s="138" t="s">
        <v>1292</v>
      </c>
      <c r="K2598" s="138" t="s">
        <v>1292</v>
      </c>
      <c r="L2598" s="138" t="s">
        <v>1292</v>
      </c>
      <c r="M2598" s="24"/>
      <c r="N2598" s="84" t="s">
        <v>1292</v>
      </c>
      <c r="P2598" t="str">
        <f>VLOOKUP(B2598,PTN!A:B,2,FALSE)</f>
        <v>UNIVERSITAS TADULAKO</v>
      </c>
      <c r="Q2598" t="str">
        <f t="shared" si="40"/>
        <v>UNIVERSITAS TADULAKOAGROTEKNOLOGI</v>
      </c>
    </row>
    <row r="2599" spans="1:17" ht="16.5" thickTop="1" thickBot="1" x14ac:dyDescent="0.3">
      <c r="A2599" s="7">
        <v>2598</v>
      </c>
      <c r="B2599" s="6">
        <v>75</v>
      </c>
      <c r="C2599" s="12">
        <v>7311287</v>
      </c>
      <c r="D2599" t="s">
        <v>667</v>
      </c>
      <c r="E2599" s="12">
        <v>12</v>
      </c>
      <c r="F2599" s="10" t="s">
        <v>20</v>
      </c>
      <c r="J2599" s="138" t="s">
        <v>1292</v>
      </c>
      <c r="K2599" s="138" t="s">
        <v>1292</v>
      </c>
      <c r="L2599" s="138" t="s">
        <v>1292</v>
      </c>
      <c r="M2599" s="12"/>
      <c r="N2599" s="88" t="s">
        <v>1292</v>
      </c>
      <c r="P2599" t="str">
        <f>VLOOKUP(B2599,PTN!A:B,2,FALSE)</f>
        <v>UNIVERSITAS TADULAKO</v>
      </c>
      <c r="Q2599" t="str">
        <f t="shared" si="40"/>
        <v>UNIVERSITAS TADULAKOAGROTEKNOLOGI (PSDKU MOROWALI)</v>
      </c>
    </row>
    <row r="2600" spans="1:17" ht="15.75" thickBot="1" x14ac:dyDescent="0.3">
      <c r="A2600" s="7">
        <v>2599</v>
      </c>
      <c r="B2600" s="6">
        <v>75</v>
      </c>
      <c r="C2600" s="13">
        <v>7311306</v>
      </c>
      <c r="D2600" t="s">
        <v>668</v>
      </c>
      <c r="E2600" s="13">
        <v>10</v>
      </c>
      <c r="F2600" s="10" t="s">
        <v>20</v>
      </c>
      <c r="J2600" s="138" t="s">
        <v>1292</v>
      </c>
      <c r="K2600" s="138" t="s">
        <v>1292</v>
      </c>
      <c r="L2600" s="138" t="s">
        <v>1292</v>
      </c>
      <c r="M2600" s="13"/>
      <c r="N2600" s="89" t="s">
        <v>1292</v>
      </c>
      <c r="P2600" t="str">
        <f>VLOOKUP(B2600,PTN!A:B,2,FALSE)</f>
        <v>UNIVERSITAS TADULAKO</v>
      </c>
      <c r="Q2600" t="str">
        <f t="shared" si="40"/>
        <v>UNIVERSITAS TADULAKOAGROTEKNOLOGI (PSDKU TOUNA)</v>
      </c>
    </row>
    <row r="2601" spans="1:17" ht="15.75" thickBot="1" x14ac:dyDescent="0.3">
      <c r="A2601" s="7">
        <v>2600</v>
      </c>
      <c r="B2601" s="6">
        <v>75</v>
      </c>
      <c r="C2601" s="12">
        <v>7311175</v>
      </c>
      <c r="D2601" t="s">
        <v>21</v>
      </c>
      <c r="E2601" s="12">
        <v>16</v>
      </c>
      <c r="F2601" s="10" t="s">
        <v>20</v>
      </c>
      <c r="J2601" s="138" t="s">
        <v>1292</v>
      </c>
      <c r="K2601" s="138" t="s">
        <v>1292</v>
      </c>
      <c r="L2601" s="138" t="s">
        <v>1292</v>
      </c>
      <c r="M2601" s="12"/>
      <c r="N2601" s="88" t="s">
        <v>1292</v>
      </c>
      <c r="P2601" t="str">
        <f>VLOOKUP(B2601,PTN!A:B,2,FALSE)</f>
        <v>UNIVERSITAS TADULAKO</v>
      </c>
      <c r="Q2601" t="str">
        <f t="shared" si="40"/>
        <v>UNIVERSITAS TADULAKOBIOLOGI</v>
      </c>
    </row>
    <row r="2602" spans="1:17" ht="15.75" thickBot="1" x14ac:dyDescent="0.3">
      <c r="A2602" s="7">
        <v>2601</v>
      </c>
      <c r="B2602" s="6">
        <v>75</v>
      </c>
      <c r="C2602" s="13">
        <v>7311202</v>
      </c>
      <c r="D2602" t="s">
        <v>39</v>
      </c>
      <c r="E2602" s="13">
        <v>30</v>
      </c>
      <c r="F2602" s="10" t="s">
        <v>20</v>
      </c>
      <c r="J2602" s="138" t="s">
        <v>1292</v>
      </c>
      <c r="K2602" s="138" t="s">
        <v>1292</v>
      </c>
      <c r="L2602" s="138" t="s">
        <v>1292</v>
      </c>
      <c r="M2602" s="13"/>
      <c r="N2602" s="89" t="s">
        <v>1292</v>
      </c>
      <c r="P2602" t="str">
        <f>VLOOKUP(B2602,PTN!A:B,2,FALSE)</f>
        <v>UNIVERSITAS TADULAKO</v>
      </c>
      <c r="Q2602" t="str">
        <f t="shared" si="40"/>
        <v>UNIVERSITAS TADULAKOBUDIDAYA PERAIRAN</v>
      </c>
    </row>
    <row r="2603" spans="1:17" ht="15.75" thickBot="1" x14ac:dyDescent="0.3">
      <c r="A2603" s="7">
        <v>2602</v>
      </c>
      <c r="B2603" s="6">
        <v>75</v>
      </c>
      <c r="C2603" s="12">
        <v>7311217</v>
      </c>
      <c r="D2603" t="s">
        <v>77</v>
      </c>
      <c r="E2603" s="12">
        <v>24</v>
      </c>
      <c r="F2603" s="10" t="s">
        <v>20</v>
      </c>
      <c r="J2603" s="138" t="s">
        <v>1292</v>
      </c>
      <c r="K2603" s="138" t="s">
        <v>1292</v>
      </c>
      <c r="L2603" s="138" t="s">
        <v>1292</v>
      </c>
      <c r="M2603" s="12"/>
      <c r="N2603" s="88" t="s">
        <v>1292</v>
      </c>
      <c r="P2603" t="str">
        <f>VLOOKUP(B2603,PTN!A:B,2,FALSE)</f>
        <v>UNIVERSITAS TADULAKO</v>
      </c>
      <c r="Q2603" t="str">
        <f t="shared" si="40"/>
        <v>UNIVERSITAS TADULAKOFARMASI</v>
      </c>
    </row>
    <row r="2604" spans="1:17" ht="15.75" thickBot="1" x14ac:dyDescent="0.3">
      <c r="A2604" s="7">
        <v>2603</v>
      </c>
      <c r="B2604" s="6">
        <v>75</v>
      </c>
      <c r="C2604" s="13">
        <v>7311144</v>
      </c>
      <c r="D2604" t="s">
        <v>65</v>
      </c>
      <c r="E2604" s="13">
        <v>16</v>
      </c>
      <c r="F2604" s="10" t="s">
        <v>20</v>
      </c>
      <c r="J2604" s="138" t="s">
        <v>1292</v>
      </c>
      <c r="K2604" s="138" t="s">
        <v>1292</v>
      </c>
      <c r="L2604" s="138" t="s">
        <v>1292</v>
      </c>
      <c r="M2604" s="13"/>
      <c r="N2604" s="89" t="s">
        <v>1292</v>
      </c>
      <c r="P2604" t="str">
        <f>VLOOKUP(B2604,PTN!A:B,2,FALSE)</f>
        <v>UNIVERSITAS TADULAKO</v>
      </c>
      <c r="Q2604" t="str">
        <f t="shared" si="40"/>
        <v>UNIVERSITAS TADULAKOFISIKA</v>
      </c>
    </row>
    <row r="2605" spans="1:17" ht="15.75" thickBot="1" x14ac:dyDescent="0.3">
      <c r="A2605" s="7">
        <v>2604</v>
      </c>
      <c r="B2605" s="6">
        <v>75</v>
      </c>
      <c r="C2605" s="12">
        <v>7311264</v>
      </c>
      <c r="D2605" t="s">
        <v>113</v>
      </c>
      <c r="E2605" s="12">
        <v>21</v>
      </c>
      <c r="F2605" s="10" t="s">
        <v>20</v>
      </c>
      <c r="J2605" s="138" t="s">
        <v>1292</v>
      </c>
      <c r="K2605" s="138" t="s">
        <v>1292</v>
      </c>
      <c r="L2605" s="138" t="s">
        <v>1292</v>
      </c>
      <c r="M2605" s="12"/>
      <c r="N2605" s="88" t="s">
        <v>1292</v>
      </c>
      <c r="P2605" t="str">
        <f>VLOOKUP(B2605,PTN!A:B,2,FALSE)</f>
        <v>UNIVERSITAS TADULAKO</v>
      </c>
      <c r="Q2605" t="str">
        <f t="shared" si="40"/>
        <v>UNIVERSITAS TADULAKOGIZI</v>
      </c>
    </row>
    <row r="2606" spans="1:17" ht="15.75" thickBot="1" x14ac:dyDescent="0.3">
      <c r="A2606" s="7">
        <v>2605</v>
      </c>
      <c r="B2606" s="6">
        <v>75</v>
      </c>
      <c r="C2606" s="13">
        <v>7311063</v>
      </c>
      <c r="D2606" t="s">
        <v>81</v>
      </c>
      <c r="E2606" s="13">
        <v>120</v>
      </c>
      <c r="F2606" s="10" t="s">
        <v>20</v>
      </c>
      <c r="J2606" s="138" t="s">
        <v>1292</v>
      </c>
      <c r="K2606" s="138" t="s">
        <v>1292</v>
      </c>
      <c r="L2606" s="138" t="s">
        <v>1292</v>
      </c>
      <c r="M2606" s="13"/>
      <c r="N2606" s="89" t="s">
        <v>1292</v>
      </c>
      <c r="P2606" t="str">
        <f>VLOOKUP(B2606,PTN!A:B,2,FALSE)</f>
        <v>UNIVERSITAS TADULAKO</v>
      </c>
      <c r="Q2606" t="str">
        <f t="shared" si="40"/>
        <v>UNIVERSITAS TADULAKOKEHUTANAN</v>
      </c>
    </row>
    <row r="2607" spans="1:17" ht="15.75" thickBot="1" x14ac:dyDescent="0.3">
      <c r="A2607" s="7">
        <v>2606</v>
      </c>
      <c r="B2607" s="6">
        <v>75</v>
      </c>
      <c r="C2607" s="12">
        <v>7311191</v>
      </c>
      <c r="D2607" t="s">
        <v>107</v>
      </c>
      <c r="E2607" s="12">
        <v>60</v>
      </c>
      <c r="F2607" s="10" t="s">
        <v>20</v>
      </c>
      <c r="J2607" s="138" t="s">
        <v>1292</v>
      </c>
      <c r="K2607" s="138" t="s">
        <v>1292</v>
      </c>
      <c r="L2607" s="138" t="s">
        <v>1292</v>
      </c>
      <c r="M2607" s="12"/>
      <c r="N2607" s="88" t="s">
        <v>1292</v>
      </c>
      <c r="P2607" t="str">
        <f>VLOOKUP(B2607,PTN!A:B,2,FALSE)</f>
        <v>UNIVERSITAS TADULAKO</v>
      </c>
      <c r="Q2607" t="str">
        <f t="shared" si="40"/>
        <v>UNIVERSITAS TADULAKOKESEHATAN MASYARAKAT</v>
      </c>
    </row>
    <row r="2608" spans="1:17" ht="15.75" thickBot="1" x14ac:dyDescent="0.3">
      <c r="A2608" s="7">
        <v>2607</v>
      </c>
      <c r="B2608" s="6">
        <v>75</v>
      </c>
      <c r="C2608" s="13">
        <v>7311167</v>
      </c>
      <c r="D2608" t="s">
        <v>22</v>
      </c>
      <c r="E2608" s="13">
        <v>16</v>
      </c>
      <c r="F2608" s="10" t="s">
        <v>20</v>
      </c>
      <c r="J2608" s="138" t="s">
        <v>1292</v>
      </c>
      <c r="K2608" s="138" t="s">
        <v>1292</v>
      </c>
      <c r="L2608" s="138" t="s">
        <v>1292</v>
      </c>
      <c r="M2608" s="13"/>
      <c r="N2608" s="89" t="s">
        <v>1292</v>
      </c>
      <c r="P2608" t="str">
        <f>VLOOKUP(B2608,PTN!A:B,2,FALSE)</f>
        <v>UNIVERSITAS TADULAKO</v>
      </c>
      <c r="Q2608" t="str">
        <f t="shared" si="40"/>
        <v>UNIVERSITAS TADULAKOKIMIA</v>
      </c>
    </row>
    <row r="2609" spans="1:17" ht="15.75" thickBot="1" x14ac:dyDescent="0.3">
      <c r="A2609" s="7">
        <v>2608</v>
      </c>
      <c r="B2609" s="6">
        <v>75</v>
      </c>
      <c r="C2609" s="12">
        <v>7311152</v>
      </c>
      <c r="D2609" t="s">
        <v>66</v>
      </c>
      <c r="E2609" s="12">
        <v>16</v>
      </c>
      <c r="F2609" s="10" t="s">
        <v>20</v>
      </c>
      <c r="J2609" s="138" t="s">
        <v>1292</v>
      </c>
      <c r="K2609" s="138" t="s">
        <v>1292</v>
      </c>
      <c r="L2609" s="138" t="s">
        <v>1292</v>
      </c>
      <c r="M2609" s="12"/>
      <c r="N2609" s="88" t="s">
        <v>1292</v>
      </c>
      <c r="P2609" t="str">
        <f>VLOOKUP(B2609,PTN!A:B,2,FALSE)</f>
        <v>UNIVERSITAS TADULAKO</v>
      </c>
      <c r="Q2609" t="str">
        <f t="shared" si="40"/>
        <v>UNIVERSITAS TADULAKOMATEMATIKA</v>
      </c>
    </row>
    <row r="2610" spans="1:17" ht="15.75" thickBot="1" x14ac:dyDescent="0.3">
      <c r="A2610" s="7">
        <v>2609</v>
      </c>
      <c r="B2610" s="6">
        <v>75</v>
      </c>
      <c r="C2610" s="13">
        <v>7311016</v>
      </c>
      <c r="D2610" t="s">
        <v>214</v>
      </c>
      <c r="E2610" s="13">
        <v>30</v>
      </c>
      <c r="F2610" s="10" t="s">
        <v>20</v>
      </c>
      <c r="J2610" s="138" t="s">
        <v>1292</v>
      </c>
      <c r="K2610" s="138" t="s">
        <v>1292</v>
      </c>
      <c r="L2610" s="138" t="s">
        <v>1292</v>
      </c>
      <c r="M2610" s="13"/>
      <c r="N2610" s="89" t="s">
        <v>1292</v>
      </c>
      <c r="P2610" t="str">
        <f>VLOOKUP(B2610,PTN!A:B,2,FALSE)</f>
        <v>UNIVERSITAS TADULAKO</v>
      </c>
      <c r="Q2610" t="str">
        <f t="shared" si="40"/>
        <v>UNIVERSITAS TADULAKOPEND. BIOLOGI</v>
      </c>
    </row>
    <row r="2611" spans="1:17" ht="15.75" thickBot="1" x14ac:dyDescent="0.3">
      <c r="A2611" s="7">
        <v>2610</v>
      </c>
      <c r="B2611" s="6">
        <v>75</v>
      </c>
      <c r="C2611" s="12">
        <v>7311183</v>
      </c>
      <c r="D2611" t="s">
        <v>215</v>
      </c>
      <c r="E2611" s="12">
        <v>30</v>
      </c>
      <c r="F2611" s="10" t="s">
        <v>20</v>
      </c>
      <c r="J2611" s="138">
        <v>611.69000000000005</v>
      </c>
      <c r="K2611" s="138">
        <v>618.17000000000007</v>
      </c>
      <c r="L2611" s="138">
        <v>605.21</v>
      </c>
      <c r="M2611" s="12"/>
      <c r="N2611" s="88">
        <v>611.69000000000005</v>
      </c>
      <c r="P2611" t="str">
        <f>VLOOKUP(B2611,PTN!A:B,2,FALSE)</f>
        <v>UNIVERSITAS TADULAKO</v>
      </c>
      <c r="Q2611" t="str">
        <f t="shared" si="40"/>
        <v>UNIVERSITAS TADULAKOPEND. DOKTER</v>
      </c>
    </row>
    <row r="2612" spans="1:17" ht="15.75" thickBot="1" x14ac:dyDescent="0.3">
      <c r="A2612" s="7">
        <v>2611</v>
      </c>
      <c r="B2612" s="6">
        <v>75</v>
      </c>
      <c r="C2612" s="13">
        <v>7311032</v>
      </c>
      <c r="D2612" t="s">
        <v>216</v>
      </c>
      <c r="E2612" s="13">
        <v>30</v>
      </c>
      <c r="F2612" s="10" t="s">
        <v>20</v>
      </c>
      <c r="J2612" s="138" t="s">
        <v>1292</v>
      </c>
      <c r="K2612" s="138" t="s">
        <v>1292</v>
      </c>
      <c r="L2612" s="138" t="s">
        <v>1292</v>
      </c>
      <c r="M2612" s="13"/>
      <c r="N2612" s="89" t="s">
        <v>1292</v>
      </c>
      <c r="P2612" t="str">
        <f>VLOOKUP(B2612,PTN!A:B,2,FALSE)</f>
        <v>UNIVERSITAS TADULAKO</v>
      </c>
      <c r="Q2612" t="str">
        <f t="shared" si="40"/>
        <v>UNIVERSITAS TADULAKOPEND. FISIKA</v>
      </c>
    </row>
    <row r="2613" spans="1:17" ht="15.75" thickBot="1" x14ac:dyDescent="0.3">
      <c r="A2613" s="7">
        <v>2612</v>
      </c>
      <c r="B2613" s="6">
        <v>75</v>
      </c>
      <c r="C2613" s="12">
        <v>7311047</v>
      </c>
      <c r="D2613" t="s">
        <v>217</v>
      </c>
      <c r="E2613" s="12">
        <v>30</v>
      </c>
      <c r="F2613" s="10" t="s">
        <v>20</v>
      </c>
      <c r="J2613" s="138" t="s">
        <v>1292</v>
      </c>
      <c r="K2613" s="138" t="s">
        <v>1292</v>
      </c>
      <c r="L2613" s="138" t="s">
        <v>1292</v>
      </c>
      <c r="M2613" s="12"/>
      <c r="N2613" s="88" t="s">
        <v>1292</v>
      </c>
      <c r="P2613" t="str">
        <f>VLOOKUP(B2613,PTN!A:B,2,FALSE)</f>
        <v>UNIVERSITAS TADULAKO</v>
      </c>
      <c r="Q2613" t="str">
        <f t="shared" si="40"/>
        <v>UNIVERSITAS TADULAKOPEND. KIMIA</v>
      </c>
    </row>
    <row r="2614" spans="1:17" ht="15.75" thickBot="1" x14ac:dyDescent="0.3">
      <c r="A2614" s="7">
        <v>2613</v>
      </c>
      <c r="B2614" s="6">
        <v>75</v>
      </c>
      <c r="C2614" s="13">
        <v>7311024</v>
      </c>
      <c r="D2614" t="s">
        <v>218</v>
      </c>
      <c r="E2614" s="13">
        <v>30</v>
      </c>
      <c r="F2614" s="10" t="s">
        <v>20</v>
      </c>
      <c r="J2614" s="138" t="s">
        <v>1292</v>
      </c>
      <c r="K2614" s="138" t="s">
        <v>1292</v>
      </c>
      <c r="L2614" s="138" t="s">
        <v>1292</v>
      </c>
      <c r="M2614" s="13"/>
      <c r="N2614" s="89" t="s">
        <v>1292</v>
      </c>
      <c r="P2614" t="str">
        <f>VLOOKUP(B2614,PTN!A:B,2,FALSE)</f>
        <v>UNIVERSITAS TADULAKO</v>
      </c>
      <c r="Q2614" t="str">
        <f t="shared" si="40"/>
        <v>UNIVERSITAS TADULAKOPEND. MATEMATIKA</v>
      </c>
    </row>
    <row r="2615" spans="1:17" ht="15.75" thickBot="1" x14ac:dyDescent="0.3">
      <c r="A2615" s="7">
        <v>2614</v>
      </c>
      <c r="B2615" s="6">
        <v>75</v>
      </c>
      <c r="C2615" s="12">
        <v>7311256</v>
      </c>
      <c r="D2615" t="s">
        <v>87</v>
      </c>
      <c r="E2615" s="12">
        <v>36</v>
      </c>
      <c r="F2615" s="10" t="s">
        <v>20</v>
      </c>
      <c r="J2615" s="138" t="s">
        <v>1292</v>
      </c>
      <c r="K2615" s="138" t="s">
        <v>1292</v>
      </c>
      <c r="L2615" s="138" t="s">
        <v>1292</v>
      </c>
      <c r="M2615" s="12"/>
      <c r="N2615" s="88" t="s">
        <v>1292</v>
      </c>
      <c r="P2615" t="str">
        <f>VLOOKUP(B2615,PTN!A:B,2,FALSE)</f>
        <v>UNIVERSITAS TADULAKO</v>
      </c>
      <c r="Q2615" t="str">
        <f t="shared" si="40"/>
        <v>UNIVERSITAS TADULAKOPERENCANAAN WILAYAH DAN KOTA</v>
      </c>
    </row>
    <row r="2616" spans="1:17" ht="15.75" thickBot="1" x14ac:dyDescent="0.3">
      <c r="A2616" s="7">
        <v>2615</v>
      </c>
      <c r="B2616" s="6">
        <v>75</v>
      </c>
      <c r="C2616" s="13">
        <v>7311086</v>
      </c>
      <c r="D2616" t="s">
        <v>88</v>
      </c>
      <c r="E2616" s="13">
        <v>70</v>
      </c>
      <c r="F2616" s="10" t="s">
        <v>20</v>
      </c>
      <c r="J2616" s="138" t="s">
        <v>1292</v>
      </c>
      <c r="K2616" s="138" t="s">
        <v>1292</v>
      </c>
      <c r="L2616" s="138" t="s">
        <v>1292</v>
      </c>
      <c r="M2616" s="13"/>
      <c r="N2616" s="89" t="s">
        <v>1292</v>
      </c>
      <c r="P2616" t="str">
        <f>VLOOKUP(B2616,PTN!A:B,2,FALSE)</f>
        <v>UNIVERSITAS TADULAKO</v>
      </c>
      <c r="Q2616" t="str">
        <f t="shared" si="40"/>
        <v>UNIVERSITAS TADULAKOPETERNAKAN</v>
      </c>
    </row>
    <row r="2617" spans="1:17" ht="15.75" thickBot="1" x14ac:dyDescent="0.3">
      <c r="A2617" s="7">
        <v>2616</v>
      </c>
      <c r="B2617" s="6">
        <v>75</v>
      </c>
      <c r="C2617" s="12">
        <v>7311233</v>
      </c>
      <c r="D2617" t="s">
        <v>90</v>
      </c>
      <c r="E2617" s="12">
        <v>20</v>
      </c>
      <c r="F2617" s="10" t="s">
        <v>20</v>
      </c>
      <c r="J2617" s="138" t="s">
        <v>1292</v>
      </c>
      <c r="K2617" s="138" t="s">
        <v>1292</v>
      </c>
      <c r="L2617" s="138" t="s">
        <v>1292</v>
      </c>
      <c r="M2617" s="12"/>
      <c r="N2617" s="88" t="s">
        <v>1292</v>
      </c>
      <c r="P2617" t="str">
        <f>VLOOKUP(B2617,PTN!A:B,2,FALSE)</f>
        <v>UNIVERSITAS TADULAKO</v>
      </c>
      <c r="Q2617" t="str">
        <f t="shared" si="40"/>
        <v>UNIVERSITAS TADULAKOSTATISTIKA</v>
      </c>
    </row>
    <row r="2618" spans="1:17" ht="15.75" thickBot="1" x14ac:dyDescent="0.3">
      <c r="A2618" s="7">
        <v>2617</v>
      </c>
      <c r="B2618" s="6">
        <v>75</v>
      </c>
      <c r="C2618" s="13">
        <v>7311113</v>
      </c>
      <c r="D2618" t="s">
        <v>47</v>
      </c>
      <c r="E2618" s="13">
        <v>36</v>
      </c>
      <c r="F2618" s="10" t="s">
        <v>20</v>
      </c>
      <c r="J2618" s="138" t="s">
        <v>1292</v>
      </c>
      <c r="K2618" s="138" t="s">
        <v>1292</v>
      </c>
      <c r="L2618" s="138" t="s">
        <v>1292</v>
      </c>
      <c r="M2618" s="13"/>
      <c r="N2618" s="89" t="s">
        <v>1292</v>
      </c>
      <c r="P2618" t="str">
        <f>VLOOKUP(B2618,PTN!A:B,2,FALSE)</f>
        <v>UNIVERSITAS TADULAKO</v>
      </c>
      <c r="Q2618" t="str">
        <f t="shared" si="40"/>
        <v>UNIVERSITAS TADULAKOTEKNIK ARSITEKTUR</v>
      </c>
    </row>
    <row r="2619" spans="1:17" ht="15.75" thickBot="1" x14ac:dyDescent="0.3">
      <c r="A2619" s="7">
        <v>2618</v>
      </c>
      <c r="B2619" s="6">
        <v>75</v>
      </c>
      <c r="C2619" s="12">
        <v>7311136</v>
      </c>
      <c r="D2619" t="s">
        <v>48</v>
      </c>
      <c r="E2619" s="12">
        <v>30</v>
      </c>
      <c r="F2619" s="10" t="s">
        <v>20</v>
      </c>
      <c r="J2619" s="138" t="s">
        <v>1292</v>
      </c>
      <c r="K2619" s="138" t="s">
        <v>1292</v>
      </c>
      <c r="L2619" s="138" t="s">
        <v>1292</v>
      </c>
      <c r="M2619" s="12"/>
      <c r="N2619" s="88" t="s">
        <v>1292</v>
      </c>
      <c r="P2619" t="str">
        <f>VLOOKUP(B2619,PTN!A:B,2,FALSE)</f>
        <v>UNIVERSITAS TADULAKO</v>
      </c>
      <c r="Q2619" t="str">
        <f t="shared" si="40"/>
        <v>UNIVERSITAS TADULAKOTEKNIK ELEKTRO</v>
      </c>
    </row>
    <row r="2620" spans="1:17" ht="15.75" thickBot="1" x14ac:dyDescent="0.3">
      <c r="A2620" s="7">
        <v>2619</v>
      </c>
      <c r="B2620" s="6">
        <v>75</v>
      </c>
      <c r="C2620" s="13">
        <v>7311272</v>
      </c>
      <c r="D2620" t="s">
        <v>669</v>
      </c>
      <c r="E2620" s="13">
        <v>20</v>
      </c>
      <c r="F2620" s="10" t="s">
        <v>20</v>
      </c>
      <c r="J2620" s="138" t="s">
        <v>1292</v>
      </c>
      <c r="K2620" s="138" t="s">
        <v>1292</v>
      </c>
      <c r="L2620" s="138" t="s">
        <v>1292</v>
      </c>
      <c r="M2620" s="13"/>
      <c r="N2620" s="89" t="s">
        <v>1292</v>
      </c>
      <c r="P2620" t="str">
        <f>VLOOKUP(B2620,PTN!A:B,2,FALSE)</f>
        <v>UNIVERSITAS TADULAKO</v>
      </c>
      <c r="Q2620" t="str">
        <f t="shared" si="40"/>
        <v>UNIVERSITAS TADULAKOTEKNIK GEO FISIKA</v>
      </c>
    </row>
    <row r="2621" spans="1:17" ht="15.75" thickBot="1" x14ac:dyDescent="0.3">
      <c r="A2621" s="7">
        <v>2620</v>
      </c>
      <c r="B2621" s="6">
        <v>75</v>
      </c>
      <c r="C2621" s="12">
        <v>7311241</v>
      </c>
      <c r="D2621" t="s">
        <v>92</v>
      </c>
      <c r="E2621" s="12">
        <v>30</v>
      </c>
      <c r="F2621" s="10" t="s">
        <v>20</v>
      </c>
      <c r="J2621" s="138" t="s">
        <v>1292</v>
      </c>
      <c r="K2621" s="138" t="s">
        <v>1292</v>
      </c>
      <c r="L2621" s="138" t="s">
        <v>1292</v>
      </c>
      <c r="M2621" s="12"/>
      <c r="N2621" s="88" t="s">
        <v>1292</v>
      </c>
      <c r="P2621" t="str">
        <f>VLOOKUP(B2621,PTN!A:B,2,FALSE)</f>
        <v>UNIVERSITAS TADULAKO</v>
      </c>
      <c r="Q2621" t="str">
        <f t="shared" si="40"/>
        <v>UNIVERSITAS TADULAKOTEKNIK GEOLOGI</v>
      </c>
    </row>
    <row r="2622" spans="1:17" ht="15.75" thickBot="1" x14ac:dyDescent="0.3">
      <c r="A2622" s="7">
        <v>2621</v>
      </c>
      <c r="B2622" s="6">
        <v>75</v>
      </c>
      <c r="C2622" s="13">
        <v>7311225</v>
      </c>
      <c r="D2622" t="s">
        <v>50</v>
      </c>
      <c r="E2622" s="13">
        <v>36</v>
      </c>
      <c r="F2622" s="10" t="s">
        <v>20</v>
      </c>
      <c r="J2622" s="138" t="s">
        <v>1292</v>
      </c>
      <c r="K2622" s="138" t="s">
        <v>1292</v>
      </c>
      <c r="L2622" s="138" t="s">
        <v>1292</v>
      </c>
      <c r="M2622" s="13"/>
      <c r="N2622" s="89" t="s">
        <v>1292</v>
      </c>
      <c r="P2622" t="str">
        <f>VLOOKUP(B2622,PTN!A:B,2,FALSE)</f>
        <v>UNIVERSITAS TADULAKO</v>
      </c>
      <c r="Q2622" t="str">
        <f t="shared" si="40"/>
        <v>UNIVERSITAS TADULAKOTEKNIK INFORMATIKA</v>
      </c>
    </row>
    <row r="2623" spans="1:17" ht="15.75" thickBot="1" x14ac:dyDescent="0.3">
      <c r="A2623" s="7">
        <v>2622</v>
      </c>
      <c r="B2623" s="6">
        <v>75</v>
      </c>
      <c r="C2623" s="12">
        <v>7311121</v>
      </c>
      <c r="D2623" t="s">
        <v>53</v>
      </c>
      <c r="E2623" s="12">
        <v>36</v>
      </c>
      <c r="F2623" s="10" t="s">
        <v>20</v>
      </c>
      <c r="J2623" s="138" t="s">
        <v>1292</v>
      </c>
      <c r="K2623" s="138" t="s">
        <v>1292</v>
      </c>
      <c r="L2623" s="138" t="s">
        <v>1292</v>
      </c>
      <c r="M2623" s="12"/>
      <c r="N2623" s="88" t="s">
        <v>1292</v>
      </c>
      <c r="P2623" t="str">
        <f>VLOOKUP(B2623,PTN!A:B,2,FALSE)</f>
        <v>UNIVERSITAS TADULAKO</v>
      </c>
      <c r="Q2623" t="str">
        <f t="shared" si="40"/>
        <v>UNIVERSITAS TADULAKOTEKNIK MESIN</v>
      </c>
    </row>
    <row r="2624" spans="1:17" ht="15.75" thickBot="1" x14ac:dyDescent="0.3">
      <c r="A2624" s="7">
        <v>2623</v>
      </c>
      <c r="B2624" s="6">
        <v>75</v>
      </c>
      <c r="C2624" s="13">
        <v>7311105</v>
      </c>
      <c r="D2624" t="s">
        <v>54</v>
      </c>
      <c r="E2624" s="13">
        <v>60</v>
      </c>
      <c r="F2624" s="10" t="s">
        <v>20</v>
      </c>
      <c r="J2624" s="138" t="s">
        <v>1292</v>
      </c>
      <c r="K2624" s="138" t="s">
        <v>1292</v>
      </c>
      <c r="L2624" s="138" t="s">
        <v>1292</v>
      </c>
      <c r="M2624" s="13"/>
      <c r="N2624" s="89" t="s">
        <v>1292</v>
      </c>
      <c r="P2624" t="str">
        <f>VLOOKUP(B2624,PTN!A:B,2,FALSE)</f>
        <v>UNIVERSITAS TADULAKO</v>
      </c>
      <c r="Q2624" t="str">
        <f t="shared" si="40"/>
        <v>UNIVERSITAS TADULAKOTEKNIK SIPIL</v>
      </c>
    </row>
    <row r="2625" spans="1:17" ht="15.75" thickBot="1" x14ac:dyDescent="0.3">
      <c r="A2625" s="7">
        <v>2624</v>
      </c>
      <c r="B2625" s="6">
        <v>75</v>
      </c>
      <c r="C2625" s="12">
        <v>7311295</v>
      </c>
      <c r="D2625" t="s">
        <v>670</v>
      </c>
      <c r="E2625" s="12">
        <v>12</v>
      </c>
      <c r="F2625" s="10" t="s">
        <v>20</v>
      </c>
      <c r="J2625" s="138" t="s">
        <v>1292</v>
      </c>
      <c r="K2625" s="138" t="s">
        <v>1292</v>
      </c>
      <c r="L2625" s="138" t="s">
        <v>1292</v>
      </c>
      <c r="M2625" s="12"/>
      <c r="N2625" s="88" t="s">
        <v>1292</v>
      </c>
      <c r="P2625" t="str">
        <f>VLOOKUP(B2625,PTN!A:B,2,FALSE)</f>
        <v>UNIVERSITAS TADULAKO</v>
      </c>
      <c r="Q2625" t="str">
        <f t="shared" si="40"/>
        <v>UNIVERSITAS TADULAKOTEKNIK SIPIL (PSDKU MOROWALI)</v>
      </c>
    </row>
    <row r="2626" spans="1:17" ht="15.75" thickBot="1" x14ac:dyDescent="0.3">
      <c r="A2626" s="7">
        <v>2625</v>
      </c>
      <c r="B2626" s="6">
        <v>75</v>
      </c>
      <c r="C2626" s="16">
        <v>7311314</v>
      </c>
      <c r="D2626" t="s">
        <v>671</v>
      </c>
      <c r="E2626" s="16">
        <v>20</v>
      </c>
      <c r="F2626" s="10" t="s">
        <v>20</v>
      </c>
      <c r="J2626" s="138" t="s">
        <v>1292</v>
      </c>
      <c r="K2626" s="138" t="s">
        <v>1292</v>
      </c>
      <c r="L2626" s="138" t="s">
        <v>1292</v>
      </c>
      <c r="M2626" s="13"/>
      <c r="N2626" s="89" t="s">
        <v>1292</v>
      </c>
      <c r="P2626" t="str">
        <f>VLOOKUP(B2626,PTN!A:B,2,FALSE)</f>
        <v>UNIVERSITAS TADULAKO</v>
      </c>
      <c r="Q2626" t="str">
        <f t="shared" si="40"/>
        <v>UNIVERSITAS TADULAKOTEKNIK SIPIL (PSDKU TOUNA)</v>
      </c>
    </row>
    <row r="2627" spans="1:17" ht="16.5" thickTop="1" thickBot="1" x14ac:dyDescent="0.3">
      <c r="A2627" s="7">
        <v>2626</v>
      </c>
      <c r="B2627" s="6">
        <v>75</v>
      </c>
      <c r="C2627" s="12">
        <v>7312082</v>
      </c>
      <c r="D2627" t="s">
        <v>672</v>
      </c>
      <c r="E2627" s="12">
        <v>44</v>
      </c>
      <c r="F2627" s="10" t="s">
        <v>13</v>
      </c>
      <c r="J2627" s="138" t="s">
        <v>1292</v>
      </c>
      <c r="K2627" s="138" t="s">
        <v>1292</v>
      </c>
      <c r="L2627" s="138" t="s">
        <v>1292</v>
      </c>
      <c r="M2627" s="21"/>
      <c r="N2627" s="83" t="s">
        <v>1292</v>
      </c>
      <c r="P2627" t="str">
        <f>VLOOKUP(B2627,PTN!A:B,2,FALSE)</f>
        <v>UNIVERSITAS TADULAKO</v>
      </c>
      <c r="Q2627" t="str">
        <f t="shared" ref="Q2627:Q2690" si="41">P2627&amp;D2627</f>
        <v>UNIVERSITAS TADULAKOADMINSTRASI NEGARA</v>
      </c>
    </row>
    <row r="2628" spans="1:17" ht="15.75" thickBot="1" x14ac:dyDescent="0.3">
      <c r="A2628" s="7">
        <v>2627</v>
      </c>
      <c r="B2628" s="6">
        <v>75</v>
      </c>
      <c r="C2628" s="13">
        <v>7312101</v>
      </c>
      <c r="D2628" t="s">
        <v>56</v>
      </c>
      <c r="E2628" s="13">
        <v>30</v>
      </c>
      <c r="F2628" s="10" t="s">
        <v>13</v>
      </c>
      <c r="J2628" s="138" t="s">
        <v>1292</v>
      </c>
      <c r="K2628" s="138" t="s">
        <v>1292</v>
      </c>
      <c r="L2628" s="138" t="s">
        <v>1292</v>
      </c>
      <c r="M2628" s="21"/>
      <c r="N2628" s="83" t="s">
        <v>1292</v>
      </c>
      <c r="P2628" t="str">
        <f>VLOOKUP(B2628,PTN!A:B,2,FALSE)</f>
        <v>UNIVERSITAS TADULAKO</v>
      </c>
      <c r="Q2628" t="str">
        <f t="shared" si="41"/>
        <v>UNIVERSITAS TADULAKOANTROPOLOGI</v>
      </c>
    </row>
    <row r="2629" spans="1:17" ht="16.5" thickTop="1" thickBot="1" x14ac:dyDescent="0.3">
      <c r="A2629" s="7">
        <v>2628</v>
      </c>
      <c r="B2629" s="6">
        <v>75</v>
      </c>
      <c r="C2629" s="12">
        <v>7312051</v>
      </c>
      <c r="D2629" t="s">
        <v>187</v>
      </c>
      <c r="E2629" s="12">
        <v>16</v>
      </c>
      <c r="F2629" s="10" t="s">
        <v>13</v>
      </c>
      <c r="J2629" s="138" t="s">
        <v>1292</v>
      </c>
      <c r="K2629" s="138" t="s">
        <v>1292</v>
      </c>
      <c r="L2629" s="138" t="s">
        <v>1292</v>
      </c>
      <c r="M2629" s="24"/>
      <c r="N2629" s="84" t="s">
        <v>1292</v>
      </c>
      <c r="P2629" t="str">
        <f>VLOOKUP(B2629,PTN!A:B,2,FALSE)</f>
        <v>UNIVERSITAS TADULAKO</v>
      </c>
      <c r="Q2629" t="str">
        <f t="shared" si="41"/>
        <v>UNIVERSITAS TADULAKOBIMBINGAN DAN KONSELING</v>
      </c>
    </row>
    <row r="2630" spans="1:17" ht="16.5" thickTop="1" thickBot="1" x14ac:dyDescent="0.3">
      <c r="A2630" s="7">
        <v>2629</v>
      </c>
      <c r="B2630" s="6">
        <v>75</v>
      </c>
      <c r="C2630" s="13">
        <v>7312155</v>
      </c>
      <c r="D2630" t="s">
        <v>673</v>
      </c>
      <c r="E2630" s="13">
        <v>40</v>
      </c>
      <c r="F2630" s="10" t="s">
        <v>13</v>
      </c>
      <c r="J2630" s="138" t="s">
        <v>1292</v>
      </c>
      <c r="K2630" s="138" t="s">
        <v>1292</v>
      </c>
      <c r="L2630" s="138" t="s">
        <v>1292</v>
      </c>
      <c r="M2630" s="12"/>
      <c r="N2630" s="88" t="s">
        <v>1292</v>
      </c>
      <c r="P2630" t="str">
        <f>VLOOKUP(B2630,PTN!A:B,2,FALSE)</f>
        <v>UNIVERSITAS TADULAKO</v>
      </c>
      <c r="Q2630" t="str">
        <f t="shared" si="41"/>
        <v>UNIVERSITAS TADULAKOEKONOMI AKUNTANSI</v>
      </c>
    </row>
    <row r="2631" spans="1:17" ht="15.75" thickBot="1" x14ac:dyDescent="0.3">
      <c r="A2631" s="7">
        <v>2630</v>
      </c>
      <c r="B2631" s="6">
        <v>75</v>
      </c>
      <c r="C2631" s="12">
        <v>7312147</v>
      </c>
      <c r="D2631" t="s">
        <v>68</v>
      </c>
      <c r="E2631" s="12">
        <v>60</v>
      </c>
      <c r="F2631" s="10" t="s">
        <v>13</v>
      </c>
      <c r="J2631" s="138" t="s">
        <v>1292</v>
      </c>
      <c r="K2631" s="138" t="s">
        <v>1292</v>
      </c>
      <c r="L2631" s="138" t="s">
        <v>1292</v>
      </c>
      <c r="M2631" s="13"/>
      <c r="N2631" s="89" t="s">
        <v>1292</v>
      </c>
      <c r="P2631" t="str">
        <f>VLOOKUP(B2631,PTN!A:B,2,FALSE)</f>
        <v>UNIVERSITAS TADULAKO</v>
      </c>
      <c r="Q2631" t="str">
        <f t="shared" si="41"/>
        <v>UNIVERSITAS TADULAKOEKONOMI MANAJEMEN</v>
      </c>
    </row>
    <row r="2632" spans="1:17" ht="15.75" thickBot="1" x14ac:dyDescent="0.3">
      <c r="A2632" s="7">
        <v>2631</v>
      </c>
      <c r="B2632" s="6">
        <v>75</v>
      </c>
      <c r="C2632" s="13">
        <v>7312132</v>
      </c>
      <c r="D2632" t="s">
        <v>69</v>
      </c>
      <c r="E2632" s="13">
        <v>40</v>
      </c>
      <c r="F2632" s="10" t="s">
        <v>13</v>
      </c>
      <c r="J2632" s="138" t="s">
        <v>1292</v>
      </c>
      <c r="K2632" s="138" t="s">
        <v>1292</v>
      </c>
      <c r="L2632" s="138" t="s">
        <v>1292</v>
      </c>
      <c r="M2632" s="12"/>
      <c r="N2632" s="88" t="s">
        <v>1292</v>
      </c>
      <c r="P2632" t="str">
        <f>VLOOKUP(B2632,PTN!A:B,2,FALSE)</f>
        <v>UNIVERSITAS TADULAKO</v>
      </c>
      <c r="Q2632" t="str">
        <f t="shared" si="41"/>
        <v>UNIVERSITAS TADULAKOEKONOMI PEMBANGUNAN</v>
      </c>
    </row>
    <row r="2633" spans="1:17" ht="15.75" thickBot="1" x14ac:dyDescent="0.3">
      <c r="A2633" s="7">
        <v>2632</v>
      </c>
      <c r="B2633" s="6">
        <v>75</v>
      </c>
      <c r="C2633" s="12">
        <v>7312163</v>
      </c>
      <c r="D2633" t="s">
        <v>31</v>
      </c>
      <c r="E2633" s="12">
        <v>150</v>
      </c>
      <c r="F2633" s="10" t="s">
        <v>13</v>
      </c>
      <c r="J2633" s="138" t="s">
        <v>1292</v>
      </c>
      <c r="K2633" s="138" t="s">
        <v>1292</v>
      </c>
      <c r="L2633" s="138" t="s">
        <v>1292</v>
      </c>
      <c r="M2633" s="13"/>
      <c r="N2633" s="89" t="s">
        <v>1292</v>
      </c>
      <c r="P2633" t="str">
        <f>VLOOKUP(B2633,PTN!A:B,2,FALSE)</f>
        <v>UNIVERSITAS TADULAKO</v>
      </c>
      <c r="Q2633" t="str">
        <f t="shared" si="41"/>
        <v>UNIVERSITAS TADULAKOILMU HUKUM</v>
      </c>
    </row>
    <row r="2634" spans="1:17" ht="15.75" thickBot="1" x14ac:dyDescent="0.3">
      <c r="A2634" s="7">
        <v>2633</v>
      </c>
      <c r="B2634" s="6">
        <v>75</v>
      </c>
      <c r="C2634" s="13">
        <v>7312124</v>
      </c>
      <c r="D2634" t="s">
        <v>60</v>
      </c>
      <c r="E2634" s="13">
        <v>40</v>
      </c>
      <c r="F2634" s="10" t="s">
        <v>13</v>
      </c>
      <c r="J2634" s="138" t="s">
        <v>1292</v>
      </c>
      <c r="K2634" s="138" t="s">
        <v>1292</v>
      </c>
      <c r="L2634" s="138" t="s">
        <v>1292</v>
      </c>
      <c r="M2634" s="12"/>
      <c r="N2634" s="88" t="s">
        <v>1292</v>
      </c>
      <c r="P2634" t="str">
        <f>VLOOKUP(B2634,PTN!A:B,2,FALSE)</f>
        <v>UNIVERSITAS TADULAKO</v>
      </c>
      <c r="Q2634" t="str">
        <f t="shared" si="41"/>
        <v>UNIVERSITAS TADULAKOILMU KOMUNIKASI</v>
      </c>
    </row>
    <row r="2635" spans="1:17" ht="15.75" thickBot="1" x14ac:dyDescent="0.3">
      <c r="A2635" s="7">
        <v>2634</v>
      </c>
      <c r="B2635" s="6">
        <v>75</v>
      </c>
      <c r="C2635" s="12">
        <v>7312116</v>
      </c>
      <c r="D2635" t="s">
        <v>97</v>
      </c>
      <c r="E2635" s="12">
        <v>44</v>
      </c>
      <c r="F2635" s="10" t="s">
        <v>13</v>
      </c>
      <c r="J2635" s="138" t="s">
        <v>1292</v>
      </c>
      <c r="K2635" s="138" t="s">
        <v>1292</v>
      </c>
      <c r="L2635" s="138" t="s">
        <v>1292</v>
      </c>
      <c r="M2635" s="13"/>
      <c r="N2635" s="89" t="s">
        <v>1292</v>
      </c>
      <c r="P2635" t="str">
        <f>VLOOKUP(B2635,PTN!A:B,2,FALSE)</f>
        <v>UNIVERSITAS TADULAKO</v>
      </c>
      <c r="Q2635" t="str">
        <f t="shared" si="41"/>
        <v>UNIVERSITAS TADULAKOILMU PEMERINTAHAN</v>
      </c>
    </row>
    <row r="2636" spans="1:17" ht="15.75" thickBot="1" x14ac:dyDescent="0.3">
      <c r="A2636" s="7">
        <v>2635</v>
      </c>
      <c r="B2636" s="6">
        <v>75</v>
      </c>
      <c r="C2636" s="13">
        <v>7312194</v>
      </c>
      <c r="D2636" t="s">
        <v>674</v>
      </c>
      <c r="E2636" s="13">
        <v>32</v>
      </c>
      <c r="F2636" s="10" t="s">
        <v>13</v>
      </c>
      <c r="J2636" s="138" t="s">
        <v>1292</v>
      </c>
      <c r="K2636" s="138" t="s">
        <v>1292</v>
      </c>
      <c r="L2636" s="138" t="s">
        <v>1292</v>
      </c>
      <c r="M2636" s="12"/>
      <c r="N2636" s="88" t="s">
        <v>1292</v>
      </c>
      <c r="P2636" t="str">
        <f>VLOOKUP(B2636,PTN!A:B,2,FALSE)</f>
        <v>UNIVERSITAS TADULAKO</v>
      </c>
      <c r="Q2636" t="str">
        <f t="shared" si="41"/>
        <v>UNIVERSITAS TADULAKOMANAJEMEN (PSDKU MOROWALI)</v>
      </c>
    </row>
    <row r="2637" spans="1:17" ht="15.75" thickBot="1" x14ac:dyDescent="0.3">
      <c r="A2637" s="7">
        <v>2636</v>
      </c>
      <c r="B2637" s="6">
        <v>75</v>
      </c>
      <c r="C2637" s="12">
        <v>7312205</v>
      </c>
      <c r="D2637" t="s">
        <v>675</v>
      </c>
      <c r="E2637" s="12">
        <v>20</v>
      </c>
      <c r="F2637" s="10" t="s">
        <v>13</v>
      </c>
      <c r="J2637" s="138" t="s">
        <v>1292</v>
      </c>
      <c r="K2637" s="138" t="s">
        <v>1292</v>
      </c>
      <c r="L2637" s="138" t="s">
        <v>1292</v>
      </c>
      <c r="M2637" s="13"/>
      <c r="N2637" s="89" t="s">
        <v>1292</v>
      </c>
      <c r="P2637" t="str">
        <f>VLOOKUP(B2637,PTN!A:B,2,FALSE)</f>
        <v>UNIVERSITAS TADULAKO</v>
      </c>
      <c r="Q2637" t="str">
        <f t="shared" si="41"/>
        <v>UNIVERSITAS TADULAKOMANAJEMEN (PSDKU TOUNA)</v>
      </c>
    </row>
    <row r="2638" spans="1:17" ht="15.75" thickBot="1" x14ac:dyDescent="0.3">
      <c r="A2638" s="7">
        <v>2637</v>
      </c>
      <c r="B2638" s="6">
        <v>75</v>
      </c>
      <c r="C2638" s="13">
        <v>7312012</v>
      </c>
      <c r="D2638" t="s">
        <v>283</v>
      </c>
      <c r="E2638" s="13">
        <v>40</v>
      </c>
      <c r="F2638" s="10" t="s">
        <v>13</v>
      </c>
      <c r="J2638" s="138" t="s">
        <v>1292</v>
      </c>
      <c r="K2638" s="138" t="s">
        <v>1292</v>
      </c>
      <c r="L2638" s="138" t="s">
        <v>1292</v>
      </c>
      <c r="M2638" s="12"/>
      <c r="N2638" s="88" t="s">
        <v>1292</v>
      </c>
      <c r="P2638" t="str">
        <f>VLOOKUP(B2638,PTN!A:B,2,FALSE)</f>
        <v>UNIVERSITAS TADULAKO</v>
      </c>
      <c r="Q2638" t="str">
        <f t="shared" si="41"/>
        <v>UNIVERSITAS TADULAKOPEND. BAHASA INDONESIA</v>
      </c>
    </row>
    <row r="2639" spans="1:17" ht="15.75" thickBot="1" x14ac:dyDescent="0.3">
      <c r="A2639" s="7">
        <v>2638</v>
      </c>
      <c r="B2639" s="6">
        <v>75</v>
      </c>
      <c r="C2639" s="12">
        <v>7312027</v>
      </c>
      <c r="D2639" t="s">
        <v>242</v>
      </c>
      <c r="E2639" s="12">
        <v>50</v>
      </c>
      <c r="F2639" s="10" t="s">
        <v>13</v>
      </c>
      <c r="J2639" s="138" t="s">
        <v>1292</v>
      </c>
      <c r="K2639" s="138" t="s">
        <v>1292</v>
      </c>
      <c r="L2639" s="138" t="s">
        <v>1292</v>
      </c>
      <c r="M2639" s="13"/>
      <c r="N2639" s="89" t="s">
        <v>1292</v>
      </c>
      <c r="P2639" t="str">
        <f>VLOOKUP(B2639,PTN!A:B,2,FALSE)</f>
        <v>UNIVERSITAS TADULAKO</v>
      </c>
      <c r="Q2639" t="str">
        <f t="shared" si="41"/>
        <v>UNIVERSITAS TADULAKOPEND. BAHASA INGGRIS</v>
      </c>
    </row>
    <row r="2640" spans="1:17" ht="15.75" thickBot="1" x14ac:dyDescent="0.3">
      <c r="A2640" s="7">
        <v>2639</v>
      </c>
      <c r="B2640" s="6">
        <v>75</v>
      </c>
      <c r="C2640" s="13">
        <v>7312186</v>
      </c>
      <c r="D2640" t="s">
        <v>285</v>
      </c>
      <c r="E2640" s="13">
        <v>20</v>
      </c>
      <c r="F2640" s="10" t="s">
        <v>13</v>
      </c>
      <c r="J2640" s="138" t="s">
        <v>1292</v>
      </c>
      <c r="K2640" s="138" t="s">
        <v>1292</v>
      </c>
      <c r="L2640" s="138" t="s">
        <v>1292</v>
      </c>
      <c r="M2640" s="12"/>
      <c r="N2640" s="88" t="s">
        <v>1292</v>
      </c>
      <c r="P2640" t="str">
        <f>VLOOKUP(B2640,PTN!A:B,2,FALSE)</f>
        <v>UNIVERSITAS TADULAKO</v>
      </c>
      <c r="Q2640" t="str">
        <f t="shared" si="41"/>
        <v>UNIVERSITAS TADULAKOPEND. GEOGRAFI</v>
      </c>
    </row>
    <row r="2641" spans="1:17" ht="15.75" thickBot="1" x14ac:dyDescent="0.3">
      <c r="A2641" s="7">
        <v>2640</v>
      </c>
      <c r="B2641" s="6">
        <v>75</v>
      </c>
      <c r="C2641" s="12">
        <v>7312074</v>
      </c>
      <c r="D2641" t="s">
        <v>323</v>
      </c>
      <c r="E2641" s="12">
        <v>20</v>
      </c>
      <c r="F2641" s="10" t="s">
        <v>13</v>
      </c>
      <c r="J2641" s="138" t="s">
        <v>1292</v>
      </c>
      <c r="K2641" s="138" t="s">
        <v>1292</v>
      </c>
      <c r="L2641" s="138" t="s">
        <v>1292</v>
      </c>
      <c r="M2641" s="13"/>
      <c r="N2641" s="89" t="s">
        <v>1292</v>
      </c>
      <c r="P2641" t="str">
        <f>VLOOKUP(B2641,PTN!A:B,2,FALSE)</f>
        <v>UNIVERSITAS TADULAKO</v>
      </c>
      <c r="Q2641" t="str">
        <f t="shared" si="41"/>
        <v>UNIVERSITAS TADULAKOPEND. GURU PAUD</v>
      </c>
    </row>
    <row r="2642" spans="1:17" ht="15.75" thickBot="1" x14ac:dyDescent="0.3">
      <c r="A2642" s="7">
        <v>2641</v>
      </c>
      <c r="B2642" s="6">
        <v>75</v>
      </c>
      <c r="C2642" s="13">
        <v>7312066</v>
      </c>
      <c r="D2642" t="s">
        <v>243</v>
      </c>
      <c r="E2642" s="13">
        <v>30</v>
      </c>
      <c r="F2642" s="10" t="s">
        <v>13</v>
      </c>
      <c r="J2642" s="138" t="s">
        <v>1292</v>
      </c>
      <c r="K2642" s="138" t="s">
        <v>1292</v>
      </c>
      <c r="L2642" s="138" t="s">
        <v>1292</v>
      </c>
      <c r="M2642" s="12"/>
      <c r="N2642" s="88" t="s">
        <v>1292</v>
      </c>
      <c r="P2642" t="str">
        <f>VLOOKUP(B2642,PTN!A:B,2,FALSE)</f>
        <v>UNIVERSITAS TADULAKO</v>
      </c>
      <c r="Q2642" t="str">
        <f t="shared" si="41"/>
        <v>UNIVERSITAS TADULAKOPEND. GURU SEKOLAH DASAR</v>
      </c>
    </row>
    <row r="2643" spans="1:17" ht="15.75" thickBot="1" x14ac:dyDescent="0.3">
      <c r="A2643" s="7">
        <v>2642</v>
      </c>
      <c r="B2643" s="6">
        <v>75</v>
      </c>
      <c r="C2643" s="12">
        <v>7312171</v>
      </c>
      <c r="D2643" t="s">
        <v>431</v>
      </c>
      <c r="E2643" s="12">
        <v>40</v>
      </c>
      <c r="F2643" s="10" t="s">
        <v>13</v>
      </c>
      <c r="J2643" s="138" t="s">
        <v>1292</v>
      </c>
      <c r="K2643" s="138" t="s">
        <v>1292</v>
      </c>
      <c r="L2643" s="138" t="s">
        <v>1292</v>
      </c>
      <c r="M2643" s="13"/>
      <c r="N2643" s="89" t="s">
        <v>1292</v>
      </c>
      <c r="P2643" t="str">
        <f>VLOOKUP(B2643,PTN!A:B,2,FALSE)</f>
        <v>UNIVERSITAS TADULAKO</v>
      </c>
      <c r="Q2643" t="str">
        <f t="shared" si="41"/>
        <v>UNIVERSITAS TADULAKOPEND. JASMANI, KESEHATAN DAN REKREASI</v>
      </c>
    </row>
    <row r="2644" spans="1:17" ht="15.75" thickBot="1" x14ac:dyDescent="0.3">
      <c r="A2644" s="7">
        <v>2643</v>
      </c>
      <c r="B2644" s="6">
        <v>75</v>
      </c>
      <c r="C2644" s="13">
        <v>7312035</v>
      </c>
      <c r="D2644" t="s">
        <v>581</v>
      </c>
      <c r="E2644" s="13">
        <v>20</v>
      </c>
      <c r="F2644" s="10" t="s">
        <v>13</v>
      </c>
      <c r="J2644" s="138" t="s">
        <v>1292</v>
      </c>
      <c r="K2644" s="138" t="s">
        <v>1292</v>
      </c>
      <c r="L2644" s="138" t="s">
        <v>1292</v>
      </c>
      <c r="M2644" s="12"/>
      <c r="N2644" s="88" t="s">
        <v>1292</v>
      </c>
      <c r="P2644" t="str">
        <f>VLOOKUP(B2644,PTN!A:B,2,FALSE)</f>
        <v>UNIVERSITAS TADULAKO</v>
      </c>
      <c r="Q2644" t="str">
        <f t="shared" si="41"/>
        <v>UNIVERSITAS TADULAKOPEND. PANCASILA DAN KEWARGANEGARAAN</v>
      </c>
    </row>
    <row r="2645" spans="1:17" ht="15.75" thickBot="1" x14ac:dyDescent="0.3">
      <c r="A2645" s="7">
        <v>2644</v>
      </c>
      <c r="B2645" s="6">
        <v>75</v>
      </c>
      <c r="C2645" s="12">
        <v>7312043</v>
      </c>
      <c r="D2645" t="s">
        <v>233</v>
      </c>
      <c r="E2645" s="12">
        <v>20</v>
      </c>
      <c r="F2645" s="10" t="s">
        <v>13</v>
      </c>
      <c r="J2645" s="138" t="s">
        <v>1292</v>
      </c>
      <c r="K2645" s="138" t="s">
        <v>1292</v>
      </c>
      <c r="L2645" s="138" t="s">
        <v>1292</v>
      </c>
      <c r="M2645" s="13"/>
      <c r="N2645" s="89" t="s">
        <v>1292</v>
      </c>
      <c r="P2645" t="str">
        <f>VLOOKUP(B2645,PTN!A:B,2,FALSE)</f>
        <v>UNIVERSITAS TADULAKO</v>
      </c>
      <c r="Q2645" t="str">
        <f t="shared" si="41"/>
        <v>UNIVERSITAS TADULAKOPEND. SEJARAH</v>
      </c>
    </row>
    <row r="2646" spans="1:17" ht="15.75" thickBot="1" x14ac:dyDescent="0.3">
      <c r="A2646" s="7">
        <v>2645</v>
      </c>
      <c r="B2646" s="6">
        <v>75</v>
      </c>
      <c r="C2646" s="16">
        <v>7312097</v>
      </c>
      <c r="D2646" t="s">
        <v>63</v>
      </c>
      <c r="E2646" s="16">
        <v>42</v>
      </c>
      <c r="F2646" s="10" t="s">
        <v>13</v>
      </c>
      <c r="J2646" s="138" t="s">
        <v>1292</v>
      </c>
      <c r="K2646" s="138" t="s">
        <v>1292</v>
      </c>
      <c r="L2646" s="138" t="s">
        <v>1292</v>
      </c>
      <c r="M2646" s="12"/>
      <c r="N2646" s="88" t="s">
        <v>1292</v>
      </c>
      <c r="P2646" t="str">
        <f>VLOOKUP(B2646,PTN!A:B,2,FALSE)</f>
        <v>UNIVERSITAS TADULAKO</v>
      </c>
      <c r="Q2646" t="str">
        <f t="shared" si="41"/>
        <v>UNIVERSITAS TADULAKOSOSIOLOGI</v>
      </c>
    </row>
    <row r="2647" spans="1:17" ht="16.5" thickTop="1" thickBot="1" x14ac:dyDescent="0.3">
      <c r="A2647" s="7">
        <v>2646</v>
      </c>
      <c r="B2647" s="6">
        <v>70</v>
      </c>
      <c r="C2647" s="12">
        <v>7111103</v>
      </c>
      <c r="D2647" t="s">
        <v>37</v>
      </c>
      <c r="E2647" s="12">
        <v>41</v>
      </c>
      <c r="F2647" s="10" t="s">
        <v>20</v>
      </c>
      <c r="J2647" s="138" t="s">
        <v>1292</v>
      </c>
      <c r="K2647" s="138" t="s">
        <v>1292</v>
      </c>
      <c r="L2647" s="138" t="s">
        <v>1292</v>
      </c>
      <c r="M2647" s="21"/>
      <c r="N2647" s="83" t="s">
        <v>1292</v>
      </c>
      <c r="P2647" t="str">
        <f>VLOOKUP(B2647,PTN!A:B,2,FALSE)</f>
        <v>UNIVERSITAS HASANUDDIN</v>
      </c>
      <c r="Q2647" t="str">
        <f t="shared" si="41"/>
        <v>UNIVERSITAS HASANUDDINAGRIBISNIS</v>
      </c>
    </row>
    <row r="2648" spans="1:17" ht="15.75" thickBot="1" x14ac:dyDescent="0.3">
      <c r="A2648" s="7">
        <v>2647</v>
      </c>
      <c r="B2648" s="6">
        <v>70</v>
      </c>
      <c r="C2648" s="13">
        <v>7111084</v>
      </c>
      <c r="D2648" t="s">
        <v>64</v>
      </c>
      <c r="E2648" s="13">
        <v>81</v>
      </c>
      <c r="F2648" s="10" t="s">
        <v>20</v>
      </c>
      <c r="J2648" s="138" t="s">
        <v>1292</v>
      </c>
      <c r="K2648" s="138" t="s">
        <v>1292</v>
      </c>
      <c r="L2648" s="138" t="s">
        <v>1292</v>
      </c>
      <c r="M2648" s="21"/>
      <c r="N2648" s="83" t="s">
        <v>1292</v>
      </c>
      <c r="P2648" t="str">
        <f>VLOOKUP(B2648,PTN!A:B,2,FALSE)</f>
        <v>UNIVERSITAS HASANUDDIN</v>
      </c>
      <c r="Q2648" t="str">
        <f t="shared" si="41"/>
        <v>UNIVERSITAS HASANUDDINAGROTEKNOLOGI</v>
      </c>
    </row>
    <row r="2649" spans="1:17" ht="16.5" thickTop="1" thickBot="1" x14ac:dyDescent="0.3">
      <c r="A2649" s="7">
        <v>2648</v>
      </c>
      <c r="B2649" s="6">
        <v>70</v>
      </c>
      <c r="C2649" s="12">
        <v>7111061</v>
      </c>
      <c r="D2649" t="s">
        <v>21</v>
      </c>
      <c r="E2649" s="12">
        <v>20</v>
      </c>
      <c r="F2649" s="10" t="s">
        <v>20</v>
      </c>
      <c r="J2649" s="138" t="s">
        <v>1292</v>
      </c>
      <c r="K2649" s="138" t="s">
        <v>1292</v>
      </c>
      <c r="L2649" s="138" t="s">
        <v>1292</v>
      </c>
      <c r="M2649" s="24"/>
      <c r="N2649" s="84" t="s">
        <v>1292</v>
      </c>
      <c r="P2649" t="str">
        <f>VLOOKUP(B2649,PTN!A:B,2,FALSE)</f>
        <v>UNIVERSITAS HASANUDDIN</v>
      </c>
      <c r="Q2649" t="str">
        <f t="shared" si="41"/>
        <v>UNIVERSITAS HASANUDDINBIOLOGI</v>
      </c>
    </row>
    <row r="2650" spans="1:17" ht="16.5" thickTop="1" thickBot="1" x14ac:dyDescent="0.3">
      <c r="A2650" s="7">
        <v>2649</v>
      </c>
      <c r="B2650" s="6">
        <v>70</v>
      </c>
      <c r="C2650" s="13">
        <v>7111277</v>
      </c>
      <c r="D2650" t="s">
        <v>39</v>
      </c>
      <c r="E2650" s="13">
        <v>21</v>
      </c>
      <c r="F2650" s="10" t="s">
        <v>20</v>
      </c>
      <c r="J2650" s="138" t="s">
        <v>1292</v>
      </c>
      <c r="K2650" s="138" t="s">
        <v>1292</v>
      </c>
      <c r="L2650" s="138" t="s">
        <v>1292</v>
      </c>
      <c r="M2650" s="12"/>
      <c r="N2650" s="88" t="s">
        <v>1292</v>
      </c>
      <c r="P2650" t="str">
        <f>VLOOKUP(B2650,PTN!A:B,2,FALSE)</f>
        <v>UNIVERSITAS HASANUDDIN</v>
      </c>
      <c r="Q2650" t="str">
        <f t="shared" si="41"/>
        <v>UNIVERSITAS HASANUDDINBUDIDAYA PERAIRAN</v>
      </c>
    </row>
    <row r="2651" spans="1:17" ht="15.75" thickBot="1" x14ac:dyDescent="0.3">
      <c r="A2651" s="7">
        <v>2650</v>
      </c>
      <c r="B2651" s="6">
        <v>70</v>
      </c>
      <c r="C2651" s="12">
        <v>7111045</v>
      </c>
      <c r="D2651" t="s">
        <v>77</v>
      </c>
      <c r="E2651" s="12">
        <v>34</v>
      </c>
      <c r="F2651" s="10" t="s">
        <v>20</v>
      </c>
      <c r="J2651" s="138" t="s">
        <v>1292</v>
      </c>
      <c r="K2651" s="138" t="s">
        <v>1292</v>
      </c>
      <c r="L2651" s="138" t="s">
        <v>1292</v>
      </c>
      <c r="M2651" s="13"/>
      <c r="N2651" s="89" t="s">
        <v>1292</v>
      </c>
      <c r="P2651" t="str">
        <f>VLOOKUP(B2651,PTN!A:B,2,FALSE)</f>
        <v>UNIVERSITAS HASANUDDIN</v>
      </c>
      <c r="Q2651" t="str">
        <f t="shared" si="41"/>
        <v>UNIVERSITAS HASANUDDINFARMASI</v>
      </c>
    </row>
    <row r="2652" spans="1:17" ht="15.75" thickBot="1" x14ac:dyDescent="0.3">
      <c r="A2652" s="7">
        <v>2651</v>
      </c>
      <c r="B2652" s="6">
        <v>70</v>
      </c>
      <c r="C2652" s="13">
        <v>7111022</v>
      </c>
      <c r="D2652" t="s">
        <v>65</v>
      </c>
      <c r="E2652" s="13">
        <v>18</v>
      </c>
      <c r="F2652" s="10" t="s">
        <v>20</v>
      </c>
      <c r="J2652" s="138" t="s">
        <v>1292</v>
      </c>
      <c r="K2652" s="138" t="s">
        <v>1292</v>
      </c>
      <c r="L2652" s="138" t="s">
        <v>1292</v>
      </c>
      <c r="M2652" s="12"/>
      <c r="N2652" s="88" t="s">
        <v>1292</v>
      </c>
      <c r="P2652" t="str">
        <f>VLOOKUP(B2652,PTN!A:B,2,FALSE)</f>
        <v>UNIVERSITAS HASANUDDIN</v>
      </c>
      <c r="Q2652" t="str">
        <f t="shared" si="41"/>
        <v>UNIVERSITAS HASANUDDINFISIKA</v>
      </c>
    </row>
    <row r="2653" spans="1:17" ht="15.75" thickBot="1" x14ac:dyDescent="0.3">
      <c r="A2653" s="7">
        <v>2652</v>
      </c>
      <c r="B2653" s="6">
        <v>70</v>
      </c>
      <c r="C2653" s="12">
        <v>7111397</v>
      </c>
      <c r="D2653" t="s">
        <v>676</v>
      </c>
      <c r="E2653" s="12">
        <v>12</v>
      </c>
      <c r="F2653" s="10" t="s">
        <v>20</v>
      </c>
      <c r="J2653" s="138" t="s">
        <v>1292</v>
      </c>
      <c r="K2653" s="138" t="s">
        <v>1292</v>
      </c>
      <c r="L2653" s="138" t="s">
        <v>1292</v>
      </c>
      <c r="M2653" s="13"/>
      <c r="N2653" s="89" t="s">
        <v>1292</v>
      </c>
      <c r="P2653" t="str">
        <f>VLOOKUP(B2653,PTN!A:B,2,FALSE)</f>
        <v>UNIVERSITAS HASANUDDIN</v>
      </c>
      <c r="Q2653" t="str">
        <f t="shared" si="41"/>
        <v>UNIVERSITAS HASANUDDINFISOTERAPI</v>
      </c>
    </row>
    <row r="2654" spans="1:17" ht="15.75" thickBot="1" x14ac:dyDescent="0.3">
      <c r="A2654" s="7">
        <v>2653</v>
      </c>
      <c r="B2654" s="6">
        <v>70</v>
      </c>
      <c r="C2654" s="13">
        <v>7111231</v>
      </c>
      <c r="D2654" t="s">
        <v>246</v>
      </c>
      <c r="E2654" s="13">
        <v>18</v>
      </c>
      <c r="F2654" s="10" t="s">
        <v>20</v>
      </c>
      <c r="J2654" s="138" t="s">
        <v>1292</v>
      </c>
      <c r="K2654" s="138" t="s">
        <v>1292</v>
      </c>
      <c r="L2654" s="138" t="s">
        <v>1292</v>
      </c>
      <c r="M2654" s="12"/>
      <c r="N2654" s="88" t="s">
        <v>1292</v>
      </c>
      <c r="P2654" t="str">
        <f>VLOOKUP(B2654,PTN!A:B,2,FALSE)</f>
        <v>UNIVERSITAS HASANUDDIN</v>
      </c>
      <c r="Q2654" t="str">
        <f t="shared" si="41"/>
        <v>UNIVERSITAS HASANUDDINGEOFISIKA</v>
      </c>
    </row>
    <row r="2655" spans="1:17" ht="15.75" thickBot="1" x14ac:dyDescent="0.3">
      <c r="A2655" s="7">
        <v>2654</v>
      </c>
      <c r="B2655" s="6">
        <v>70</v>
      </c>
      <c r="C2655" s="12">
        <v>7111092</v>
      </c>
      <c r="D2655" t="s">
        <v>141</v>
      </c>
      <c r="E2655" s="12">
        <v>21</v>
      </c>
      <c r="F2655" s="10" t="s">
        <v>20</v>
      </c>
      <c r="J2655" s="138" t="s">
        <v>1292</v>
      </c>
      <c r="K2655" s="138" t="s">
        <v>1292</v>
      </c>
      <c r="L2655" s="138" t="s">
        <v>1292</v>
      </c>
      <c r="M2655" s="13"/>
      <c r="N2655" s="89" t="s">
        <v>1292</v>
      </c>
      <c r="P2655" t="str">
        <f>VLOOKUP(B2655,PTN!A:B,2,FALSE)</f>
        <v>UNIVERSITAS HASANUDDIN</v>
      </c>
      <c r="Q2655" t="str">
        <f t="shared" si="41"/>
        <v>UNIVERSITAS HASANUDDINILMU DAN TEKNOLOGI PANGAN</v>
      </c>
    </row>
    <row r="2656" spans="1:17" ht="15.75" thickBot="1" x14ac:dyDescent="0.3">
      <c r="A2656" s="7">
        <v>2655</v>
      </c>
      <c r="B2656" s="6">
        <v>70</v>
      </c>
      <c r="C2656" s="13">
        <v>7111254</v>
      </c>
      <c r="D2656" t="s">
        <v>346</v>
      </c>
      <c r="E2656" s="13">
        <v>16</v>
      </c>
      <c r="F2656" s="10" t="s">
        <v>20</v>
      </c>
      <c r="J2656" s="138" t="s">
        <v>1292</v>
      </c>
      <c r="K2656" s="138" t="s">
        <v>1292</v>
      </c>
      <c r="L2656" s="138" t="s">
        <v>1292</v>
      </c>
      <c r="M2656" s="12"/>
      <c r="N2656" s="88" t="s">
        <v>1292</v>
      </c>
      <c r="P2656" t="str">
        <f>VLOOKUP(B2656,PTN!A:B,2,FALSE)</f>
        <v>UNIVERSITAS HASANUDDIN</v>
      </c>
      <c r="Q2656" t="str">
        <f t="shared" si="41"/>
        <v>UNIVERSITAS HASANUDDINILMU GIZI</v>
      </c>
    </row>
    <row r="2657" spans="1:17" ht="15.75" thickBot="1" x14ac:dyDescent="0.3">
      <c r="A2657" s="7">
        <v>2656</v>
      </c>
      <c r="B2657" s="6">
        <v>70</v>
      </c>
      <c r="C2657" s="12">
        <v>7111262</v>
      </c>
      <c r="D2657" t="s">
        <v>40</v>
      </c>
      <c r="E2657" s="12">
        <v>35</v>
      </c>
      <c r="F2657" s="10" t="s">
        <v>20</v>
      </c>
      <c r="J2657" s="138" t="s">
        <v>1292</v>
      </c>
      <c r="K2657" s="138" t="s">
        <v>1292</v>
      </c>
      <c r="L2657" s="138" t="s">
        <v>1292</v>
      </c>
      <c r="M2657" s="13"/>
      <c r="N2657" s="89" t="s">
        <v>1292</v>
      </c>
      <c r="P2657" t="str">
        <f>VLOOKUP(B2657,PTN!A:B,2,FALSE)</f>
        <v>UNIVERSITAS HASANUDDIN</v>
      </c>
      <c r="Q2657" t="str">
        <f t="shared" si="41"/>
        <v>UNIVERSITAS HASANUDDINILMU KELAUTAN</v>
      </c>
    </row>
    <row r="2658" spans="1:17" ht="15.75" thickBot="1" x14ac:dyDescent="0.3">
      <c r="A2658" s="7">
        <v>2657</v>
      </c>
      <c r="B2658" s="6">
        <v>70</v>
      </c>
      <c r="C2658" s="13">
        <v>7111312</v>
      </c>
      <c r="D2658" t="s">
        <v>78</v>
      </c>
      <c r="E2658" s="13">
        <v>30</v>
      </c>
      <c r="F2658" s="10" t="s">
        <v>20</v>
      </c>
      <c r="J2658" s="138" t="s">
        <v>1292</v>
      </c>
      <c r="K2658" s="138" t="s">
        <v>1292</v>
      </c>
      <c r="L2658" s="138" t="s">
        <v>1292</v>
      </c>
      <c r="M2658" s="12"/>
      <c r="N2658" s="88" t="s">
        <v>1292</v>
      </c>
      <c r="P2658" t="str">
        <f>VLOOKUP(B2658,PTN!A:B,2,FALSE)</f>
        <v>UNIVERSITAS HASANUDDIN</v>
      </c>
      <c r="Q2658" t="str">
        <f t="shared" si="41"/>
        <v>UNIVERSITAS HASANUDDINILMU KEPERAWATAN</v>
      </c>
    </row>
    <row r="2659" spans="1:17" ht="15.75" thickBot="1" x14ac:dyDescent="0.3">
      <c r="A2659" s="7">
        <v>2658</v>
      </c>
      <c r="B2659" s="6">
        <v>70</v>
      </c>
      <c r="C2659" s="12">
        <v>7111432</v>
      </c>
      <c r="D2659" t="s">
        <v>111</v>
      </c>
      <c r="E2659" s="12">
        <v>13</v>
      </c>
      <c r="F2659" s="10" t="s">
        <v>20</v>
      </c>
      <c r="J2659" s="138" t="s">
        <v>1292</v>
      </c>
      <c r="K2659" s="138" t="s">
        <v>1292</v>
      </c>
      <c r="L2659" s="138" t="s">
        <v>1292</v>
      </c>
      <c r="M2659" s="13"/>
      <c r="N2659" s="89" t="s">
        <v>1292</v>
      </c>
      <c r="P2659" t="str">
        <f>VLOOKUP(B2659,PTN!A:B,2,FALSE)</f>
        <v>UNIVERSITAS HASANUDDIN</v>
      </c>
      <c r="Q2659" t="str">
        <f t="shared" si="41"/>
        <v>UNIVERSITAS HASANUDDINILMU KOMPUTER</v>
      </c>
    </row>
    <row r="2660" spans="1:17" ht="15.75" thickBot="1" x14ac:dyDescent="0.3">
      <c r="A2660" s="7">
        <v>2659</v>
      </c>
      <c r="B2660" s="6">
        <v>70</v>
      </c>
      <c r="C2660" s="13">
        <v>7111416</v>
      </c>
      <c r="D2660" t="s">
        <v>348</v>
      </c>
      <c r="E2660" s="13">
        <v>8</v>
      </c>
      <c r="F2660" s="10" t="s">
        <v>20</v>
      </c>
      <c r="J2660" s="138" t="s">
        <v>1292</v>
      </c>
      <c r="K2660" s="138" t="s">
        <v>1292</v>
      </c>
      <c r="L2660" s="138" t="s">
        <v>1292</v>
      </c>
      <c r="M2660" s="12"/>
      <c r="N2660" s="88" t="s">
        <v>1292</v>
      </c>
      <c r="P2660" t="str">
        <f>VLOOKUP(B2660,PTN!A:B,2,FALSE)</f>
        <v>UNIVERSITAS HASANUDDIN</v>
      </c>
      <c r="Q2660" t="str">
        <f t="shared" si="41"/>
        <v>UNIVERSITAS HASANUDDINKEDOKTERAN HEWAN</v>
      </c>
    </row>
    <row r="2661" spans="1:17" ht="15.75" thickBot="1" x14ac:dyDescent="0.3">
      <c r="A2661" s="7">
        <v>2660</v>
      </c>
      <c r="B2661" s="6">
        <v>70</v>
      </c>
      <c r="C2661" s="12">
        <v>7111215</v>
      </c>
      <c r="D2661" t="s">
        <v>81</v>
      </c>
      <c r="E2661" s="12">
        <v>60</v>
      </c>
      <c r="F2661" s="10" t="s">
        <v>20</v>
      </c>
      <c r="J2661" s="138" t="s">
        <v>1292</v>
      </c>
      <c r="K2661" s="138" t="s">
        <v>1292</v>
      </c>
      <c r="L2661" s="138" t="s">
        <v>1292</v>
      </c>
      <c r="M2661" s="13"/>
      <c r="N2661" s="89" t="s">
        <v>1292</v>
      </c>
      <c r="P2661" t="str">
        <f>VLOOKUP(B2661,PTN!A:B,2,FALSE)</f>
        <v>UNIVERSITAS HASANUDDIN</v>
      </c>
      <c r="Q2661" t="str">
        <f t="shared" si="41"/>
        <v>UNIVERSITAS HASANUDDINKEHUTANAN</v>
      </c>
    </row>
    <row r="2662" spans="1:17" ht="15.75" thickBot="1" x14ac:dyDescent="0.3">
      <c r="A2662" s="7">
        <v>2661</v>
      </c>
      <c r="B2662" s="6">
        <v>70</v>
      </c>
      <c r="C2662" s="13">
        <v>7111037</v>
      </c>
      <c r="D2662" t="s">
        <v>107</v>
      </c>
      <c r="E2662" s="13">
        <v>50</v>
      </c>
      <c r="F2662" s="10" t="s">
        <v>20</v>
      </c>
      <c r="J2662" s="138">
        <v>580</v>
      </c>
      <c r="K2662" s="138" t="s">
        <v>1292</v>
      </c>
      <c r="L2662" s="138" t="s">
        <v>1292</v>
      </c>
      <c r="M2662" s="12"/>
      <c r="N2662" s="88">
        <v>580</v>
      </c>
      <c r="P2662" t="str">
        <f>VLOOKUP(B2662,PTN!A:B,2,FALSE)</f>
        <v>UNIVERSITAS HASANUDDIN</v>
      </c>
      <c r="Q2662" t="str">
        <f t="shared" si="41"/>
        <v>UNIVERSITAS HASANUDDINKESEHATAN MASYARAKAT</v>
      </c>
    </row>
    <row r="2663" spans="1:17" ht="15.75" thickBot="1" x14ac:dyDescent="0.3">
      <c r="A2663" s="7">
        <v>2662</v>
      </c>
      <c r="B2663" s="6">
        <v>70</v>
      </c>
      <c r="C2663" s="12">
        <v>7111111</v>
      </c>
      <c r="D2663" t="s">
        <v>142</v>
      </c>
      <c r="E2663" s="12">
        <v>21</v>
      </c>
      <c r="F2663" s="10" t="s">
        <v>20</v>
      </c>
      <c r="J2663" s="138" t="s">
        <v>1292</v>
      </c>
      <c r="K2663" s="138" t="s">
        <v>1292</v>
      </c>
      <c r="L2663" s="138" t="s">
        <v>1292</v>
      </c>
      <c r="M2663" s="13"/>
      <c r="N2663" s="89" t="s">
        <v>1292</v>
      </c>
      <c r="P2663" t="str">
        <f>VLOOKUP(B2663,PTN!A:B,2,FALSE)</f>
        <v>UNIVERSITAS HASANUDDIN</v>
      </c>
      <c r="Q2663" t="str">
        <f t="shared" si="41"/>
        <v>UNIVERSITAS HASANUDDINKETEKNIKAN PERTANIAN</v>
      </c>
    </row>
    <row r="2664" spans="1:17" ht="15.75" thickBot="1" x14ac:dyDescent="0.3">
      <c r="A2664" s="7">
        <v>2663</v>
      </c>
      <c r="B2664" s="6">
        <v>70</v>
      </c>
      <c r="C2664" s="13">
        <v>7111053</v>
      </c>
      <c r="D2664" t="s">
        <v>22</v>
      </c>
      <c r="E2664" s="13">
        <v>20</v>
      </c>
      <c r="F2664" s="10" t="s">
        <v>20</v>
      </c>
      <c r="J2664" s="138" t="s">
        <v>1292</v>
      </c>
      <c r="K2664" s="138" t="s">
        <v>1292</v>
      </c>
      <c r="L2664" s="138" t="s">
        <v>1292</v>
      </c>
      <c r="M2664" s="12"/>
      <c r="N2664" s="88" t="s">
        <v>1292</v>
      </c>
      <c r="P2664" t="str">
        <f>VLOOKUP(B2664,PTN!A:B,2,FALSE)</f>
        <v>UNIVERSITAS HASANUDDIN</v>
      </c>
      <c r="Q2664" t="str">
        <f t="shared" si="41"/>
        <v>UNIVERSITAS HASANUDDINKIMIA</v>
      </c>
    </row>
    <row r="2665" spans="1:17" ht="15.75" thickBot="1" x14ac:dyDescent="0.3">
      <c r="A2665" s="7">
        <v>2664</v>
      </c>
      <c r="B2665" s="6">
        <v>70</v>
      </c>
      <c r="C2665" s="12">
        <v>7111285</v>
      </c>
      <c r="D2665" t="s">
        <v>213</v>
      </c>
      <c r="E2665" s="12">
        <v>21</v>
      </c>
      <c r="F2665" s="10" t="s">
        <v>20</v>
      </c>
      <c r="J2665" s="138" t="s">
        <v>1292</v>
      </c>
      <c r="K2665" s="138" t="s">
        <v>1292</v>
      </c>
      <c r="L2665" s="138" t="s">
        <v>1292</v>
      </c>
      <c r="M2665" s="13"/>
      <c r="N2665" s="89" t="s">
        <v>1292</v>
      </c>
      <c r="P2665" t="str">
        <f>VLOOKUP(B2665,PTN!A:B,2,FALSE)</f>
        <v>UNIVERSITAS HASANUDDIN</v>
      </c>
      <c r="Q2665" t="str">
        <f t="shared" si="41"/>
        <v>UNIVERSITAS HASANUDDINMANAJEMEN SUMBERDAYA PERAIRAN</v>
      </c>
    </row>
    <row r="2666" spans="1:17" ht="15.75" thickBot="1" x14ac:dyDescent="0.3">
      <c r="A2666" s="7">
        <v>2665</v>
      </c>
      <c r="B2666" s="6">
        <v>70</v>
      </c>
      <c r="C2666" s="13">
        <v>7111014</v>
      </c>
      <c r="D2666" t="s">
        <v>66</v>
      </c>
      <c r="E2666" s="13">
        <v>18</v>
      </c>
      <c r="F2666" s="10" t="s">
        <v>20</v>
      </c>
      <c r="J2666" s="138" t="s">
        <v>1292</v>
      </c>
      <c r="K2666" s="138" t="s">
        <v>1292</v>
      </c>
      <c r="L2666" s="138" t="s">
        <v>1292</v>
      </c>
      <c r="M2666" s="12"/>
      <c r="N2666" s="88" t="s">
        <v>1292</v>
      </c>
      <c r="P2666" t="str">
        <f>VLOOKUP(B2666,PTN!A:B,2,FALSE)</f>
        <v>UNIVERSITAS HASANUDDIN</v>
      </c>
      <c r="Q2666" t="str">
        <f t="shared" si="41"/>
        <v>UNIVERSITAS HASANUDDINMATEMATIKA</v>
      </c>
    </row>
    <row r="2667" spans="1:17" ht="15.75" thickBot="1" x14ac:dyDescent="0.3">
      <c r="A2667" s="7">
        <v>2666</v>
      </c>
      <c r="B2667" s="6">
        <v>70</v>
      </c>
      <c r="C2667" s="12">
        <v>7111293</v>
      </c>
      <c r="D2667" t="s">
        <v>83</v>
      </c>
      <c r="E2667" s="12">
        <v>21</v>
      </c>
      <c r="F2667" s="10" t="s">
        <v>20</v>
      </c>
      <c r="J2667" s="138" t="s">
        <v>1292</v>
      </c>
      <c r="K2667" s="138" t="s">
        <v>1292</v>
      </c>
      <c r="L2667" s="138" t="s">
        <v>1292</v>
      </c>
      <c r="M2667" s="13"/>
      <c r="N2667" s="89" t="s">
        <v>1292</v>
      </c>
      <c r="P2667" t="str">
        <f>VLOOKUP(B2667,PTN!A:B,2,FALSE)</f>
        <v>UNIVERSITAS HASANUDDIN</v>
      </c>
      <c r="Q2667" t="str">
        <f t="shared" si="41"/>
        <v>UNIVERSITAS HASANUDDINPEMANFAATAN SUMBERDAYA PERIKANAN</v>
      </c>
    </row>
    <row r="2668" spans="1:17" ht="15.75" thickBot="1" x14ac:dyDescent="0.3">
      <c r="A2668" s="7">
        <v>2667</v>
      </c>
      <c r="B2668" s="6">
        <v>70</v>
      </c>
      <c r="C2668" s="13">
        <v>7111076</v>
      </c>
      <c r="D2668" t="s">
        <v>41</v>
      </c>
      <c r="E2668" s="13">
        <v>50</v>
      </c>
      <c r="F2668" s="10" t="s">
        <v>20</v>
      </c>
      <c r="J2668" s="138">
        <v>684.06</v>
      </c>
      <c r="K2668" s="138">
        <v>694.76499999999999</v>
      </c>
      <c r="L2668" s="138">
        <v>673.3549999999999</v>
      </c>
      <c r="M2668" s="12"/>
      <c r="N2668" s="88">
        <v>684.06</v>
      </c>
      <c r="P2668" t="str">
        <f>VLOOKUP(B2668,PTN!A:B,2,FALSE)</f>
        <v>UNIVERSITAS HASANUDDIN</v>
      </c>
      <c r="Q2668" t="str">
        <f t="shared" si="41"/>
        <v>UNIVERSITAS HASANUDDINPENDIDIKAN DOKTER</v>
      </c>
    </row>
    <row r="2669" spans="1:17" ht="15.75" thickBot="1" x14ac:dyDescent="0.3">
      <c r="A2669" s="7">
        <v>2668</v>
      </c>
      <c r="B2669" s="6">
        <v>70</v>
      </c>
      <c r="C2669" s="12">
        <v>7111196</v>
      </c>
      <c r="D2669" t="s">
        <v>85</v>
      </c>
      <c r="E2669" s="12">
        <v>20</v>
      </c>
      <c r="F2669" s="10" t="s">
        <v>20</v>
      </c>
      <c r="J2669" s="138">
        <v>643.72</v>
      </c>
      <c r="K2669" s="138">
        <v>653.495</v>
      </c>
      <c r="L2669" s="138">
        <v>633.94500000000005</v>
      </c>
      <c r="M2669" s="13"/>
      <c r="N2669" s="89">
        <v>643.72</v>
      </c>
      <c r="P2669" t="str">
        <f>VLOOKUP(B2669,PTN!A:B,2,FALSE)</f>
        <v>UNIVERSITAS HASANUDDIN</v>
      </c>
      <c r="Q2669" t="str">
        <f t="shared" si="41"/>
        <v>UNIVERSITAS HASANUDDINPENDIDIKAN DOKTER GIGI</v>
      </c>
    </row>
    <row r="2670" spans="1:17" ht="15.75" thickBot="1" x14ac:dyDescent="0.3">
      <c r="A2670" s="7">
        <v>2669</v>
      </c>
      <c r="B2670" s="6">
        <v>70</v>
      </c>
      <c r="C2670" s="13">
        <v>7111327</v>
      </c>
      <c r="D2670" t="s">
        <v>88</v>
      </c>
      <c r="E2670" s="13">
        <v>65</v>
      </c>
      <c r="F2670" s="10" t="s">
        <v>20</v>
      </c>
      <c r="J2670" s="138" t="s">
        <v>1292</v>
      </c>
      <c r="K2670" s="138" t="s">
        <v>1292</v>
      </c>
      <c r="L2670" s="138" t="s">
        <v>1292</v>
      </c>
      <c r="M2670" s="12"/>
      <c r="N2670" s="88" t="s">
        <v>1292</v>
      </c>
      <c r="P2670" t="str">
        <f>VLOOKUP(B2670,PTN!A:B,2,FALSE)</f>
        <v>UNIVERSITAS HASANUDDIN</v>
      </c>
      <c r="Q2670" t="str">
        <f t="shared" si="41"/>
        <v>UNIVERSITAS HASANUDDINPETERNAKAN</v>
      </c>
    </row>
    <row r="2671" spans="1:17" ht="15.75" thickBot="1" x14ac:dyDescent="0.3">
      <c r="A2671" s="7">
        <v>2670</v>
      </c>
      <c r="B2671" s="6">
        <v>70</v>
      </c>
      <c r="C2671" s="12">
        <v>7111424</v>
      </c>
      <c r="D2671" t="s">
        <v>36</v>
      </c>
      <c r="E2671" s="12">
        <v>14</v>
      </c>
      <c r="F2671" s="10" t="s">
        <v>20</v>
      </c>
      <c r="J2671" s="138" t="s">
        <v>1292</v>
      </c>
      <c r="K2671" s="138" t="s">
        <v>1292</v>
      </c>
      <c r="L2671" s="138" t="s">
        <v>1292</v>
      </c>
      <c r="M2671" s="13"/>
      <c r="N2671" s="89" t="s">
        <v>1292</v>
      </c>
      <c r="P2671" t="str">
        <f>VLOOKUP(B2671,PTN!A:B,2,FALSE)</f>
        <v>UNIVERSITAS HASANUDDIN</v>
      </c>
      <c r="Q2671" t="str">
        <f t="shared" si="41"/>
        <v>UNIVERSITAS HASANUDDINPSIKOLOGI</v>
      </c>
    </row>
    <row r="2672" spans="1:17" ht="15.75" thickBot="1" x14ac:dyDescent="0.3">
      <c r="A2672" s="7">
        <v>2671</v>
      </c>
      <c r="B2672" s="6">
        <v>70</v>
      </c>
      <c r="C2672" s="13">
        <v>7111304</v>
      </c>
      <c r="D2672" t="s">
        <v>219</v>
      </c>
      <c r="E2672" s="13">
        <v>17</v>
      </c>
      <c r="F2672" s="10" t="s">
        <v>20</v>
      </c>
      <c r="J2672" s="138" t="s">
        <v>1292</v>
      </c>
      <c r="K2672" s="138" t="s">
        <v>1292</v>
      </c>
      <c r="L2672" s="138" t="s">
        <v>1292</v>
      </c>
      <c r="M2672" s="12"/>
      <c r="N2672" s="88" t="s">
        <v>1292</v>
      </c>
      <c r="P2672" t="str">
        <f>VLOOKUP(B2672,PTN!A:B,2,FALSE)</f>
        <v>UNIVERSITAS HASANUDDIN</v>
      </c>
      <c r="Q2672" t="str">
        <f t="shared" si="41"/>
        <v>UNIVERSITAS HASANUDDINSOSIAL EKONOMI PERIKANAN</v>
      </c>
    </row>
    <row r="2673" spans="1:17" ht="15.75" thickBot="1" x14ac:dyDescent="0.3">
      <c r="A2673" s="7">
        <v>2672</v>
      </c>
      <c r="B2673" s="6">
        <v>70</v>
      </c>
      <c r="C2673" s="12">
        <v>7111246</v>
      </c>
      <c r="D2673" t="s">
        <v>90</v>
      </c>
      <c r="E2673" s="12">
        <v>17</v>
      </c>
      <c r="F2673" s="10" t="s">
        <v>20</v>
      </c>
      <c r="J2673" s="138" t="s">
        <v>1292</v>
      </c>
      <c r="K2673" s="138" t="s">
        <v>1292</v>
      </c>
      <c r="L2673" s="138" t="s">
        <v>1292</v>
      </c>
      <c r="M2673" s="13"/>
      <c r="N2673" s="89" t="s">
        <v>1292</v>
      </c>
      <c r="P2673" t="str">
        <f>VLOOKUP(B2673,PTN!A:B,2,FALSE)</f>
        <v>UNIVERSITAS HASANUDDIN</v>
      </c>
      <c r="Q2673" t="str">
        <f t="shared" si="41"/>
        <v>UNIVERSITAS HASANUDDINSTATISTIKA</v>
      </c>
    </row>
    <row r="2674" spans="1:17" ht="15.75" thickBot="1" x14ac:dyDescent="0.3">
      <c r="A2674" s="7">
        <v>2673</v>
      </c>
      <c r="B2674" s="6">
        <v>70</v>
      </c>
      <c r="C2674" s="13">
        <v>7111207</v>
      </c>
      <c r="D2674" t="s">
        <v>47</v>
      </c>
      <c r="E2674" s="13">
        <v>18</v>
      </c>
      <c r="F2674" s="10" t="s">
        <v>20</v>
      </c>
      <c r="J2674" s="138" t="s">
        <v>1292</v>
      </c>
      <c r="K2674" s="138" t="s">
        <v>1292</v>
      </c>
      <c r="L2674" s="138" t="s">
        <v>1292</v>
      </c>
      <c r="M2674" s="12"/>
      <c r="N2674" s="88" t="s">
        <v>1292</v>
      </c>
      <c r="P2674" t="str">
        <f>VLOOKUP(B2674,PTN!A:B,2,FALSE)</f>
        <v>UNIVERSITAS HASANUDDIN</v>
      </c>
      <c r="Q2674" t="str">
        <f t="shared" si="41"/>
        <v>UNIVERSITAS HASANUDDINTEKNIK ARSITEKTUR</v>
      </c>
    </row>
    <row r="2675" spans="1:17" ht="15.75" thickBot="1" x14ac:dyDescent="0.3">
      <c r="A2675" s="7">
        <v>2674</v>
      </c>
      <c r="B2675" s="6">
        <v>70</v>
      </c>
      <c r="C2675" s="12">
        <v>7111165</v>
      </c>
      <c r="D2675" t="s">
        <v>48</v>
      </c>
      <c r="E2675" s="12">
        <v>25</v>
      </c>
      <c r="F2675" s="10" t="s">
        <v>20</v>
      </c>
      <c r="J2675" s="138" t="s">
        <v>1292</v>
      </c>
      <c r="K2675" s="138" t="s">
        <v>1292</v>
      </c>
      <c r="L2675" s="138" t="s">
        <v>1292</v>
      </c>
      <c r="M2675" s="13"/>
      <c r="N2675" s="89" t="s">
        <v>1292</v>
      </c>
      <c r="P2675" t="str">
        <f>VLOOKUP(B2675,PTN!A:B,2,FALSE)</f>
        <v>UNIVERSITAS HASANUDDIN</v>
      </c>
      <c r="Q2675" t="str">
        <f t="shared" si="41"/>
        <v>UNIVERSITAS HASANUDDINTEKNIK ELEKTRO</v>
      </c>
    </row>
    <row r="2676" spans="1:17" ht="15.75" thickBot="1" x14ac:dyDescent="0.3">
      <c r="A2676" s="7">
        <v>2675</v>
      </c>
      <c r="B2676" s="6">
        <v>70</v>
      </c>
      <c r="C2676" s="13">
        <v>7111181</v>
      </c>
      <c r="D2676" t="s">
        <v>92</v>
      </c>
      <c r="E2676" s="13">
        <v>24</v>
      </c>
      <c r="F2676" s="10" t="s">
        <v>20</v>
      </c>
      <c r="J2676" s="138" t="s">
        <v>1292</v>
      </c>
      <c r="K2676" s="138" t="s">
        <v>1292</v>
      </c>
      <c r="L2676" s="138" t="s">
        <v>1292</v>
      </c>
      <c r="M2676" s="12"/>
      <c r="N2676" s="88" t="s">
        <v>1292</v>
      </c>
      <c r="P2676" t="str">
        <f>VLOOKUP(B2676,PTN!A:B,2,FALSE)</f>
        <v>UNIVERSITAS HASANUDDIN</v>
      </c>
      <c r="Q2676" t="str">
        <f t="shared" si="41"/>
        <v>UNIVERSITAS HASANUDDINTEKNIK GEOLOGI</v>
      </c>
    </row>
    <row r="2677" spans="1:17" ht="15.75" thickBot="1" x14ac:dyDescent="0.3">
      <c r="A2677" s="7">
        <v>2676</v>
      </c>
      <c r="B2677" s="6">
        <v>70</v>
      </c>
      <c r="C2677" s="12">
        <v>7111343</v>
      </c>
      <c r="D2677" t="s">
        <v>49</v>
      </c>
      <c r="E2677" s="12">
        <v>18</v>
      </c>
      <c r="F2677" s="10" t="s">
        <v>20</v>
      </c>
      <c r="J2677" s="138" t="s">
        <v>1292</v>
      </c>
      <c r="K2677" s="138" t="s">
        <v>1292</v>
      </c>
      <c r="L2677" s="138" t="s">
        <v>1292</v>
      </c>
      <c r="M2677" s="13"/>
      <c r="N2677" s="89" t="s">
        <v>1292</v>
      </c>
      <c r="P2677" t="str">
        <f>VLOOKUP(B2677,PTN!A:B,2,FALSE)</f>
        <v>UNIVERSITAS HASANUDDIN</v>
      </c>
      <c r="Q2677" t="str">
        <f t="shared" si="41"/>
        <v>UNIVERSITAS HASANUDDINTEKNIK INDUSTRI</v>
      </c>
    </row>
    <row r="2678" spans="1:17" ht="15.75" thickBot="1" x14ac:dyDescent="0.3">
      <c r="A2678" s="7">
        <v>2677</v>
      </c>
      <c r="B2678" s="6">
        <v>70</v>
      </c>
      <c r="C2678" s="13">
        <v>7111382</v>
      </c>
      <c r="D2678" t="s">
        <v>50</v>
      </c>
      <c r="E2678" s="13">
        <v>18</v>
      </c>
      <c r="F2678" s="10" t="s">
        <v>20</v>
      </c>
      <c r="J2678" s="138">
        <v>623.59</v>
      </c>
      <c r="K2678" s="138">
        <v>635.61</v>
      </c>
      <c r="L2678" s="138">
        <v>611.57000000000005</v>
      </c>
      <c r="M2678" s="12"/>
      <c r="N2678" s="88">
        <v>623.59</v>
      </c>
      <c r="P2678" t="str">
        <f>VLOOKUP(B2678,PTN!A:B,2,FALSE)</f>
        <v>UNIVERSITAS HASANUDDIN</v>
      </c>
      <c r="Q2678" t="str">
        <f t="shared" si="41"/>
        <v>UNIVERSITAS HASANUDDINTEKNIK INFORMATIKA</v>
      </c>
    </row>
    <row r="2679" spans="1:17" ht="15.75" thickBot="1" x14ac:dyDescent="0.3">
      <c r="A2679" s="7">
        <v>2678</v>
      </c>
      <c r="B2679" s="6">
        <v>70</v>
      </c>
      <c r="C2679" s="12">
        <v>7111335</v>
      </c>
      <c r="D2679" t="s">
        <v>269</v>
      </c>
      <c r="E2679" s="12">
        <v>14</v>
      </c>
      <c r="F2679" s="10" t="s">
        <v>20</v>
      </c>
      <c r="J2679" s="138" t="s">
        <v>1292</v>
      </c>
      <c r="K2679" s="138" t="s">
        <v>1292</v>
      </c>
      <c r="L2679" s="138" t="s">
        <v>1292</v>
      </c>
      <c r="M2679" s="13"/>
      <c r="N2679" s="89" t="s">
        <v>1292</v>
      </c>
      <c r="P2679" t="str">
        <f>VLOOKUP(B2679,PTN!A:B,2,FALSE)</f>
        <v>UNIVERSITAS HASANUDDIN</v>
      </c>
      <c r="Q2679" t="str">
        <f t="shared" si="41"/>
        <v>UNIVERSITAS HASANUDDINTEKNIK KELAUTAN</v>
      </c>
    </row>
    <row r="2680" spans="1:17" ht="15.75" thickBot="1" x14ac:dyDescent="0.3">
      <c r="A2680" s="7">
        <v>2679</v>
      </c>
      <c r="B2680" s="6">
        <v>70</v>
      </c>
      <c r="C2680" s="13">
        <v>7111401</v>
      </c>
      <c r="D2680" t="s">
        <v>25</v>
      </c>
      <c r="E2680" s="13">
        <v>16</v>
      </c>
      <c r="F2680" s="10" t="s">
        <v>20</v>
      </c>
      <c r="J2680" s="138" t="s">
        <v>1292</v>
      </c>
      <c r="K2680" s="138" t="s">
        <v>1292</v>
      </c>
      <c r="L2680" s="138" t="s">
        <v>1292</v>
      </c>
      <c r="M2680" s="12"/>
      <c r="N2680" s="88" t="s">
        <v>1292</v>
      </c>
      <c r="P2680" t="str">
        <f>VLOOKUP(B2680,PTN!A:B,2,FALSE)</f>
        <v>UNIVERSITAS HASANUDDIN</v>
      </c>
      <c r="Q2680" t="str">
        <f t="shared" si="41"/>
        <v>UNIVERSITAS HASANUDDINTEKNIK LINGKUNGAN</v>
      </c>
    </row>
    <row r="2681" spans="1:17" ht="15.75" thickBot="1" x14ac:dyDescent="0.3">
      <c r="A2681" s="7">
        <v>2680</v>
      </c>
      <c r="B2681" s="6">
        <v>70</v>
      </c>
      <c r="C2681" s="12">
        <v>7111157</v>
      </c>
      <c r="D2681" t="s">
        <v>53</v>
      </c>
      <c r="E2681" s="12">
        <v>30</v>
      </c>
      <c r="F2681" s="10" t="s">
        <v>20</v>
      </c>
      <c r="J2681" s="138" t="s">
        <v>1292</v>
      </c>
      <c r="K2681" s="138" t="s">
        <v>1292</v>
      </c>
      <c r="L2681" s="138" t="s">
        <v>1292</v>
      </c>
      <c r="M2681" s="13"/>
      <c r="N2681" s="89" t="s">
        <v>1292</v>
      </c>
      <c r="P2681" t="str">
        <f>VLOOKUP(B2681,PTN!A:B,2,FALSE)</f>
        <v>UNIVERSITAS HASANUDDIN</v>
      </c>
      <c r="Q2681" t="str">
        <f t="shared" si="41"/>
        <v>UNIVERSITAS HASANUDDINTEKNIK MESIN</v>
      </c>
    </row>
    <row r="2682" spans="1:17" ht="15.75" thickBot="1" x14ac:dyDescent="0.3">
      <c r="A2682" s="7">
        <v>2681</v>
      </c>
      <c r="B2682" s="6">
        <v>70</v>
      </c>
      <c r="C2682" s="13">
        <v>7111366</v>
      </c>
      <c r="D2682" t="s">
        <v>677</v>
      </c>
      <c r="E2682" s="13">
        <v>18</v>
      </c>
      <c r="F2682" s="10" t="s">
        <v>20</v>
      </c>
      <c r="J2682" s="138" t="s">
        <v>1292</v>
      </c>
      <c r="K2682" s="138" t="s">
        <v>1292</v>
      </c>
      <c r="L2682" s="138" t="s">
        <v>1292</v>
      </c>
      <c r="M2682" s="12"/>
      <c r="N2682" s="88" t="s">
        <v>1292</v>
      </c>
      <c r="P2682" t="str">
        <f>VLOOKUP(B2682,PTN!A:B,2,FALSE)</f>
        <v>UNIVERSITAS HASANUDDIN</v>
      </c>
      <c r="Q2682" t="str">
        <f t="shared" si="41"/>
        <v>UNIVERSITAS HASANUDDINTEKNIK PENGEMB. WILAYAH KOTA</v>
      </c>
    </row>
    <row r="2683" spans="1:17" ht="15.75" thickBot="1" x14ac:dyDescent="0.3">
      <c r="A2683" s="7">
        <v>2682</v>
      </c>
      <c r="B2683" s="6">
        <v>70</v>
      </c>
      <c r="C2683" s="12">
        <v>7111173</v>
      </c>
      <c r="D2683" t="s">
        <v>295</v>
      </c>
      <c r="E2683" s="12">
        <v>20</v>
      </c>
      <c r="F2683" s="10" t="s">
        <v>20</v>
      </c>
      <c r="J2683" s="138" t="s">
        <v>1292</v>
      </c>
      <c r="K2683" s="138" t="s">
        <v>1292</v>
      </c>
      <c r="L2683" s="138" t="s">
        <v>1292</v>
      </c>
      <c r="M2683" s="13"/>
      <c r="N2683" s="89" t="s">
        <v>1292</v>
      </c>
      <c r="P2683" t="str">
        <f>VLOOKUP(B2683,PTN!A:B,2,FALSE)</f>
        <v>UNIVERSITAS HASANUDDIN</v>
      </c>
      <c r="Q2683" t="str">
        <f t="shared" si="41"/>
        <v>UNIVERSITAS HASANUDDINTEKNIK PERKAPALAN</v>
      </c>
    </row>
    <row r="2684" spans="1:17" ht="15.75" thickBot="1" x14ac:dyDescent="0.3">
      <c r="A2684" s="7">
        <v>2683</v>
      </c>
      <c r="B2684" s="6">
        <v>70</v>
      </c>
      <c r="C2684" s="13">
        <v>7111374</v>
      </c>
      <c r="D2684" t="s">
        <v>239</v>
      </c>
      <c r="E2684" s="13">
        <v>14</v>
      </c>
      <c r="F2684" s="10" t="s">
        <v>20</v>
      </c>
      <c r="J2684" s="138" t="s">
        <v>1292</v>
      </c>
      <c r="K2684" s="138" t="s">
        <v>1292</v>
      </c>
      <c r="L2684" s="138" t="s">
        <v>1292</v>
      </c>
      <c r="M2684" s="12"/>
      <c r="N2684" s="88" t="s">
        <v>1292</v>
      </c>
      <c r="P2684" t="str">
        <f>VLOOKUP(B2684,PTN!A:B,2,FALSE)</f>
        <v>UNIVERSITAS HASANUDDIN</v>
      </c>
      <c r="Q2684" t="str">
        <f t="shared" si="41"/>
        <v>UNIVERSITAS HASANUDDINTEKNIK PERTAMBANGAN</v>
      </c>
    </row>
    <row r="2685" spans="1:17" ht="15.75" thickBot="1" x14ac:dyDescent="0.3">
      <c r="A2685" s="7">
        <v>2684</v>
      </c>
      <c r="B2685" s="6">
        <v>70</v>
      </c>
      <c r="C2685" s="12">
        <v>7111142</v>
      </c>
      <c r="D2685" t="s">
        <v>54</v>
      </c>
      <c r="E2685" s="12">
        <v>28</v>
      </c>
      <c r="F2685" s="10" t="s">
        <v>20</v>
      </c>
      <c r="J2685" s="138" t="s">
        <v>1292</v>
      </c>
      <c r="K2685" s="138" t="s">
        <v>1292</v>
      </c>
      <c r="L2685" s="138" t="s">
        <v>1292</v>
      </c>
      <c r="M2685" s="13"/>
      <c r="N2685" s="89" t="s">
        <v>1292</v>
      </c>
      <c r="P2685" t="str">
        <f>VLOOKUP(B2685,PTN!A:B,2,FALSE)</f>
        <v>UNIVERSITAS HASANUDDIN</v>
      </c>
      <c r="Q2685" t="str">
        <f t="shared" si="41"/>
        <v>UNIVERSITAS HASANUDDINTEKNIK SIPIL</v>
      </c>
    </row>
    <row r="2686" spans="1:17" ht="15.75" thickBot="1" x14ac:dyDescent="0.3">
      <c r="A2686" s="7">
        <v>2685</v>
      </c>
      <c r="B2686" s="6">
        <v>70</v>
      </c>
      <c r="C2686" s="16">
        <v>7111351</v>
      </c>
      <c r="D2686" t="s">
        <v>518</v>
      </c>
      <c r="E2686" s="16">
        <v>18</v>
      </c>
      <c r="F2686" s="10" t="s">
        <v>20</v>
      </c>
      <c r="J2686" s="138" t="s">
        <v>1292</v>
      </c>
      <c r="K2686" s="138" t="s">
        <v>1292</v>
      </c>
      <c r="L2686" s="138" t="s">
        <v>1292</v>
      </c>
      <c r="M2686" s="12"/>
      <c r="N2686" s="88" t="s">
        <v>1292</v>
      </c>
      <c r="P2686" t="str">
        <f>VLOOKUP(B2686,PTN!A:B,2,FALSE)</f>
        <v>UNIVERSITAS HASANUDDIN</v>
      </c>
      <c r="Q2686" t="str">
        <f t="shared" si="41"/>
        <v>UNIVERSITAS HASANUDDINTEKNIK SISTEM PERKAPALAN</v>
      </c>
    </row>
    <row r="2687" spans="1:17" ht="16.5" thickTop="1" thickBot="1" x14ac:dyDescent="0.3">
      <c r="A2687" s="7">
        <v>2686</v>
      </c>
      <c r="B2687" s="6">
        <v>70</v>
      </c>
      <c r="C2687" s="12">
        <v>7112095</v>
      </c>
      <c r="D2687" t="s">
        <v>55</v>
      </c>
      <c r="E2687" s="12">
        <v>40</v>
      </c>
      <c r="F2687" s="10" t="s">
        <v>13</v>
      </c>
      <c r="J2687" s="138">
        <v>586.84</v>
      </c>
      <c r="K2687" s="138">
        <v>594.97773000000007</v>
      </c>
      <c r="L2687" s="138">
        <v>578.70227</v>
      </c>
      <c r="M2687" s="21"/>
      <c r="N2687" s="83">
        <v>586.84</v>
      </c>
      <c r="P2687" t="str">
        <f>VLOOKUP(B2687,PTN!A:B,2,FALSE)</f>
        <v>UNIVERSITAS HASANUDDIN</v>
      </c>
      <c r="Q2687" t="str">
        <f t="shared" si="41"/>
        <v>UNIVERSITAS HASANUDDINAKUNTANSI</v>
      </c>
    </row>
    <row r="2688" spans="1:17" ht="15.75" thickBot="1" x14ac:dyDescent="0.3">
      <c r="A2688" s="7">
        <v>2687</v>
      </c>
      <c r="B2688" s="6">
        <v>70</v>
      </c>
      <c r="C2688" s="13">
        <v>7112056</v>
      </c>
      <c r="D2688" t="s">
        <v>144</v>
      </c>
      <c r="E2688" s="13">
        <v>16</v>
      </c>
      <c r="F2688" s="10" t="s">
        <v>13</v>
      </c>
      <c r="J2688" s="138" t="s">
        <v>1292</v>
      </c>
      <c r="K2688" s="138" t="s">
        <v>1292</v>
      </c>
      <c r="L2688" s="138" t="s">
        <v>1292</v>
      </c>
      <c r="M2688" s="21"/>
      <c r="N2688" s="83" t="s">
        <v>1292</v>
      </c>
      <c r="P2688" t="str">
        <f>VLOOKUP(B2688,PTN!A:B,2,FALSE)</f>
        <v>UNIVERSITAS HASANUDDIN</v>
      </c>
      <c r="Q2688" t="str">
        <f t="shared" si="41"/>
        <v>UNIVERSITAS HASANUDDINANTROPOLOGI SOSIAL</v>
      </c>
    </row>
    <row r="2689" spans="1:17" ht="16.5" thickTop="1" thickBot="1" x14ac:dyDescent="0.3">
      <c r="A2689" s="7">
        <v>2688</v>
      </c>
      <c r="B2689" s="6">
        <v>70</v>
      </c>
      <c r="C2689" s="12">
        <v>7112184</v>
      </c>
      <c r="D2689" t="s">
        <v>240</v>
      </c>
      <c r="E2689" s="12">
        <v>13</v>
      </c>
      <c r="F2689" s="10" t="s">
        <v>13</v>
      </c>
      <c r="J2689" s="138" t="s">
        <v>1292</v>
      </c>
      <c r="K2689" s="138" t="s">
        <v>1292</v>
      </c>
      <c r="L2689" s="138" t="s">
        <v>1292</v>
      </c>
      <c r="M2689" s="24"/>
      <c r="N2689" s="84" t="s">
        <v>1292</v>
      </c>
      <c r="P2689" t="str">
        <f>VLOOKUP(B2689,PTN!A:B,2,FALSE)</f>
        <v>UNIVERSITAS HASANUDDIN</v>
      </c>
      <c r="Q2689" t="str">
        <f t="shared" si="41"/>
        <v>UNIVERSITAS HASANUDDINARKEOLOGI</v>
      </c>
    </row>
    <row r="2690" spans="1:17" ht="16.5" thickTop="1" thickBot="1" x14ac:dyDescent="0.3">
      <c r="A2690" s="7">
        <v>2689</v>
      </c>
      <c r="B2690" s="6">
        <v>70</v>
      </c>
      <c r="C2690" s="13">
        <v>7112226</v>
      </c>
      <c r="D2690" t="s">
        <v>678</v>
      </c>
      <c r="E2690" s="13">
        <v>10</v>
      </c>
      <c r="F2690" s="10" t="s">
        <v>13</v>
      </c>
      <c r="J2690" s="138" t="s">
        <v>1292</v>
      </c>
      <c r="K2690" s="138" t="s">
        <v>1292</v>
      </c>
      <c r="L2690" s="138" t="s">
        <v>1292</v>
      </c>
      <c r="M2690" s="12"/>
      <c r="N2690" s="88" t="s">
        <v>1292</v>
      </c>
      <c r="P2690" t="str">
        <f>VLOOKUP(B2690,PTN!A:B,2,FALSE)</f>
        <v>UNIVERSITAS HASANUDDIN</v>
      </c>
      <c r="Q2690" t="str">
        <f t="shared" si="41"/>
        <v>UNIVERSITAS HASANUDDINBAHASA MANDARIN DAN KEBUDAYAAN TIONGKOK</v>
      </c>
    </row>
    <row r="2691" spans="1:17" ht="15.75" thickBot="1" x14ac:dyDescent="0.3">
      <c r="A2691" s="7">
        <v>2690</v>
      </c>
      <c r="B2691" s="6">
        <v>70</v>
      </c>
      <c r="C2691" s="12">
        <v>7112211</v>
      </c>
      <c r="D2691" t="s">
        <v>679</v>
      </c>
      <c r="E2691" s="12">
        <v>21</v>
      </c>
      <c r="F2691" s="10" t="s">
        <v>13</v>
      </c>
      <c r="J2691" s="138">
        <v>550</v>
      </c>
      <c r="K2691" s="138" t="s">
        <v>1292</v>
      </c>
      <c r="L2691" s="138" t="s">
        <v>1292</v>
      </c>
      <c r="M2691" s="13"/>
      <c r="N2691" s="89">
        <v>550</v>
      </c>
      <c r="P2691" t="str">
        <f>VLOOKUP(B2691,PTN!A:B,2,FALSE)</f>
        <v>UNIVERSITAS HASANUDDIN</v>
      </c>
      <c r="Q2691" t="str">
        <f t="shared" ref="Q2691:Q2754" si="42">P2691&amp;D2691</f>
        <v>UNIVERSITAS HASANUDDINHUKUM ADMINISTRASI NEGARA</v>
      </c>
    </row>
    <row r="2692" spans="1:17" ht="15.75" thickBot="1" x14ac:dyDescent="0.3">
      <c r="A2692" s="7">
        <v>2691</v>
      </c>
      <c r="B2692" s="6">
        <v>70</v>
      </c>
      <c r="C2692" s="13">
        <v>7112122</v>
      </c>
      <c r="D2692" t="s">
        <v>29</v>
      </c>
      <c r="E2692" s="13">
        <v>20</v>
      </c>
      <c r="F2692" s="10" t="s">
        <v>13</v>
      </c>
      <c r="J2692" s="138">
        <v>550</v>
      </c>
      <c r="K2692" s="138" t="s">
        <v>1292</v>
      </c>
      <c r="L2692" s="138" t="s">
        <v>1292</v>
      </c>
      <c r="M2692" s="12"/>
      <c r="N2692" s="88">
        <v>550</v>
      </c>
      <c r="P2692" t="str">
        <f>VLOOKUP(B2692,PTN!A:B,2,FALSE)</f>
        <v>UNIVERSITAS HASANUDDIN</v>
      </c>
      <c r="Q2692" t="str">
        <f t="shared" si="42"/>
        <v>UNIVERSITAS HASANUDDINILMU ADMINISTRASI NEGARA</v>
      </c>
    </row>
    <row r="2693" spans="1:17" ht="15.75" thickBot="1" x14ac:dyDescent="0.3">
      <c r="A2693" s="7">
        <v>2692</v>
      </c>
      <c r="B2693" s="6">
        <v>70</v>
      </c>
      <c r="C2693" s="12">
        <v>7112203</v>
      </c>
      <c r="D2693" t="s">
        <v>30</v>
      </c>
      <c r="E2693" s="12">
        <v>40</v>
      </c>
      <c r="F2693" s="10" t="s">
        <v>13</v>
      </c>
      <c r="J2693" s="138" t="s">
        <v>1292</v>
      </c>
      <c r="K2693" s="138" t="s">
        <v>1292</v>
      </c>
      <c r="L2693" s="138" t="s">
        <v>1292</v>
      </c>
      <c r="M2693" s="13"/>
      <c r="N2693" s="89" t="s">
        <v>1292</v>
      </c>
      <c r="P2693" t="str">
        <f>VLOOKUP(B2693,PTN!A:B,2,FALSE)</f>
        <v>UNIVERSITAS HASANUDDIN</v>
      </c>
      <c r="Q2693" t="str">
        <f t="shared" si="42"/>
        <v>UNIVERSITAS HASANUDDINILMU EKONOMI</v>
      </c>
    </row>
    <row r="2694" spans="1:17" ht="15.75" thickBot="1" x14ac:dyDescent="0.3">
      <c r="A2694" s="7">
        <v>2693</v>
      </c>
      <c r="B2694" s="6">
        <v>70</v>
      </c>
      <c r="C2694" s="13">
        <v>7112114</v>
      </c>
      <c r="D2694" t="s">
        <v>168</v>
      </c>
      <c r="E2694" s="13">
        <v>24</v>
      </c>
      <c r="F2694" s="10" t="s">
        <v>13</v>
      </c>
      <c r="J2694" s="138">
        <v>590.97</v>
      </c>
      <c r="K2694" s="138">
        <v>599.10773000000006</v>
      </c>
      <c r="L2694" s="138">
        <v>582.83226999999999</v>
      </c>
      <c r="M2694" s="12"/>
      <c r="N2694" s="88">
        <v>590.97</v>
      </c>
      <c r="P2694" t="str">
        <f>VLOOKUP(B2694,PTN!A:B,2,FALSE)</f>
        <v>UNIVERSITAS HASANUDDIN</v>
      </c>
      <c r="Q2694" t="str">
        <f t="shared" si="42"/>
        <v>UNIVERSITAS HASANUDDINILMU HUBUNGAN INTERNASIONAL</v>
      </c>
    </row>
    <row r="2695" spans="1:17" ht="15.75" thickBot="1" x14ac:dyDescent="0.3">
      <c r="A2695" s="7">
        <v>2694</v>
      </c>
      <c r="B2695" s="6">
        <v>70</v>
      </c>
      <c r="C2695" s="12">
        <v>7112033</v>
      </c>
      <c r="D2695" t="s">
        <v>31</v>
      </c>
      <c r="E2695" s="12">
        <v>81</v>
      </c>
      <c r="F2695" s="10" t="s">
        <v>13</v>
      </c>
      <c r="J2695" s="138">
        <v>580</v>
      </c>
      <c r="K2695" s="138" t="s">
        <v>1292</v>
      </c>
      <c r="L2695" s="138" t="s">
        <v>1292</v>
      </c>
      <c r="M2695" s="13"/>
      <c r="N2695" s="89">
        <v>580</v>
      </c>
      <c r="P2695" t="str">
        <f>VLOOKUP(B2695,PTN!A:B,2,FALSE)</f>
        <v>UNIVERSITAS HASANUDDIN</v>
      </c>
      <c r="Q2695" t="str">
        <f t="shared" si="42"/>
        <v>UNIVERSITAS HASANUDDINILMU HUKUM</v>
      </c>
    </row>
    <row r="2696" spans="1:17" ht="15.75" thickBot="1" x14ac:dyDescent="0.3">
      <c r="A2696" s="7">
        <v>2695</v>
      </c>
      <c r="B2696" s="6">
        <v>70</v>
      </c>
      <c r="C2696" s="13">
        <v>7112072</v>
      </c>
      <c r="D2696" t="s">
        <v>60</v>
      </c>
      <c r="E2696" s="13">
        <v>18</v>
      </c>
      <c r="F2696" s="10" t="s">
        <v>13</v>
      </c>
      <c r="J2696" s="138" t="s">
        <v>1292</v>
      </c>
      <c r="K2696" s="138" t="s">
        <v>1292</v>
      </c>
      <c r="L2696" s="138" t="s">
        <v>1292</v>
      </c>
      <c r="M2696" s="12"/>
      <c r="N2696" s="88" t="s">
        <v>1292</v>
      </c>
      <c r="P2696" t="str">
        <f>VLOOKUP(B2696,PTN!A:B,2,FALSE)</f>
        <v>UNIVERSITAS HASANUDDIN</v>
      </c>
      <c r="Q2696" t="str">
        <f t="shared" si="42"/>
        <v>UNIVERSITAS HASANUDDINILMU KOMUNIKASI</v>
      </c>
    </row>
    <row r="2697" spans="1:17" ht="15.75" thickBot="1" x14ac:dyDescent="0.3">
      <c r="A2697" s="7">
        <v>2696</v>
      </c>
      <c r="B2697" s="6">
        <v>70</v>
      </c>
      <c r="C2697" s="12">
        <v>7112106</v>
      </c>
      <c r="D2697" t="s">
        <v>97</v>
      </c>
      <c r="E2697" s="12">
        <v>17</v>
      </c>
      <c r="F2697" s="10" t="s">
        <v>13</v>
      </c>
      <c r="J2697" s="138" t="s">
        <v>1292</v>
      </c>
      <c r="K2697" s="138" t="s">
        <v>1292</v>
      </c>
      <c r="L2697" s="138" t="s">
        <v>1292</v>
      </c>
      <c r="M2697" s="13"/>
      <c r="N2697" s="89" t="s">
        <v>1292</v>
      </c>
      <c r="P2697" t="str">
        <f>VLOOKUP(B2697,PTN!A:B,2,FALSE)</f>
        <v>UNIVERSITAS HASANUDDIN</v>
      </c>
      <c r="Q2697" t="str">
        <f t="shared" si="42"/>
        <v>UNIVERSITAS HASANUDDINILMU PEMERINTAHAN</v>
      </c>
    </row>
    <row r="2698" spans="1:17" ht="15.75" thickBot="1" x14ac:dyDescent="0.3">
      <c r="A2698" s="7">
        <v>2697</v>
      </c>
      <c r="B2698" s="6">
        <v>70</v>
      </c>
      <c r="C2698" s="13">
        <v>7112041</v>
      </c>
      <c r="D2698" t="s">
        <v>33</v>
      </c>
      <c r="E2698" s="13">
        <v>16</v>
      </c>
      <c r="F2698" s="10" t="s">
        <v>13</v>
      </c>
      <c r="J2698" s="138" t="s">
        <v>1292</v>
      </c>
      <c r="K2698" s="138" t="s">
        <v>1292</v>
      </c>
      <c r="L2698" s="138" t="s">
        <v>1292</v>
      </c>
      <c r="M2698" s="12"/>
      <c r="N2698" s="88" t="s">
        <v>1292</v>
      </c>
      <c r="P2698" t="str">
        <f>VLOOKUP(B2698,PTN!A:B,2,FALSE)</f>
        <v>UNIVERSITAS HASANUDDIN</v>
      </c>
      <c r="Q2698" t="str">
        <f t="shared" si="42"/>
        <v>UNIVERSITAS HASANUDDINILMU POLITIK</v>
      </c>
    </row>
    <row r="2699" spans="1:17" ht="15.75" thickBot="1" x14ac:dyDescent="0.3">
      <c r="A2699" s="7">
        <v>2698</v>
      </c>
      <c r="B2699" s="6">
        <v>70</v>
      </c>
      <c r="C2699" s="12">
        <v>7112064</v>
      </c>
      <c r="D2699" t="s">
        <v>148</v>
      </c>
      <c r="E2699" s="12">
        <v>13</v>
      </c>
      <c r="F2699" s="10" t="s">
        <v>13</v>
      </c>
      <c r="J2699" s="138" t="s">
        <v>1292</v>
      </c>
      <c r="K2699" s="138" t="s">
        <v>1292</v>
      </c>
      <c r="L2699" s="138" t="s">
        <v>1292</v>
      </c>
      <c r="M2699" s="13"/>
      <c r="N2699" s="89" t="s">
        <v>1292</v>
      </c>
      <c r="P2699" t="str">
        <f>VLOOKUP(B2699,PTN!A:B,2,FALSE)</f>
        <v>UNIVERSITAS HASANUDDIN</v>
      </c>
      <c r="Q2699" t="str">
        <f t="shared" si="42"/>
        <v>UNIVERSITAS HASANUDDINILMU SEJARAH</v>
      </c>
    </row>
    <row r="2700" spans="1:17" ht="15.75" thickBot="1" x14ac:dyDescent="0.3">
      <c r="A2700" s="7">
        <v>2699</v>
      </c>
      <c r="B2700" s="6">
        <v>70</v>
      </c>
      <c r="C2700" s="13">
        <v>7112025</v>
      </c>
      <c r="D2700" t="s">
        <v>61</v>
      </c>
      <c r="E2700" s="13">
        <v>40</v>
      </c>
      <c r="F2700" s="10" t="s">
        <v>13</v>
      </c>
      <c r="J2700" s="138" t="s">
        <v>1292</v>
      </c>
      <c r="K2700" s="138" t="s">
        <v>1292</v>
      </c>
      <c r="L2700" s="138" t="s">
        <v>1292</v>
      </c>
      <c r="M2700" s="12"/>
      <c r="N2700" s="88" t="s">
        <v>1292</v>
      </c>
      <c r="P2700" t="str">
        <f>VLOOKUP(B2700,PTN!A:B,2,FALSE)</f>
        <v>UNIVERSITAS HASANUDDIN</v>
      </c>
      <c r="Q2700" t="str">
        <f t="shared" si="42"/>
        <v>UNIVERSITAS HASANUDDINMANAJEMEN</v>
      </c>
    </row>
    <row r="2701" spans="1:17" ht="15.75" thickBot="1" x14ac:dyDescent="0.3">
      <c r="A2701" s="7">
        <v>2700</v>
      </c>
      <c r="B2701" s="6">
        <v>70</v>
      </c>
      <c r="C2701" s="12">
        <v>7112153</v>
      </c>
      <c r="D2701" t="s">
        <v>680</v>
      </c>
      <c r="E2701" s="12">
        <v>13</v>
      </c>
      <c r="F2701" s="10" t="s">
        <v>13</v>
      </c>
      <c r="J2701" s="138" t="s">
        <v>1292</v>
      </c>
      <c r="K2701" s="138" t="s">
        <v>1292</v>
      </c>
      <c r="L2701" s="138" t="s">
        <v>1292</v>
      </c>
      <c r="M2701" s="13"/>
      <c r="N2701" s="89" t="s">
        <v>1292</v>
      </c>
      <c r="P2701" t="str">
        <f>VLOOKUP(B2701,PTN!A:B,2,FALSE)</f>
        <v>UNIVERSITAS HASANUDDIN</v>
      </c>
      <c r="Q2701" t="str">
        <f t="shared" si="42"/>
        <v>UNIVERSITAS HASANUDDINSASTRA ASIA BARAT/ARAB</v>
      </c>
    </row>
    <row r="2702" spans="1:17" ht="15.75" thickBot="1" x14ac:dyDescent="0.3">
      <c r="A2702" s="7">
        <v>2701</v>
      </c>
      <c r="B2702" s="6">
        <v>70</v>
      </c>
      <c r="C2702" s="13">
        <v>7112145</v>
      </c>
      <c r="D2702" t="s">
        <v>681</v>
      </c>
      <c r="E2702" s="13">
        <v>13</v>
      </c>
      <c r="F2702" s="10" t="s">
        <v>13</v>
      </c>
      <c r="J2702" s="138" t="s">
        <v>1292</v>
      </c>
      <c r="K2702" s="138" t="s">
        <v>1292</v>
      </c>
      <c r="L2702" s="138" t="s">
        <v>1292</v>
      </c>
      <c r="M2702" s="12"/>
      <c r="N2702" s="88" t="s">
        <v>1292</v>
      </c>
      <c r="P2702" t="str">
        <f>VLOOKUP(B2702,PTN!A:B,2,FALSE)</f>
        <v>UNIVERSITAS HASANUDDIN</v>
      </c>
      <c r="Q2702" t="str">
        <f t="shared" si="42"/>
        <v>UNIVERSITAS HASANUDDINSASTRA DAERAH/BUGIS MAKASSAR</v>
      </c>
    </row>
    <row r="2703" spans="1:17" ht="15.75" thickBot="1" x14ac:dyDescent="0.3">
      <c r="A2703" s="7">
        <v>2702</v>
      </c>
      <c r="B2703" s="6">
        <v>70</v>
      </c>
      <c r="C2703" s="12">
        <v>7112137</v>
      </c>
      <c r="D2703" t="s">
        <v>62</v>
      </c>
      <c r="E2703" s="12">
        <v>17</v>
      </c>
      <c r="F2703" s="10" t="s">
        <v>13</v>
      </c>
      <c r="J2703" s="138" t="s">
        <v>1292</v>
      </c>
      <c r="K2703" s="138" t="s">
        <v>1292</v>
      </c>
      <c r="L2703" s="138" t="s">
        <v>1292</v>
      </c>
      <c r="M2703" s="13"/>
      <c r="N2703" s="89" t="s">
        <v>1292</v>
      </c>
      <c r="P2703" t="str">
        <f>VLOOKUP(B2703,PTN!A:B,2,FALSE)</f>
        <v>UNIVERSITAS HASANUDDIN</v>
      </c>
      <c r="Q2703" t="str">
        <f t="shared" si="42"/>
        <v>UNIVERSITAS HASANUDDINSASTRA INDONESIA</v>
      </c>
    </row>
    <row r="2704" spans="1:17" ht="15.75" thickBot="1" x14ac:dyDescent="0.3">
      <c r="A2704" s="7">
        <v>2703</v>
      </c>
      <c r="B2704" s="6">
        <v>70</v>
      </c>
      <c r="C2704" s="13">
        <v>7112161</v>
      </c>
      <c r="D2704" t="s">
        <v>139</v>
      </c>
      <c r="E2704" s="13">
        <v>31</v>
      </c>
      <c r="F2704" s="10" t="s">
        <v>13</v>
      </c>
      <c r="J2704" s="138" t="s">
        <v>1292</v>
      </c>
      <c r="K2704" s="138" t="s">
        <v>1292</v>
      </c>
      <c r="L2704" s="138" t="s">
        <v>1292</v>
      </c>
      <c r="M2704" s="12"/>
      <c r="N2704" s="88" t="s">
        <v>1292</v>
      </c>
      <c r="P2704" t="str">
        <f>VLOOKUP(B2704,PTN!A:B,2,FALSE)</f>
        <v>UNIVERSITAS HASANUDDIN</v>
      </c>
      <c r="Q2704" t="str">
        <f t="shared" si="42"/>
        <v>UNIVERSITAS HASANUDDINSASTRA INGGRIS</v>
      </c>
    </row>
    <row r="2705" spans="1:17" ht="15.75" thickBot="1" x14ac:dyDescent="0.3">
      <c r="A2705" s="7">
        <v>2704</v>
      </c>
      <c r="B2705" s="6">
        <v>70</v>
      </c>
      <c r="C2705" s="12">
        <v>7112192</v>
      </c>
      <c r="D2705" t="s">
        <v>153</v>
      </c>
      <c r="E2705" s="12">
        <v>13</v>
      </c>
      <c r="F2705" s="10" t="s">
        <v>13</v>
      </c>
      <c r="J2705" s="138" t="s">
        <v>1292</v>
      </c>
      <c r="K2705" s="138" t="s">
        <v>1292</v>
      </c>
      <c r="L2705" s="138" t="s">
        <v>1292</v>
      </c>
      <c r="M2705" s="13"/>
      <c r="N2705" s="89" t="s">
        <v>1292</v>
      </c>
      <c r="P2705" t="str">
        <f>VLOOKUP(B2705,PTN!A:B,2,FALSE)</f>
        <v>UNIVERSITAS HASANUDDIN</v>
      </c>
      <c r="Q2705" t="str">
        <f t="shared" si="42"/>
        <v>UNIVERSITAS HASANUDDINSASTRA JEPANG</v>
      </c>
    </row>
    <row r="2706" spans="1:17" ht="15.75" thickBot="1" x14ac:dyDescent="0.3">
      <c r="A2706" s="7">
        <v>2705</v>
      </c>
      <c r="B2706" s="6">
        <v>70</v>
      </c>
      <c r="C2706" s="13">
        <v>7112176</v>
      </c>
      <c r="D2706" t="s">
        <v>682</v>
      </c>
      <c r="E2706" s="13">
        <v>13</v>
      </c>
      <c r="F2706" s="10" t="s">
        <v>13</v>
      </c>
      <c r="J2706" s="138" t="s">
        <v>1292</v>
      </c>
      <c r="K2706" s="138" t="s">
        <v>1292</v>
      </c>
      <c r="L2706" s="138" t="s">
        <v>1292</v>
      </c>
      <c r="M2706" s="12"/>
      <c r="N2706" s="88" t="s">
        <v>1292</v>
      </c>
      <c r="P2706" t="str">
        <f>VLOOKUP(B2706,PTN!A:B,2,FALSE)</f>
        <v>UNIVERSITAS HASANUDDIN</v>
      </c>
      <c r="Q2706" t="str">
        <f t="shared" si="42"/>
        <v>UNIVERSITAS HASANUDDINSASTRA PERANCIS/ BARAT ROMAN</v>
      </c>
    </row>
    <row r="2707" spans="1:17" ht="15.75" thickBot="1" x14ac:dyDescent="0.3">
      <c r="A2707" s="7">
        <v>2706</v>
      </c>
      <c r="B2707" s="6">
        <v>70</v>
      </c>
      <c r="C2707" s="14">
        <v>7112087</v>
      </c>
      <c r="D2707" t="s">
        <v>63</v>
      </c>
      <c r="E2707" s="14">
        <v>16</v>
      </c>
      <c r="F2707" s="10" t="s">
        <v>13</v>
      </c>
      <c r="J2707" s="138" t="s">
        <v>1292</v>
      </c>
      <c r="K2707" s="138" t="s">
        <v>1292</v>
      </c>
      <c r="L2707" s="138" t="s">
        <v>1292</v>
      </c>
      <c r="M2707" s="13"/>
      <c r="N2707" s="89" t="s">
        <v>1292</v>
      </c>
      <c r="P2707" t="str">
        <f>VLOOKUP(B2707,PTN!A:B,2,FALSE)</f>
        <v>UNIVERSITAS HASANUDDIN</v>
      </c>
      <c r="Q2707" t="str">
        <f t="shared" si="42"/>
        <v>UNIVERSITAS HASANUDDINSOSIOLOGI</v>
      </c>
    </row>
    <row r="2708" spans="1:17" ht="16.5" thickTop="1" thickBot="1" x14ac:dyDescent="0.3">
      <c r="A2708" s="7">
        <v>2707</v>
      </c>
      <c r="B2708" s="6">
        <v>72</v>
      </c>
      <c r="C2708" s="12">
        <v>7131081</v>
      </c>
      <c r="D2708" t="s">
        <v>212</v>
      </c>
      <c r="E2708" s="12">
        <v>27</v>
      </c>
      <c r="F2708" s="10" t="s">
        <v>20</v>
      </c>
      <c r="J2708" s="138" t="s">
        <v>1292</v>
      </c>
      <c r="K2708" s="138" t="s">
        <v>1292</v>
      </c>
      <c r="L2708" s="138" t="s">
        <v>1292</v>
      </c>
      <c r="M2708" s="21"/>
      <c r="N2708" s="83" t="s">
        <v>1292</v>
      </c>
      <c r="P2708" t="str">
        <f>VLOOKUP(B2708,PTN!A:B,2,FALSE)</f>
        <v>UIN ALAUDDIN MAKASSAR</v>
      </c>
      <c r="Q2708" t="str">
        <f t="shared" si="42"/>
        <v>UIN ALAUDDIN MAKASSARILMU PETERNAKAN</v>
      </c>
    </row>
    <row r="2709" spans="1:17" ht="15.75" thickBot="1" x14ac:dyDescent="0.3">
      <c r="A2709" s="7">
        <v>2708</v>
      </c>
      <c r="B2709" s="6">
        <v>72</v>
      </c>
      <c r="C2709" s="13">
        <v>7131034</v>
      </c>
      <c r="D2709" t="s">
        <v>22</v>
      </c>
      <c r="E2709" s="13">
        <v>24</v>
      </c>
      <c r="F2709" s="10" t="s">
        <v>20</v>
      </c>
      <c r="J2709" s="138" t="s">
        <v>1292</v>
      </c>
      <c r="K2709" s="138" t="s">
        <v>1292</v>
      </c>
      <c r="L2709" s="138" t="s">
        <v>1292</v>
      </c>
      <c r="M2709" s="21"/>
      <c r="N2709" s="83" t="s">
        <v>1292</v>
      </c>
      <c r="P2709" t="str">
        <f>VLOOKUP(B2709,PTN!A:B,2,FALSE)</f>
        <v>UIN ALAUDDIN MAKASSAR</v>
      </c>
      <c r="Q2709" t="str">
        <f t="shared" si="42"/>
        <v>UIN ALAUDDIN MAKASSARKIMIA</v>
      </c>
    </row>
    <row r="2710" spans="1:17" ht="16.5" thickTop="1" thickBot="1" x14ac:dyDescent="0.3">
      <c r="A2710" s="7">
        <v>2709</v>
      </c>
      <c r="B2710" s="6">
        <v>72</v>
      </c>
      <c r="C2710" s="12">
        <v>7131011</v>
      </c>
      <c r="D2710" t="s">
        <v>66</v>
      </c>
      <c r="E2710" s="12">
        <v>27</v>
      </c>
      <c r="F2710" s="10" t="s">
        <v>20</v>
      </c>
      <c r="J2710" s="138" t="s">
        <v>1292</v>
      </c>
      <c r="K2710" s="138" t="s">
        <v>1292</v>
      </c>
      <c r="L2710" s="138" t="s">
        <v>1292</v>
      </c>
      <c r="M2710" s="24"/>
      <c r="N2710" s="84" t="s">
        <v>1292</v>
      </c>
      <c r="P2710" t="str">
        <f>VLOOKUP(B2710,PTN!A:B,2,FALSE)</f>
        <v>UIN ALAUDDIN MAKASSAR</v>
      </c>
      <c r="Q2710" t="str">
        <f t="shared" si="42"/>
        <v>UIN ALAUDDIN MAKASSARMATEMATIKA</v>
      </c>
    </row>
    <row r="2711" spans="1:17" ht="16.5" thickTop="1" thickBot="1" x14ac:dyDescent="0.3">
      <c r="A2711" s="7">
        <v>2710</v>
      </c>
      <c r="B2711" s="6">
        <v>72</v>
      </c>
      <c r="C2711" s="13">
        <v>7131162</v>
      </c>
      <c r="D2711" t="s">
        <v>41</v>
      </c>
      <c r="E2711" s="13">
        <v>15</v>
      </c>
      <c r="F2711" s="10" t="s">
        <v>20</v>
      </c>
      <c r="J2711" s="138">
        <v>625.08000000000004</v>
      </c>
      <c r="K2711" s="138">
        <v>631.71500000000003</v>
      </c>
      <c r="L2711" s="138">
        <v>618.44500000000005</v>
      </c>
      <c r="M2711" s="12"/>
      <c r="N2711" s="88">
        <v>625.08000000000004</v>
      </c>
      <c r="P2711" t="str">
        <f>VLOOKUP(B2711,PTN!A:B,2,FALSE)</f>
        <v>UIN ALAUDDIN MAKASSAR</v>
      </c>
      <c r="Q2711" t="str">
        <f t="shared" si="42"/>
        <v>UIN ALAUDDIN MAKASSARPENDIDIKAN DOKTER</v>
      </c>
    </row>
    <row r="2712" spans="1:17" ht="15.75" thickBot="1" x14ac:dyDescent="0.3">
      <c r="A2712" s="7">
        <v>2711</v>
      </c>
      <c r="B2712" s="6">
        <v>72</v>
      </c>
      <c r="C2712" s="12">
        <v>7131154</v>
      </c>
      <c r="D2712" t="s">
        <v>46</v>
      </c>
      <c r="E2712" s="12">
        <v>12</v>
      </c>
      <c r="F2712" s="10" t="s">
        <v>20</v>
      </c>
      <c r="J2712" s="138" t="s">
        <v>1292</v>
      </c>
      <c r="K2712" s="138" t="s">
        <v>1292</v>
      </c>
      <c r="L2712" s="138" t="s">
        <v>1292</v>
      </c>
      <c r="M2712" s="13"/>
      <c r="N2712" s="89" t="s">
        <v>1292</v>
      </c>
      <c r="P2712" t="str">
        <f>VLOOKUP(B2712,PTN!A:B,2,FALSE)</f>
        <v>UIN ALAUDDIN MAKASSAR</v>
      </c>
      <c r="Q2712" t="str">
        <f t="shared" si="42"/>
        <v>UIN ALAUDDIN MAKASSARSISTEM INFORMASI</v>
      </c>
    </row>
    <row r="2713" spans="1:17" ht="15.75" thickBot="1" x14ac:dyDescent="0.3">
      <c r="A2713" s="7">
        <v>2712</v>
      </c>
      <c r="B2713" s="6">
        <v>72</v>
      </c>
      <c r="C2713" s="13">
        <v>7131073</v>
      </c>
      <c r="D2713" t="s">
        <v>47</v>
      </c>
      <c r="E2713" s="13">
        <v>27</v>
      </c>
      <c r="F2713" s="10" t="s">
        <v>20</v>
      </c>
      <c r="J2713" s="138" t="s">
        <v>1292</v>
      </c>
      <c r="K2713" s="138" t="s">
        <v>1292</v>
      </c>
      <c r="L2713" s="138" t="s">
        <v>1292</v>
      </c>
      <c r="M2713" s="12"/>
      <c r="N2713" s="88" t="s">
        <v>1292</v>
      </c>
      <c r="P2713" t="str">
        <f>VLOOKUP(B2713,PTN!A:B,2,FALSE)</f>
        <v>UIN ALAUDDIN MAKASSAR</v>
      </c>
      <c r="Q2713" t="str">
        <f t="shared" si="42"/>
        <v>UIN ALAUDDIN MAKASSARTEKNIK ARSITEKTUR</v>
      </c>
    </row>
    <row r="2714" spans="1:17" ht="15.75" thickBot="1" x14ac:dyDescent="0.3">
      <c r="A2714" s="7">
        <v>2713</v>
      </c>
      <c r="B2714" s="6">
        <v>72</v>
      </c>
      <c r="C2714" s="14">
        <v>7131065</v>
      </c>
      <c r="D2714" t="s">
        <v>683</v>
      </c>
      <c r="E2714" s="14">
        <v>24</v>
      </c>
      <c r="F2714" s="10" t="s">
        <v>20</v>
      </c>
      <c r="J2714" s="138" t="s">
        <v>1292</v>
      </c>
      <c r="K2714" s="138" t="s">
        <v>1292</v>
      </c>
      <c r="L2714" s="138" t="s">
        <v>1292</v>
      </c>
      <c r="M2714" s="13"/>
      <c r="N2714" s="89" t="s">
        <v>1292</v>
      </c>
      <c r="P2714" t="str">
        <f>VLOOKUP(B2714,PTN!A:B,2,FALSE)</f>
        <v>UIN ALAUDDIN MAKASSAR</v>
      </c>
      <c r="Q2714" t="str">
        <f t="shared" si="42"/>
        <v>UIN ALAUDDIN MAKASSARTEKNIK PERENCANAAN WILAYAH DAN KOTA</v>
      </c>
    </row>
    <row r="2715" spans="1:17" ht="16.5" thickTop="1" thickBot="1" x14ac:dyDescent="0.3">
      <c r="A2715" s="7">
        <v>2714</v>
      </c>
      <c r="B2715" s="6">
        <v>72</v>
      </c>
      <c r="C2715" s="12">
        <v>7132084</v>
      </c>
      <c r="D2715" t="s">
        <v>55</v>
      </c>
      <c r="E2715" s="12">
        <v>36</v>
      </c>
      <c r="F2715" s="10" t="s">
        <v>13</v>
      </c>
      <c r="J2715" s="138" t="s">
        <v>1292</v>
      </c>
      <c r="K2715" s="138" t="s">
        <v>1292</v>
      </c>
      <c r="L2715" s="138" t="s">
        <v>1292</v>
      </c>
      <c r="M2715" s="21"/>
      <c r="N2715" s="83" t="s">
        <v>1292</v>
      </c>
      <c r="P2715" t="str">
        <f>VLOOKUP(B2715,PTN!A:B,2,FALSE)</f>
        <v>UIN ALAUDDIN MAKASSAR</v>
      </c>
      <c r="Q2715" t="str">
        <f t="shared" si="42"/>
        <v>UIN ALAUDDIN MAKASSARAKUNTANSI</v>
      </c>
    </row>
    <row r="2716" spans="1:17" ht="15.75" thickBot="1" x14ac:dyDescent="0.3">
      <c r="A2716" s="7">
        <v>2715</v>
      </c>
      <c r="B2716" s="6">
        <v>72</v>
      </c>
      <c r="C2716" s="13">
        <v>7132424</v>
      </c>
      <c r="D2716" t="s">
        <v>223</v>
      </c>
      <c r="E2716" s="13">
        <v>30</v>
      </c>
      <c r="F2716" s="10" t="s">
        <v>13</v>
      </c>
      <c r="J2716" s="138" t="s">
        <v>1292</v>
      </c>
      <c r="K2716" s="138" t="s">
        <v>1292</v>
      </c>
      <c r="L2716" s="138" t="s">
        <v>1292</v>
      </c>
      <c r="M2716" s="21"/>
      <c r="N2716" s="83" t="s">
        <v>1292</v>
      </c>
      <c r="P2716" t="str">
        <f>VLOOKUP(B2716,PTN!A:B,2,FALSE)</f>
        <v>UIN ALAUDDIN MAKASSAR</v>
      </c>
      <c r="Q2716" t="str">
        <f t="shared" si="42"/>
        <v>UIN ALAUDDIN MAKASSARHUBUNGAN INTERNASIONAL</v>
      </c>
    </row>
    <row r="2717" spans="1:17" ht="16.5" thickTop="1" thickBot="1" x14ac:dyDescent="0.3">
      <c r="A2717" s="7">
        <v>2716</v>
      </c>
      <c r="B2717" s="6">
        <v>72</v>
      </c>
      <c r="C2717" s="12">
        <v>7132092</v>
      </c>
      <c r="D2717" t="s">
        <v>30</v>
      </c>
      <c r="E2717" s="12">
        <v>38</v>
      </c>
      <c r="F2717" s="10" t="s">
        <v>13</v>
      </c>
      <c r="J2717" s="138" t="s">
        <v>1292</v>
      </c>
      <c r="K2717" s="138" t="s">
        <v>1292</v>
      </c>
      <c r="L2717" s="138" t="s">
        <v>1292</v>
      </c>
      <c r="M2717" s="24"/>
      <c r="N2717" s="84" t="s">
        <v>1292</v>
      </c>
      <c r="P2717" t="str">
        <f>VLOOKUP(B2717,PTN!A:B,2,FALSE)</f>
        <v>UIN ALAUDDIN MAKASSAR</v>
      </c>
      <c r="Q2717" t="str">
        <f t="shared" si="42"/>
        <v>UIN ALAUDDIN MAKASSARILMU EKONOMI</v>
      </c>
    </row>
    <row r="2718" spans="1:17" ht="16.5" thickTop="1" thickBot="1" x14ac:dyDescent="0.3">
      <c r="A2718" s="7">
        <v>2717</v>
      </c>
      <c r="B2718" s="6">
        <v>72</v>
      </c>
      <c r="C2718" s="13">
        <v>7132014</v>
      </c>
      <c r="D2718" t="s">
        <v>31</v>
      </c>
      <c r="E2718" s="13">
        <v>36</v>
      </c>
      <c r="F2718" s="10" t="s">
        <v>13</v>
      </c>
      <c r="J2718" s="138" t="s">
        <v>1292</v>
      </c>
      <c r="K2718" s="138" t="s">
        <v>1292</v>
      </c>
      <c r="L2718" s="138" t="s">
        <v>1292</v>
      </c>
      <c r="M2718" s="12"/>
      <c r="N2718" s="88" t="s">
        <v>1292</v>
      </c>
      <c r="P2718" t="str">
        <f>VLOOKUP(B2718,PTN!A:B,2,FALSE)</f>
        <v>UIN ALAUDDIN MAKASSAR</v>
      </c>
      <c r="Q2718" t="str">
        <f t="shared" si="42"/>
        <v>UIN ALAUDDIN MAKASSARILMU HUKUM</v>
      </c>
    </row>
    <row r="2719" spans="1:17" ht="15.75" thickBot="1" x14ac:dyDescent="0.3">
      <c r="A2719" s="7">
        <v>2718</v>
      </c>
      <c r="B2719" s="6">
        <v>72</v>
      </c>
      <c r="C2719" s="12">
        <v>7132285</v>
      </c>
      <c r="D2719" t="s">
        <v>60</v>
      </c>
      <c r="E2719" s="12">
        <v>26</v>
      </c>
      <c r="F2719" s="10" t="s">
        <v>13</v>
      </c>
      <c r="J2719" s="138" t="s">
        <v>1292</v>
      </c>
      <c r="K2719" s="138" t="s">
        <v>1292</v>
      </c>
      <c r="L2719" s="138" t="s">
        <v>1292</v>
      </c>
      <c r="M2719" s="13"/>
      <c r="N2719" s="89" t="s">
        <v>1292</v>
      </c>
      <c r="P2719" t="str">
        <f>VLOOKUP(B2719,PTN!A:B,2,FALSE)</f>
        <v>UIN ALAUDDIN MAKASSAR</v>
      </c>
      <c r="Q2719" t="str">
        <f t="shared" si="42"/>
        <v>UIN ALAUDDIN MAKASSARILMU KOMUNIKASI</v>
      </c>
    </row>
    <row r="2720" spans="1:17" ht="15.75" thickBot="1" x14ac:dyDescent="0.3">
      <c r="A2720" s="7">
        <v>2719</v>
      </c>
      <c r="B2720" s="6">
        <v>72</v>
      </c>
      <c r="C2720" s="13">
        <v>7132196</v>
      </c>
      <c r="D2720" t="s">
        <v>33</v>
      </c>
      <c r="E2720" s="13">
        <v>45</v>
      </c>
      <c r="F2720" s="10" t="s">
        <v>13</v>
      </c>
      <c r="J2720" s="138" t="s">
        <v>1292</v>
      </c>
      <c r="K2720" s="138" t="s">
        <v>1292</v>
      </c>
      <c r="L2720" s="138" t="s">
        <v>1292</v>
      </c>
      <c r="M2720" s="12"/>
      <c r="N2720" s="88" t="s">
        <v>1292</v>
      </c>
      <c r="P2720" t="str">
        <f>VLOOKUP(B2720,PTN!A:B,2,FALSE)</f>
        <v>UIN ALAUDDIN MAKASSAR</v>
      </c>
      <c r="Q2720" t="str">
        <f t="shared" si="42"/>
        <v>UIN ALAUDDIN MAKASSARILMU POLITIK</v>
      </c>
    </row>
    <row r="2721" spans="1:17" ht="15.75" thickBot="1" x14ac:dyDescent="0.3">
      <c r="A2721" s="7">
        <v>2720</v>
      </c>
      <c r="B2721" s="6">
        <v>72</v>
      </c>
      <c r="C2721" s="12">
        <v>7132022</v>
      </c>
      <c r="D2721" t="s">
        <v>247</v>
      </c>
      <c r="E2721" s="12">
        <v>26</v>
      </c>
      <c r="F2721" s="10" t="s">
        <v>13</v>
      </c>
      <c r="J2721" s="138" t="s">
        <v>1292</v>
      </c>
      <c r="K2721" s="138" t="s">
        <v>1292</v>
      </c>
      <c r="L2721" s="138" t="s">
        <v>1292</v>
      </c>
      <c r="M2721" s="13"/>
      <c r="N2721" s="89" t="s">
        <v>1292</v>
      </c>
      <c r="P2721" t="str">
        <f>VLOOKUP(B2721,PTN!A:B,2,FALSE)</f>
        <v>UIN ALAUDDIN MAKASSAR</v>
      </c>
      <c r="Q2721" t="str">
        <f t="shared" si="42"/>
        <v>UIN ALAUDDIN MAKASSARJURNALISTIK</v>
      </c>
    </row>
    <row r="2722" spans="1:17" ht="15.75" thickBot="1" x14ac:dyDescent="0.3">
      <c r="A2722" s="7">
        <v>2721</v>
      </c>
      <c r="B2722" s="6">
        <v>72</v>
      </c>
      <c r="C2722" s="13">
        <v>7132432</v>
      </c>
      <c r="D2722" t="s">
        <v>34</v>
      </c>
      <c r="E2722" s="13">
        <v>26</v>
      </c>
      <c r="F2722" s="10" t="s">
        <v>13</v>
      </c>
      <c r="J2722" s="138" t="s">
        <v>1292</v>
      </c>
      <c r="K2722" s="138" t="s">
        <v>1292</v>
      </c>
      <c r="L2722" s="138" t="s">
        <v>1292</v>
      </c>
      <c r="M2722" s="12"/>
      <c r="N2722" s="88" t="s">
        <v>1292</v>
      </c>
      <c r="P2722" t="str">
        <f>VLOOKUP(B2722,PTN!A:B,2,FALSE)</f>
        <v>UIN ALAUDDIN MAKASSAR</v>
      </c>
      <c r="Q2722" t="str">
        <f t="shared" si="42"/>
        <v>UIN ALAUDDIN MAKASSARKESEJAHTERAAN SOSIAL</v>
      </c>
    </row>
    <row r="2723" spans="1:17" ht="15.75" thickBot="1" x14ac:dyDescent="0.3">
      <c r="A2723" s="7">
        <v>2722</v>
      </c>
      <c r="B2723" s="6">
        <v>72</v>
      </c>
      <c r="C2723" s="14">
        <v>7132037</v>
      </c>
      <c r="D2723" t="s">
        <v>61</v>
      </c>
      <c r="E2723" s="14">
        <v>36</v>
      </c>
      <c r="F2723" s="10" t="s">
        <v>13</v>
      </c>
      <c r="J2723" s="138" t="s">
        <v>1292</v>
      </c>
      <c r="K2723" s="138" t="s">
        <v>1292</v>
      </c>
      <c r="L2723" s="138" t="s">
        <v>1292</v>
      </c>
      <c r="M2723" s="21"/>
      <c r="N2723" s="83" t="s">
        <v>1292</v>
      </c>
      <c r="P2723" t="str">
        <f>VLOOKUP(B2723,PTN!A:B,2,FALSE)</f>
        <v>UIN ALAUDDIN MAKASSAR</v>
      </c>
      <c r="Q2723" t="str">
        <f t="shared" si="42"/>
        <v>UIN ALAUDDIN MAKASSARMANAJEMEN</v>
      </c>
    </row>
    <row r="2724" spans="1:17" ht="16.5" thickTop="1" thickBot="1" x14ac:dyDescent="0.3">
      <c r="A2724" s="7">
        <v>2723</v>
      </c>
      <c r="B2724" s="6">
        <v>71</v>
      </c>
      <c r="C2724" s="12">
        <v>7121086</v>
      </c>
      <c r="D2724" t="s">
        <v>21</v>
      </c>
      <c r="E2724" s="12">
        <v>11</v>
      </c>
      <c r="F2724" s="10" t="s">
        <v>20</v>
      </c>
      <c r="J2724" s="138" t="s">
        <v>1292</v>
      </c>
      <c r="K2724" s="138" t="s">
        <v>1292</v>
      </c>
      <c r="L2724" s="138" t="s">
        <v>1292</v>
      </c>
      <c r="M2724" s="21"/>
      <c r="N2724" s="83" t="s">
        <v>1292</v>
      </c>
      <c r="P2724" t="str">
        <f>VLOOKUP(B2724,PTN!A:B,2,FALSE)</f>
        <v>UNIVERSITAS NEGERI MAKASSAR</v>
      </c>
      <c r="Q2724" t="str">
        <f t="shared" si="42"/>
        <v>UNIVERSITAS NEGERI MAKASSARBIOLOGI</v>
      </c>
    </row>
    <row r="2725" spans="1:17" ht="16.5" thickTop="1" thickBot="1" x14ac:dyDescent="0.3">
      <c r="A2725" s="7">
        <v>2724</v>
      </c>
      <c r="B2725" s="6">
        <v>71</v>
      </c>
      <c r="C2725" s="13">
        <v>7121191</v>
      </c>
      <c r="D2725" t="s">
        <v>12</v>
      </c>
      <c r="E2725" s="13">
        <v>31</v>
      </c>
      <c r="F2725" s="10" t="s">
        <v>20</v>
      </c>
      <c r="J2725" s="138" t="s">
        <v>1292</v>
      </c>
      <c r="K2725" s="138" t="s">
        <v>1292</v>
      </c>
      <c r="L2725" s="138" t="s">
        <v>1292</v>
      </c>
      <c r="M2725" s="24"/>
      <c r="N2725" s="84" t="s">
        <v>1292</v>
      </c>
      <c r="P2725" t="str">
        <f>VLOOKUP(B2725,PTN!A:B,2,FALSE)</f>
        <v>UNIVERSITAS NEGERI MAKASSAR</v>
      </c>
      <c r="Q2725" t="str">
        <f t="shared" si="42"/>
        <v>UNIVERSITAS NEGERI MAKASSARDESAIN KOMUNIKASI VISUAL</v>
      </c>
    </row>
    <row r="2726" spans="1:17" ht="16.5" thickTop="1" thickBot="1" x14ac:dyDescent="0.3">
      <c r="A2726" s="7">
        <v>2725</v>
      </c>
      <c r="B2726" s="6">
        <v>71</v>
      </c>
      <c r="C2726" s="12">
        <v>7121063</v>
      </c>
      <c r="D2726" t="s">
        <v>65</v>
      </c>
      <c r="E2726" s="12">
        <v>11</v>
      </c>
      <c r="F2726" s="10" t="s">
        <v>20</v>
      </c>
      <c r="J2726" s="138" t="s">
        <v>1292</v>
      </c>
      <c r="K2726" s="138" t="s">
        <v>1292</v>
      </c>
      <c r="L2726" s="138" t="s">
        <v>1292</v>
      </c>
      <c r="M2726" s="12"/>
      <c r="N2726" s="88" t="s">
        <v>1292</v>
      </c>
      <c r="P2726" t="str">
        <f>VLOOKUP(B2726,PTN!A:B,2,FALSE)</f>
        <v>UNIVERSITAS NEGERI MAKASSAR</v>
      </c>
      <c r="Q2726" t="str">
        <f t="shared" si="42"/>
        <v>UNIVERSITAS NEGERI MAKASSARFISIKA</v>
      </c>
    </row>
    <row r="2727" spans="1:17" ht="15.75" thickBot="1" x14ac:dyDescent="0.3">
      <c r="A2727" s="7">
        <v>2726</v>
      </c>
      <c r="B2727" s="6">
        <v>71</v>
      </c>
      <c r="C2727" s="13">
        <v>7121094</v>
      </c>
      <c r="D2727" t="s">
        <v>290</v>
      </c>
      <c r="E2727" s="13">
        <v>11</v>
      </c>
      <c r="F2727" s="10" t="s">
        <v>20</v>
      </c>
      <c r="J2727" s="138" t="s">
        <v>1292</v>
      </c>
      <c r="K2727" s="138" t="s">
        <v>1292</v>
      </c>
      <c r="L2727" s="138" t="s">
        <v>1292</v>
      </c>
      <c r="M2727" s="13"/>
      <c r="N2727" s="89" t="s">
        <v>1292</v>
      </c>
      <c r="P2727" t="str">
        <f>VLOOKUP(B2727,PTN!A:B,2,FALSE)</f>
        <v>UNIVERSITAS NEGERI MAKASSAR</v>
      </c>
      <c r="Q2727" t="str">
        <f t="shared" si="42"/>
        <v>UNIVERSITAS NEGERI MAKASSARGEOGRAFI</v>
      </c>
    </row>
    <row r="2728" spans="1:17" ht="15.75" thickBot="1" x14ac:dyDescent="0.3">
      <c r="A2728" s="7">
        <v>2727</v>
      </c>
      <c r="B2728" s="6">
        <v>71</v>
      </c>
      <c r="C2728" s="12">
        <v>7121152</v>
      </c>
      <c r="D2728" t="s">
        <v>114</v>
      </c>
      <c r="E2728" s="12">
        <v>25</v>
      </c>
      <c r="F2728" s="10" t="s">
        <v>20</v>
      </c>
      <c r="J2728" s="138" t="s">
        <v>1292</v>
      </c>
      <c r="K2728" s="138" t="s">
        <v>1292</v>
      </c>
      <c r="L2728" s="138" t="s">
        <v>1292</v>
      </c>
      <c r="M2728" s="12"/>
      <c r="N2728" s="88" t="s">
        <v>1292</v>
      </c>
      <c r="P2728" t="str">
        <f>VLOOKUP(B2728,PTN!A:B,2,FALSE)</f>
        <v>UNIVERSITAS NEGERI MAKASSAR</v>
      </c>
      <c r="Q2728" t="str">
        <f t="shared" si="42"/>
        <v>UNIVERSITAS NEGERI MAKASSARILMU KEOLAHRAGAAN</v>
      </c>
    </row>
    <row r="2729" spans="1:17" ht="15.75" thickBot="1" x14ac:dyDescent="0.3">
      <c r="A2729" s="7">
        <v>2728</v>
      </c>
      <c r="B2729" s="6">
        <v>71</v>
      </c>
      <c r="C2729" s="13">
        <v>7121071</v>
      </c>
      <c r="D2729" t="s">
        <v>22</v>
      </c>
      <c r="E2729" s="13">
        <v>11</v>
      </c>
      <c r="F2729" s="10" t="s">
        <v>20</v>
      </c>
      <c r="J2729" s="138" t="s">
        <v>1292</v>
      </c>
      <c r="K2729" s="138" t="s">
        <v>1292</v>
      </c>
      <c r="L2729" s="138" t="s">
        <v>1292</v>
      </c>
      <c r="M2729" s="13"/>
      <c r="N2729" s="89" t="s">
        <v>1292</v>
      </c>
      <c r="P2729" t="str">
        <f>VLOOKUP(B2729,PTN!A:B,2,FALSE)</f>
        <v>UNIVERSITAS NEGERI MAKASSAR</v>
      </c>
      <c r="Q2729" t="str">
        <f t="shared" si="42"/>
        <v>UNIVERSITAS NEGERI MAKASSARKIMIA</v>
      </c>
    </row>
    <row r="2730" spans="1:17" ht="15.75" thickBot="1" x14ac:dyDescent="0.3">
      <c r="A2730" s="7">
        <v>2729</v>
      </c>
      <c r="B2730" s="6">
        <v>71</v>
      </c>
      <c r="C2730" s="12">
        <v>7121055</v>
      </c>
      <c r="D2730" t="s">
        <v>66</v>
      </c>
      <c r="E2730" s="12">
        <v>11</v>
      </c>
      <c r="F2730" s="10" t="s">
        <v>20</v>
      </c>
      <c r="J2730" s="138" t="s">
        <v>1292</v>
      </c>
      <c r="K2730" s="138" t="s">
        <v>1292</v>
      </c>
      <c r="L2730" s="138" t="s">
        <v>1292</v>
      </c>
      <c r="M2730" s="12"/>
      <c r="N2730" s="88" t="s">
        <v>1292</v>
      </c>
      <c r="P2730" t="str">
        <f>VLOOKUP(B2730,PTN!A:B,2,FALSE)</f>
        <v>UNIVERSITAS NEGERI MAKASSAR</v>
      </c>
      <c r="Q2730" t="str">
        <f t="shared" si="42"/>
        <v>UNIVERSITAS NEGERI MAKASSARMATEMATIKA</v>
      </c>
    </row>
    <row r="2731" spans="1:17" ht="15.75" thickBot="1" x14ac:dyDescent="0.3">
      <c r="A2731" s="7">
        <v>2730</v>
      </c>
      <c r="B2731" s="6">
        <v>71</v>
      </c>
      <c r="C2731" s="13">
        <v>7121202</v>
      </c>
      <c r="D2731" t="s">
        <v>684</v>
      </c>
      <c r="E2731" s="13">
        <v>11</v>
      </c>
      <c r="F2731" s="10" t="s">
        <v>20</v>
      </c>
      <c r="J2731" s="138" t="s">
        <v>1292</v>
      </c>
      <c r="K2731" s="138" t="s">
        <v>1292</v>
      </c>
      <c r="L2731" s="138" t="s">
        <v>1292</v>
      </c>
      <c r="M2731" s="13"/>
      <c r="N2731" s="89" t="s">
        <v>1292</v>
      </c>
      <c r="P2731" t="str">
        <f>VLOOKUP(B2731,PTN!A:B,2,FALSE)</f>
        <v>UNIVERSITAS NEGERI MAKASSAR</v>
      </c>
      <c r="Q2731" t="str">
        <f t="shared" si="42"/>
        <v>UNIVERSITAS NEGERI MAKASSARPEND. BIOLOGI KLS INTERNASIONAL (BILINGUAL)</v>
      </c>
    </row>
    <row r="2732" spans="1:17" ht="15.75" thickBot="1" x14ac:dyDescent="0.3">
      <c r="A2732" s="7">
        <v>2731</v>
      </c>
      <c r="B2732" s="6">
        <v>71</v>
      </c>
      <c r="C2732" s="12">
        <v>7121217</v>
      </c>
      <c r="D2732" t="s">
        <v>685</v>
      </c>
      <c r="E2732" s="12">
        <v>11</v>
      </c>
      <c r="F2732" s="10" t="s">
        <v>20</v>
      </c>
      <c r="J2732" s="138" t="s">
        <v>1292</v>
      </c>
      <c r="K2732" s="138" t="s">
        <v>1292</v>
      </c>
      <c r="L2732" s="138" t="s">
        <v>1292</v>
      </c>
      <c r="M2732" s="12"/>
      <c r="N2732" s="88" t="s">
        <v>1292</v>
      </c>
      <c r="P2732" t="str">
        <f>VLOOKUP(B2732,PTN!A:B,2,FALSE)</f>
        <v>UNIVERSITAS NEGERI MAKASSAR</v>
      </c>
      <c r="Q2732" t="str">
        <f t="shared" si="42"/>
        <v>UNIVERSITAS NEGERI MAKASSARPEND. FISIKA KLS INTERNASIONAL (BILINGUAL)</v>
      </c>
    </row>
    <row r="2733" spans="1:17" ht="15.75" thickBot="1" x14ac:dyDescent="0.3">
      <c r="A2733" s="7">
        <v>2732</v>
      </c>
      <c r="B2733" s="6">
        <v>71</v>
      </c>
      <c r="C2733" s="13">
        <v>7121047</v>
      </c>
      <c r="D2733" t="s">
        <v>67</v>
      </c>
      <c r="E2733" s="13">
        <v>22</v>
      </c>
      <c r="F2733" s="10" t="s">
        <v>20</v>
      </c>
      <c r="J2733" s="138" t="s">
        <v>1292</v>
      </c>
      <c r="K2733" s="138" t="s">
        <v>1292</v>
      </c>
      <c r="L2733" s="138" t="s">
        <v>1292</v>
      </c>
      <c r="M2733" s="13"/>
      <c r="N2733" s="89" t="s">
        <v>1292</v>
      </c>
      <c r="P2733" t="str">
        <f>VLOOKUP(B2733,PTN!A:B,2,FALSE)</f>
        <v>UNIVERSITAS NEGERI MAKASSAR</v>
      </c>
      <c r="Q2733" t="str">
        <f t="shared" si="42"/>
        <v>UNIVERSITAS NEGERI MAKASSARPENDIDIKAN BIOLOGI</v>
      </c>
    </row>
    <row r="2734" spans="1:17" ht="15.75" thickBot="1" x14ac:dyDescent="0.3">
      <c r="A2734" s="7">
        <v>2733</v>
      </c>
      <c r="B2734" s="6">
        <v>71</v>
      </c>
      <c r="C2734" s="12">
        <v>7121024</v>
      </c>
      <c r="D2734" t="s">
        <v>42</v>
      </c>
      <c r="E2734" s="12">
        <v>22</v>
      </c>
      <c r="F2734" s="10" t="s">
        <v>20</v>
      </c>
      <c r="J2734" s="138" t="s">
        <v>1292</v>
      </c>
      <c r="K2734" s="138" t="s">
        <v>1292</v>
      </c>
      <c r="L2734" s="138" t="s">
        <v>1292</v>
      </c>
      <c r="M2734" s="12"/>
      <c r="N2734" s="88" t="s">
        <v>1292</v>
      </c>
      <c r="P2734" t="str">
        <f>VLOOKUP(B2734,PTN!A:B,2,FALSE)</f>
        <v>UNIVERSITAS NEGERI MAKASSAR</v>
      </c>
      <c r="Q2734" t="str">
        <f t="shared" si="42"/>
        <v>UNIVERSITAS NEGERI MAKASSARPENDIDIKAN FISIKA</v>
      </c>
    </row>
    <row r="2735" spans="1:17" ht="15.75" thickBot="1" x14ac:dyDescent="0.3">
      <c r="A2735" s="7">
        <v>2734</v>
      </c>
      <c r="B2735" s="6">
        <v>71</v>
      </c>
      <c r="C2735" s="13">
        <v>7121241</v>
      </c>
      <c r="D2735" t="s">
        <v>115</v>
      </c>
      <c r="E2735" s="13">
        <v>22</v>
      </c>
      <c r="F2735" s="10" t="s">
        <v>20</v>
      </c>
      <c r="J2735" s="138" t="s">
        <v>1292</v>
      </c>
      <c r="K2735" s="138" t="s">
        <v>1292</v>
      </c>
      <c r="L2735" s="138" t="s">
        <v>1292</v>
      </c>
      <c r="M2735" s="13"/>
      <c r="N2735" s="89" t="s">
        <v>1292</v>
      </c>
      <c r="P2735" t="str">
        <f>VLOOKUP(B2735,PTN!A:B,2,FALSE)</f>
        <v>UNIVERSITAS NEGERI MAKASSAR</v>
      </c>
      <c r="Q2735" t="str">
        <f t="shared" si="42"/>
        <v>UNIVERSITAS NEGERI MAKASSARPENDIDIKAN IPA</v>
      </c>
    </row>
    <row r="2736" spans="1:17" ht="15.75" thickBot="1" x14ac:dyDescent="0.3">
      <c r="A2736" s="7">
        <v>2735</v>
      </c>
      <c r="B2736" s="6">
        <v>71</v>
      </c>
      <c r="C2736" s="12">
        <v>7121256</v>
      </c>
      <c r="D2736" t="s">
        <v>686</v>
      </c>
      <c r="E2736" s="12">
        <v>11</v>
      </c>
      <c r="F2736" s="10" t="s">
        <v>20</v>
      </c>
      <c r="J2736" s="138" t="s">
        <v>1292</v>
      </c>
      <c r="K2736" s="138" t="s">
        <v>1292</v>
      </c>
      <c r="L2736" s="138" t="s">
        <v>1292</v>
      </c>
      <c r="M2736" s="12"/>
      <c r="N2736" s="88" t="s">
        <v>1292</v>
      </c>
      <c r="P2736" t="str">
        <f>VLOOKUP(B2736,PTN!A:B,2,FALSE)</f>
        <v>UNIVERSITAS NEGERI MAKASSAR</v>
      </c>
      <c r="Q2736" t="str">
        <f t="shared" si="42"/>
        <v>UNIVERSITAS NEGERI MAKASSARPENDIDIKAN IPA KLS INTERNASIONAL (BILINGUAL)</v>
      </c>
    </row>
    <row r="2737" spans="1:17" ht="15.75" thickBot="1" x14ac:dyDescent="0.3">
      <c r="A2737" s="7">
        <v>2736</v>
      </c>
      <c r="B2737" s="6">
        <v>71</v>
      </c>
      <c r="C2737" s="13">
        <v>7121032</v>
      </c>
      <c r="D2737" t="s">
        <v>43</v>
      </c>
      <c r="E2737" s="13">
        <v>22</v>
      </c>
      <c r="F2737" s="10" t="s">
        <v>20</v>
      </c>
      <c r="J2737" s="138" t="s">
        <v>1292</v>
      </c>
      <c r="K2737" s="138" t="s">
        <v>1292</v>
      </c>
      <c r="L2737" s="138" t="s">
        <v>1292</v>
      </c>
      <c r="M2737" s="13"/>
      <c r="N2737" s="89" t="s">
        <v>1292</v>
      </c>
      <c r="P2737" t="str">
        <f>VLOOKUP(B2737,PTN!A:B,2,FALSE)</f>
        <v>UNIVERSITAS NEGERI MAKASSAR</v>
      </c>
      <c r="Q2737" t="str">
        <f t="shared" si="42"/>
        <v>UNIVERSITAS NEGERI MAKASSARPENDIDIKAN KIMIA</v>
      </c>
    </row>
    <row r="2738" spans="1:17" ht="15.75" thickBot="1" x14ac:dyDescent="0.3">
      <c r="A2738" s="7">
        <v>2737</v>
      </c>
      <c r="B2738" s="6">
        <v>71</v>
      </c>
      <c r="C2738" s="12">
        <v>7121016</v>
      </c>
      <c r="D2738" t="s">
        <v>44</v>
      </c>
      <c r="E2738" s="12">
        <v>22</v>
      </c>
      <c r="F2738" s="10" t="s">
        <v>20</v>
      </c>
      <c r="J2738" s="138" t="s">
        <v>1292</v>
      </c>
      <c r="K2738" s="138" t="s">
        <v>1292</v>
      </c>
      <c r="L2738" s="138" t="s">
        <v>1292</v>
      </c>
      <c r="M2738" s="12"/>
      <c r="N2738" s="88" t="s">
        <v>1292</v>
      </c>
      <c r="P2738" t="str">
        <f>VLOOKUP(B2738,PTN!A:B,2,FALSE)</f>
        <v>UNIVERSITAS NEGERI MAKASSAR</v>
      </c>
      <c r="Q2738" t="str">
        <f t="shared" si="42"/>
        <v>UNIVERSITAS NEGERI MAKASSARPENDIDIKAN MATEMATIKA</v>
      </c>
    </row>
    <row r="2739" spans="1:17" ht="15.75" thickBot="1" x14ac:dyDescent="0.3">
      <c r="A2739" s="7">
        <v>2738</v>
      </c>
      <c r="B2739" s="6">
        <v>71</v>
      </c>
      <c r="C2739" s="13">
        <v>7121144</v>
      </c>
      <c r="D2739" t="s">
        <v>116</v>
      </c>
      <c r="E2739" s="13">
        <v>22</v>
      </c>
      <c r="F2739" s="10" t="s">
        <v>20</v>
      </c>
      <c r="J2739" s="138" t="s">
        <v>1292</v>
      </c>
      <c r="K2739" s="138" t="s">
        <v>1292</v>
      </c>
      <c r="L2739" s="138" t="s">
        <v>1292</v>
      </c>
      <c r="M2739" s="13"/>
      <c r="N2739" s="89" t="s">
        <v>1292</v>
      </c>
      <c r="P2739" t="str">
        <f>VLOOKUP(B2739,PTN!A:B,2,FALSE)</f>
        <v>UNIVERSITAS NEGERI MAKASSAR</v>
      </c>
      <c r="Q2739" t="str">
        <f t="shared" si="42"/>
        <v>UNIVERSITAS NEGERI MAKASSARPENDIDIKAN TEKNIK BANGUNAN</v>
      </c>
    </row>
    <row r="2740" spans="1:17" ht="15.75" thickBot="1" x14ac:dyDescent="0.3">
      <c r="A2740" s="7">
        <v>2739</v>
      </c>
      <c r="B2740" s="6">
        <v>71</v>
      </c>
      <c r="C2740" s="12">
        <v>7121105</v>
      </c>
      <c r="D2740" t="s">
        <v>23</v>
      </c>
      <c r="E2740" s="12">
        <v>22</v>
      </c>
      <c r="F2740" s="10" t="s">
        <v>20</v>
      </c>
      <c r="J2740" s="138" t="s">
        <v>1292</v>
      </c>
      <c r="K2740" s="138" t="s">
        <v>1292</v>
      </c>
      <c r="L2740" s="138" t="s">
        <v>1292</v>
      </c>
      <c r="M2740" s="12"/>
      <c r="N2740" s="88" t="s">
        <v>1292</v>
      </c>
      <c r="P2740" t="str">
        <f>VLOOKUP(B2740,PTN!A:B,2,FALSE)</f>
        <v>UNIVERSITAS NEGERI MAKASSAR</v>
      </c>
      <c r="Q2740" t="str">
        <f t="shared" si="42"/>
        <v>UNIVERSITAS NEGERI MAKASSARPENDIDIKAN TEKNIK ELEKTRO</v>
      </c>
    </row>
    <row r="2741" spans="1:17" ht="15.75" thickBot="1" x14ac:dyDescent="0.3">
      <c r="A2741" s="7">
        <v>2740</v>
      </c>
      <c r="B2741" s="6">
        <v>71</v>
      </c>
      <c r="C2741" s="13">
        <v>7121167</v>
      </c>
      <c r="D2741" t="s">
        <v>464</v>
      </c>
      <c r="E2741" s="13">
        <v>32</v>
      </c>
      <c r="F2741" s="10" t="s">
        <v>20</v>
      </c>
      <c r="J2741" s="138" t="s">
        <v>1292</v>
      </c>
      <c r="K2741" s="138" t="s">
        <v>1292</v>
      </c>
      <c r="L2741" s="138" t="s">
        <v>1292</v>
      </c>
      <c r="M2741" s="13"/>
      <c r="N2741" s="89" t="s">
        <v>1292</v>
      </c>
      <c r="P2741" t="str">
        <f>VLOOKUP(B2741,PTN!A:B,2,FALSE)</f>
        <v>UNIVERSITAS NEGERI MAKASSAR</v>
      </c>
      <c r="Q2741" t="str">
        <f t="shared" si="42"/>
        <v>UNIVERSITAS NEGERI MAKASSARPENDIDIKAN TEKNIK INFORMATIKA &amp; KOMPUTER</v>
      </c>
    </row>
    <row r="2742" spans="1:17" ht="15.75" thickBot="1" x14ac:dyDescent="0.3">
      <c r="A2742" s="7">
        <v>2741</v>
      </c>
      <c r="B2742" s="6">
        <v>71</v>
      </c>
      <c r="C2742" s="12">
        <v>7121121</v>
      </c>
      <c r="D2742" t="s">
        <v>45</v>
      </c>
      <c r="E2742" s="12">
        <v>11</v>
      </c>
      <c r="F2742" s="10" t="s">
        <v>20</v>
      </c>
      <c r="J2742" s="138" t="s">
        <v>1292</v>
      </c>
      <c r="K2742" s="138" t="s">
        <v>1292</v>
      </c>
      <c r="L2742" s="138" t="s">
        <v>1292</v>
      </c>
      <c r="M2742" s="12"/>
      <c r="N2742" s="88" t="s">
        <v>1292</v>
      </c>
      <c r="P2742" t="str">
        <f>VLOOKUP(B2742,PTN!A:B,2,FALSE)</f>
        <v>UNIVERSITAS NEGERI MAKASSAR</v>
      </c>
      <c r="Q2742" t="str">
        <f t="shared" si="42"/>
        <v>UNIVERSITAS NEGERI MAKASSARPENDIDIKAN TEKNIK MESIN</v>
      </c>
    </row>
    <row r="2743" spans="1:17" ht="15.75" thickBot="1" x14ac:dyDescent="0.3">
      <c r="A2743" s="7">
        <v>2742</v>
      </c>
      <c r="B2743" s="6">
        <v>71</v>
      </c>
      <c r="C2743" s="13">
        <v>7121225</v>
      </c>
      <c r="D2743" t="s">
        <v>687</v>
      </c>
      <c r="E2743" s="13">
        <v>22</v>
      </c>
      <c r="F2743" s="10" t="s">
        <v>20</v>
      </c>
      <c r="J2743" s="138" t="s">
        <v>1292</v>
      </c>
      <c r="K2743" s="138" t="s">
        <v>1292</v>
      </c>
      <c r="L2743" s="138" t="s">
        <v>1292</v>
      </c>
      <c r="M2743" s="13"/>
      <c r="N2743" s="89" t="s">
        <v>1292</v>
      </c>
      <c r="P2743" t="str">
        <f>VLOOKUP(B2743,PTN!A:B,2,FALSE)</f>
        <v>UNIVERSITAS NEGERI MAKASSAR</v>
      </c>
      <c r="Q2743" t="str">
        <f t="shared" si="42"/>
        <v>UNIVERSITAS NEGERI MAKASSARPENDIDIKAN TEKNOLOGI PERTANIAN</v>
      </c>
    </row>
    <row r="2744" spans="1:17" ht="15.75" thickBot="1" x14ac:dyDescent="0.3">
      <c r="A2744" s="7">
        <v>2743</v>
      </c>
      <c r="B2744" s="6">
        <v>71</v>
      </c>
      <c r="C2744" s="12">
        <v>7121272</v>
      </c>
      <c r="D2744" t="s">
        <v>688</v>
      </c>
      <c r="E2744" s="12">
        <v>11</v>
      </c>
      <c r="F2744" s="10" t="s">
        <v>20</v>
      </c>
      <c r="J2744" s="138" t="s">
        <v>1292</v>
      </c>
      <c r="K2744" s="138" t="s">
        <v>1292</v>
      </c>
      <c r="L2744" s="138" t="s">
        <v>1292</v>
      </c>
      <c r="M2744" s="12"/>
      <c r="N2744" s="88" t="s">
        <v>1292</v>
      </c>
      <c r="P2744" t="str">
        <f>VLOOKUP(B2744,PTN!A:B,2,FALSE)</f>
        <v>UNIVERSITAS NEGERI MAKASSAR</v>
      </c>
      <c r="Q2744" t="str">
        <f t="shared" si="42"/>
        <v>UNIVERSITAS NEGERI MAKASSARPENDIDIKAN VOKASIONAL MEKATRONIKA</v>
      </c>
    </row>
    <row r="2745" spans="1:17" ht="15.75" thickBot="1" x14ac:dyDescent="0.3">
      <c r="A2745" s="7">
        <v>2744</v>
      </c>
      <c r="B2745" s="6">
        <v>71</v>
      </c>
      <c r="C2745" s="13">
        <v>7121175</v>
      </c>
      <c r="D2745" t="s">
        <v>689</v>
      </c>
      <c r="E2745" s="13">
        <v>11</v>
      </c>
      <c r="F2745" s="10" t="s">
        <v>20</v>
      </c>
      <c r="J2745" s="138" t="s">
        <v>1292</v>
      </c>
      <c r="K2745" s="138" t="s">
        <v>1292</v>
      </c>
      <c r="L2745" s="138" t="s">
        <v>1292</v>
      </c>
      <c r="M2745" s="13"/>
      <c r="N2745" s="89" t="s">
        <v>1292</v>
      </c>
      <c r="P2745" t="str">
        <f>VLOOKUP(B2745,PTN!A:B,2,FALSE)</f>
        <v>UNIVERSITAS NEGERI MAKASSAR</v>
      </c>
      <c r="Q2745" t="str">
        <f t="shared" si="42"/>
        <v>UNIVERSITAS NEGERI MAKASSARPEND. KIMIA KLS INTERNASIONAL (BILINGUAL)</v>
      </c>
    </row>
    <row r="2746" spans="1:17" ht="15.75" thickBot="1" x14ac:dyDescent="0.3">
      <c r="A2746" s="7">
        <v>2745</v>
      </c>
      <c r="B2746" s="6">
        <v>71</v>
      </c>
      <c r="C2746" s="12">
        <v>7121183</v>
      </c>
      <c r="D2746" t="s">
        <v>690</v>
      </c>
      <c r="E2746" s="12">
        <v>11</v>
      </c>
      <c r="F2746" s="10" t="s">
        <v>20</v>
      </c>
      <c r="J2746" s="138" t="s">
        <v>1292</v>
      </c>
      <c r="K2746" s="138" t="s">
        <v>1292</v>
      </c>
      <c r="L2746" s="138" t="s">
        <v>1292</v>
      </c>
      <c r="M2746" s="12"/>
      <c r="N2746" s="88" t="s">
        <v>1292</v>
      </c>
      <c r="P2746" t="str">
        <f>VLOOKUP(B2746,PTN!A:B,2,FALSE)</f>
        <v>UNIVERSITAS NEGERI MAKASSAR</v>
      </c>
      <c r="Q2746" t="str">
        <f t="shared" si="42"/>
        <v>UNIVERSITAS NEGERI MAKASSARPEND. MATEMATIKA KLS INTERNAS. (BILINGUAL)</v>
      </c>
    </row>
    <row r="2747" spans="1:17" ht="15.75" thickBot="1" x14ac:dyDescent="0.3">
      <c r="A2747" s="7">
        <v>2746</v>
      </c>
      <c r="B2747" s="6">
        <v>71</v>
      </c>
      <c r="C2747" s="13">
        <v>7121113</v>
      </c>
      <c r="D2747" t="s">
        <v>691</v>
      </c>
      <c r="E2747" s="13">
        <v>11</v>
      </c>
      <c r="F2747" s="10" t="s">
        <v>20</v>
      </c>
      <c r="J2747" s="138" t="s">
        <v>1292</v>
      </c>
      <c r="K2747" s="138" t="s">
        <v>1292</v>
      </c>
      <c r="L2747" s="138" t="s">
        <v>1292</v>
      </c>
      <c r="M2747" s="13"/>
      <c r="N2747" s="89" t="s">
        <v>1292</v>
      </c>
      <c r="P2747" t="str">
        <f>VLOOKUP(B2747,PTN!A:B,2,FALSE)</f>
        <v>UNIVERSITAS NEGERI MAKASSAR</v>
      </c>
      <c r="Q2747" t="str">
        <f t="shared" si="42"/>
        <v>UNIVERSITAS NEGERI MAKASSARPEND. TEKNIK ELEKTRONIKA</v>
      </c>
    </row>
    <row r="2748" spans="1:17" ht="15.75" thickBot="1" x14ac:dyDescent="0.3">
      <c r="A2748" s="7">
        <v>2747</v>
      </c>
      <c r="B2748" s="6">
        <v>71</v>
      </c>
      <c r="C2748" s="12">
        <v>7121136</v>
      </c>
      <c r="D2748" t="s">
        <v>692</v>
      </c>
      <c r="E2748" s="12">
        <v>22</v>
      </c>
      <c r="F2748" s="10" t="s">
        <v>20</v>
      </c>
      <c r="J2748" s="138" t="s">
        <v>1292</v>
      </c>
      <c r="K2748" s="138" t="s">
        <v>1292</v>
      </c>
      <c r="L2748" s="138" t="s">
        <v>1292</v>
      </c>
      <c r="M2748" s="12"/>
      <c r="N2748" s="88" t="s">
        <v>1292</v>
      </c>
      <c r="P2748" t="str">
        <f>VLOOKUP(B2748,PTN!A:B,2,FALSE)</f>
        <v>UNIVERSITAS NEGERI MAKASSAR</v>
      </c>
      <c r="Q2748" t="str">
        <f t="shared" si="42"/>
        <v>UNIVERSITAS NEGERI MAKASSARPEND. TEKNIK OTOMOTIF</v>
      </c>
    </row>
    <row r="2749" spans="1:17" ht="15.75" thickBot="1" x14ac:dyDescent="0.3">
      <c r="A2749" s="7">
        <v>2748</v>
      </c>
      <c r="B2749" s="6">
        <v>71</v>
      </c>
      <c r="C2749" s="13">
        <v>7121264</v>
      </c>
      <c r="D2749" t="s">
        <v>90</v>
      </c>
      <c r="E2749" s="13">
        <v>22</v>
      </c>
      <c r="F2749" s="10" t="s">
        <v>20</v>
      </c>
      <c r="J2749" s="138" t="s">
        <v>1292</v>
      </c>
      <c r="K2749" s="138" t="s">
        <v>1292</v>
      </c>
      <c r="L2749" s="138" t="s">
        <v>1292</v>
      </c>
      <c r="M2749" s="13"/>
      <c r="N2749" s="89" t="s">
        <v>1292</v>
      </c>
      <c r="P2749" t="str">
        <f>VLOOKUP(B2749,PTN!A:B,2,FALSE)</f>
        <v>UNIVERSITAS NEGERI MAKASSAR</v>
      </c>
      <c r="Q2749" t="str">
        <f t="shared" si="42"/>
        <v>UNIVERSITAS NEGERI MAKASSARSTATISTIKA</v>
      </c>
    </row>
    <row r="2750" spans="1:17" ht="15.75" thickBot="1" x14ac:dyDescent="0.3">
      <c r="A2750" s="7">
        <v>2749</v>
      </c>
      <c r="B2750" s="6">
        <v>71</v>
      </c>
      <c r="C2750" s="14">
        <v>7121287</v>
      </c>
      <c r="D2750" t="s">
        <v>93</v>
      </c>
      <c r="E2750" s="14">
        <v>22</v>
      </c>
      <c r="F2750" s="10" t="s">
        <v>20</v>
      </c>
      <c r="J2750" s="138" t="s">
        <v>1292</v>
      </c>
      <c r="K2750" s="138" t="s">
        <v>1292</v>
      </c>
      <c r="L2750" s="138" t="s">
        <v>1292</v>
      </c>
      <c r="M2750" s="12"/>
      <c r="N2750" s="88" t="s">
        <v>1292</v>
      </c>
      <c r="P2750" t="str">
        <f>VLOOKUP(B2750,PTN!A:B,2,FALSE)</f>
        <v>UNIVERSITAS NEGERI MAKASSAR</v>
      </c>
      <c r="Q2750" t="str">
        <f t="shared" si="42"/>
        <v>UNIVERSITAS NEGERI MAKASSARTEKNIK KOMPUTER</v>
      </c>
    </row>
    <row r="2751" spans="1:17" ht="16.5" thickTop="1" thickBot="1" x14ac:dyDescent="0.3">
      <c r="A2751" s="7">
        <v>2750</v>
      </c>
      <c r="B2751" s="6">
        <v>71</v>
      </c>
      <c r="C2751" s="12">
        <v>7122302</v>
      </c>
      <c r="D2751" t="s">
        <v>443</v>
      </c>
      <c r="E2751" s="12">
        <v>23</v>
      </c>
      <c r="F2751" s="10" t="s">
        <v>13</v>
      </c>
      <c r="J2751" s="138" t="s">
        <v>1292</v>
      </c>
      <c r="K2751" s="138" t="s">
        <v>1292</v>
      </c>
      <c r="L2751" s="138" t="s">
        <v>1292</v>
      </c>
      <c r="M2751" s="21"/>
      <c r="N2751" s="83" t="s">
        <v>1292</v>
      </c>
      <c r="P2751" t="str">
        <f>VLOOKUP(B2751,PTN!A:B,2,FALSE)</f>
        <v>UNIVERSITAS NEGERI MAKASSAR</v>
      </c>
      <c r="Q2751" t="str">
        <f t="shared" si="42"/>
        <v>UNIVERSITAS NEGERI MAKASSARADMINISTRASI NEGARA</v>
      </c>
    </row>
    <row r="2752" spans="1:17" ht="15.75" thickBot="1" x14ac:dyDescent="0.3">
      <c r="A2752" s="7">
        <v>2751</v>
      </c>
      <c r="B2752" s="6">
        <v>71</v>
      </c>
      <c r="C2752" s="13">
        <v>7122051</v>
      </c>
      <c r="D2752" t="s">
        <v>183</v>
      </c>
      <c r="E2752" s="13">
        <v>32</v>
      </c>
      <c r="F2752" s="10" t="s">
        <v>13</v>
      </c>
      <c r="J2752" s="138" t="s">
        <v>1292</v>
      </c>
      <c r="K2752" s="138" t="s">
        <v>1292</v>
      </c>
      <c r="L2752" s="138" t="s">
        <v>1292</v>
      </c>
      <c r="M2752" s="21"/>
      <c r="N2752" s="83" t="s">
        <v>1292</v>
      </c>
      <c r="P2752" t="str">
        <f>VLOOKUP(B2752,PTN!A:B,2,FALSE)</f>
        <v>UNIVERSITAS NEGERI MAKASSAR</v>
      </c>
      <c r="Q2752" t="str">
        <f t="shared" si="42"/>
        <v>UNIVERSITAS NEGERI MAKASSARADMINISTRASI PENDIDIKAN</v>
      </c>
    </row>
    <row r="2753" spans="1:17" ht="16.5" thickTop="1" thickBot="1" x14ac:dyDescent="0.3">
      <c r="A2753" s="7">
        <v>2752</v>
      </c>
      <c r="B2753" s="6">
        <v>71</v>
      </c>
      <c r="C2753" s="12">
        <v>7122356</v>
      </c>
      <c r="D2753" t="s">
        <v>55</v>
      </c>
      <c r="E2753" s="12">
        <v>23</v>
      </c>
      <c r="F2753" s="10" t="s">
        <v>13</v>
      </c>
      <c r="J2753" s="138" t="s">
        <v>1292</v>
      </c>
      <c r="K2753" s="138" t="s">
        <v>1292</v>
      </c>
      <c r="L2753" s="138" t="s">
        <v>1292</v>
      </c>
      <c r="M2753" s="24"/>
      <c r="N2753" s="84" t="s">
        <v>1292</v>
      </c>
      <c r="P2753" t="str">
        <f>VLOOKUP(B2753,PTN!A:B,2,FALSE)</f>
        <v>UNIVERSITAS NEGERI MAKASSAR</v>
      </c>
      <c r="Q2753" t="str">
        <f t="shared" si="42"/>
        <v>UNIVERSITAS NEGERI MAKASSARAKUNTANSI</v>
      </c>
    </row>
    <row r="2754" spans="1:17" ht="16.5" thickTop="1" thickBot="1" x14ac:dyDescent="0.3">
      <c r="A2754" s="7">
        <v>2753</v>
      </c>
      <c r="B2754" s="6">
        <v>71</v>
      </c>
      <c r="C2754" s="13">
        <v>7122074</v>
      </c>
      <c r="D2754" t="s">
        <v>187</v>
      </c>
      <c r="E2754" s="13">
        <v>32</v>
      </c>
      <c r="F2754" s="10" t="s">
        <v>13</v>
      </c>
      <c r="J2754" s="138" t="s">
        <v>1292</v>
      </c>
      <c r="K2754" s="138" t="s">
        <v>1292</v>
      </c>
      <c r="L2754" s="138" t="s">
        <v>1292</v>
      </c>
      <c r="M2754" s="12"/>
      <c r="N2754" s="88" t="s">
        <v>1292</v>
      </c>
      <c r="P2754" t="str">
        <f>VLOOKUP(B2754,PTN!A:B,2,FALSE)</f>
        <v>UNIVERSITAS NEGERI MAKASSAR</v>
      </c>
      <c r="Q2754" t="str">
        <f t="shared" si="42"/>
        <v>UNIVERSITAS NEGERI MAKASSARBIMBINGAN DAN KONSELING</v>
      </c>
    </row>
    <row r="2755" spans="1:17" ht="15.75" thickBot="1" x14ac:dyDescent="0.3">
      <c r="A2755" s="7">
        <v>2754</v>
      </c>
      <c r="B2755" s="6">
        <v>71</v>
      </c>
      <c r="C2755" s="12">
        <v>7122341</v>
      </c>
      <c r="D2755" t="s">
        <v>69</v>
      </c>
      <c r="E2755" s="12">
        <v>23</v>
      </c>
      <c r="F2755" s="10" t="s">
        <v>13</v>
      </c>
      <c r="J2755" s="138" t="s">
        <v>1292</v>
      </c>
      <c r="K2755" s="138" t="s">
        <v>1292</v>
      </c>
      <c r="L2755" s="138" t="s">
        <v>1292</v>
      </c>
      <c r="M2755" s="13"/>
      <c r="N2755" s="89" t="s">
        <v>1292</v>
      </c>
      <c r="P2755" t="str">
        <f>VLOOKUP(B2755,PTN!A:B,2,FALSE)</f>
        <v>UNIVERSITAS NEGERI MAKASSAR</v>
      </c>
      <c r="Q2755" t="str">
        <f t="shared" ref="Q2755:Q2818" si="43">P2755&amp;D2755</f>
        <v>UNIVERSITAS NEGERI MAKASSAREKONOMI PEMBANGUNAN</v>
      </c>
    </row>
    <row r="2756" spans="1:17" ht="15.75" thickBot="1" x14ac:dyDescent="0.3">
      <c r="A2756" s="7">
        <v>2755</v>
      </c>
      <c r="B2756" s="6">
        <v>71</v>
      </c>
      <c r="C2756" s="13">
        <v>7122461</v>
      </c>
      <c r="D2756" t="s">
        <v>389</v>
      </c>
      <c r="E2756" s="13">
        <v>23</v>
      </c>
      <c r="F2756" s="10" t="s">
        <v>13</v>
      </c>
      <c r="J2756" s="138" t="s">
        <v>1292</v>
      </c>
      <c r="K2756" s="138" t="s">
        <v>1292</v>
      </c>
      <c r="L2756" s="138" t="s">
        <v>1292</v>
      </c>
      <c r="M2756" s="12"/>
      <c r="N2756" s="88" t="s">
        <v>1292</v>
      </c>
      <c r="P2756" t="str">
        <f>VLOOKUP(B2756,PTN!A:B,2,FALSE)</f>
        <v>UNIVERSITAS NEGERI MAKASSAR</v>
      </c>
      <c r="Q2756" t="str">
        <f t="shared" si="43"/>
        <v>UNIVERSITAS NEGERI MAKASSARILMU ADMINISTRASI BISNIS</v>
      </c>
    </row>
    <row r="2757" spans="1:17" ht="15.75" thickBot="1" x14ac:dyDescent="0.3">
      <c r="A2757" s="7">
        <v>2756</v>
      </c>
      <c r="B2757" s="6">
        <v>71</v>
      </c>
      <c r="C2757" s="12">
        <v>7122221</v>
      </c>
      <c r="D2757" t="s">
        <v>61</v>
      </c>
      <c r="E2757" s="12">
        <v>59</v>
      </c>
      <c r="F2757" s="10" t="s">
        <v>13</v>
      </c>
      <c r="J2757" s="138" t="s">
        <v>1292</v>
      </c>
      <c r="K2757" s="138" t="s">
        <v>1292</v>
      </c>
      <c r="L2757" s="138" t="s">
        <v>1292</v>
      </c>
      <c r="M2757" s="13"/>
      <c r="N2757" s="89" t="s">
        <v>1292</v>
      </c>
      <c r="P2757" t="str">
        <f>VLOOKUP(B2757,PTN!A:B,2,FALSE)</f>
        <v>UNIVERSITAS NEGERI MAKASSAR</v>
      </c>
      <c r="Q2757" t="str">
        <f t="shared" si="43"/>
        <v>UNIVERSITAS NEGERI MAKASSARMANAJEMEN</v>
      </c>
    </row>
    <row r="2758" spans="1:17" ht="15.75" thickBot="1" x14ac:dyDescent="0.3">
      <c r="A2758" s="7">
        <v>2757</v>
      </c>
      <c r="B2758" s="6">
        <v>71</v>
      </c>
      <c r="C2758" s="13">
        <v>7122406</v>
      </c>
      <c r="D2758" t="s">
        <v>693</v>
      </c>
      <c r="E2758" s="13">
        <v>23</v>
      </c>
      <c r="F2758" s="10" t="s">
        <v>13</v>
      </c>
      <c r="J2758" s="138" t="s">
        <v>1292</v>
      </c>
      <c r="K2758" s="138" t="s">
        <v>1292</v>
      </c>
      <c r="L2758" s="138" t="s">
        <v>1292</v>
      </c>
      <c r="M2758" s="12"/>
      <c r="N2758" s="88" t="s">
        <v>1292</v>
      </c>
      <c r="P2758" t="str">
        <f>VLOOKUP(B2758,PTN!A:B,2,FALSE)</f>
        <v>UNIVERSITAS NEGERI MAKASSAR</v>
      </c>
      <c r="Q2758" t="str">
        <f t="shared" si="43"/>
        <v>UNIVERSITAS NEGERI MAKASSARPEND. ADMINISTRASI PERKANTORAN</v>
      </c>
    </row>
    <row r="2759" spans="1:17" ht="15.75" thickBot="1" x14ac:dyDescent="0.3">
      <c r="A2759" s="7">
        <v>2758</v>
      </c>
      <c r="B2759" s="6">
        <v>71</v>
      </c>
      <c r="C2759" s="12">
        <v>7122422</v>
      </c>
      <c r="D2759" t="s">
        <v>576</v>
      </c>
      <c r="E2759" s="12">
        <v>23</v>
      </c>
      <c r="F2759" s="10" t="s">
        <v>13</v>
      </c>
      <c r="J2759" s="138" t="s">
        <v>1292</v>
      </c>
      <c r="K2759" s="138" t="s">
        <v>1292</v>
      </c>
      <c r="L2759" s="138" t="s">
        <v>1292</v>
      </c>
      <c r="M2759" s="13"/>
      <c r="N2759" s="89" t="s">
        <v>1292</v>
      </c>
      <c r="P2759" t="str">
        <f>VLOOKUP(B2759,PTN!A:B,2,FALSE)</f>
        <v>UNIVERSITAS NEGERI MAKASSAR</v>
      </c>
      <c r="Q2759" t="str">
        <f t="shared" si="43"/>
        <v>UNIVERSITAS NEGERI MAKASSARPEND. AKUNTANSI</v>
      </c>
    </row>
    <row r="2760" spans="1:17" ht="15.75" thickBot="1" x14ac:dyDescent="0.3">
      <c r="A2760" s="7">
        <v>2759</v>
      </c>
      <c r="B2760" s="6">
        <v>71</v>
      </c>
      <c r="C2760" s="13">
        <v>7122333</v>
      </c>
      <c r="D2760" t="s">
        <v>694</v>
      </c>
      <c r="E2760" s="13">
        <v>11</v>
      </c>
      <c r="F2760" s="10" t="s">
        <v>13</v>
      </c>
      <c r="J2760" s="138" t="s">
        <v>1292</v>
      </c>
      <c r="K2760" s="138" t="s">
        <v>1292</v>
      </c>
      <c r="L2760" s="138" t="s">
        <v>1292</v>
      </c>
      <c r="M2760" s="12"/>
      <c r="N2760" s="88" t="s">
        <v>1292</v>
      </c>
      <c r="P2760" t="str">
        <f>VLOOKUP(B2760,PTN!A:B,2,FALSE)</f>
        <v>UNIVERSITAS NEGERI MAKASSAR</v>
      </c>
      <c r="Q2760" t="str">
        <f t="shared" si="43"/>
        <v>UNIVERSITAS NEGERI MAKASSARPEND. GEOGRAFI KLS INTERNAS. (BILINGUAL)</v>
      </c>
    </row>
    <row r="2761" spans="1:17" ht="15.75" thickBot="1" x14ac:dyDescent="0.3">
      <c r="A2761" s="7">
        <v>2760</v>
      </c>
      <c r="B2761" s="6">
        <v>71</v>
      </c>
      <c r="C2761" s="12">
        <v>7122252</v>
      </c>
      <c r="D2761" t="s">
        <v>695</v>
      </c>
      <c r="E2761" s="12">
        <v>43</v>
      </c>
      <c r="F2761" s="10" t="s">
        <v>13</v>
      </c>
      <c r="J2761" s="138" t="s">
        <v>1292</v>
      </c>
      <c r="K2761" s="138" t="s">
        <v>1292</v>
      </c>
      <c r="L2761" s="138" t="s">
        <v>1292</v>
      </c>
      <c r="M2761" s="13"/>
      <c r="N2761" s="89" t="s">
        <v>1292</v>
      </c>
      <c r="P2761" t="str">
        <f>VLOOKUP(B2761,PTN!A:B,2,FALSE)</f>
        <v>UNIVERSITAS NEGERI MAKASSAR</v>
      </c>
      <c r="Q2761" t="str">
        <f t="shared" si="43"/>
        <v>UNIVERSITAS NEGERI MAKASSARPEND. GURU SEK. DASAR (KAMPUS MAKASSAR)</v>
      </c>
    </row>
    <row r="2762" spans="1:17" ht="15.75" thickBot="1" x14ac:dyDescent="0.3">
      <c r="A2762" s="7">
        <v>2761</v>
      </c>
      <c r="B2762" s="6">
        <v>71</v>
      </c>
      <c r="C2762" s="13">
        <v>7122283</v>
      </c>
      <c r="D2762" t="s">
        <v>696</v>
      </c>
      <c r="E2762" s="13">
        <v>43</v>
      </c>
      <c r="F2762" s="10" t="s">
        <v>13</v>
      </c>
      <c r="J2762" s="138" t="s">
        <v>1292</v>
      </c>
      <c r="K2762" s="138" t="s">
        <v>1292</v>
      </c>
      <c r="L2762" s="138" t="s">
        <v>1292</v>
      </c>
      <c r="M2762" s="12"/>
      <c r="N2762" s="88" t="s">
        <v>1292</v>
      </c>
      <c r="P2762" t="str">
        <f>VLOOKUP(B2762,PTN!A:B,2,FALSE)</f>
        <v>UNIVERSITAS NEGERI MAKASSAR</v>
      </c>
      <c r="Q2762" t="str">
        <f t="shared" si="43"/>
        <v>UNIVERSITAS NEGERI MAKASSARPEND. GURU SEK. DASAR (KAMPUS PARE-PARE)</v>
      </c>
    </row>
    <row r="2763" spans="1:17" ht="15.75" thickBot="1" x14ac:dyDescent="0.3">
      <c r="A2763" s="7">
        <v>2762</v>
      </c>
      <c r="B2763" s="6">
        <v>71</v>
      </c>
      <c r="C2763" s="12">
        <v>7122275</v>
      </c>
      <c r="D2763" t="s">
        <v>697</v>
      </c>
      <c r="E2763" s="12">
        <v>54</v>
      </c>
      <c r="F2763" s="10" t="s">
        <v>13</v>
      </c>
      <c r="J2763" s="138" t="s">
        <v>1292</v>
      </c>
      <c r="K2763" s="138" t="s">
        <v>1292</v>
      </c>
      <c r="L2763" s="138" t="s">
        <v>1292</v>
      </c>
      <c r="M2763" s="13"/>
      <c r="N2763" s="89" t="s">
        <v>1292</v>
      </c>
      <c r="P2763" t="str">
        <f>VLOOKUP(B2763,PTN!A:B,2,FALSE)</f>
        <v>UNIVERSITAS NEGERI MAKASSAR</v>
      </c>
      <c r="Q2763" t="str">
        <f t="shared" si="43"/>
        <v>UNIVERSITAS NEGERI MAKASSARPEND. GURU SEKOLAH DASAR (KAMPUS BONE)</v>
      </c>
    </row>
    <row r="2764" spans="1:17" ht="15.75" thickBot="1" x14ac:dyDescent="0.3">
      <c r="A2764" s="7">
        <v>2763</v>
      </c>
      <c r="B2764" s="6">
        <v>71</v>
      </c>
      <c r="C2764" s="13">
        <v>7122186</v>
      </c>
      <c r="D2764" t="s">
        <v>698</v>
      </c>
      <c r="E2764" s="13">
        <v>23</v>
      </c>
      <c r="F2764" s="10" t="s">
        <v>13</v>
      </c>
      <c r="J2764" s="138" t="s">
        <v>1292</v>
      </c>
      <c r="K2764" s="138" t="s">
        <v>1292</v>
      </c>
      <c r="L2764" s="138" t="s">
        <v>1292</v>
      </c>
      <c r="M2764" s="12"/>
      <c r="N2764" s="88" t="s">
        <v>1292</v>
      </c>
      <c r="P2764" t="str">
        <f>VLOOKUP(B2764,PTN!A:B,2,FALSE)</f>
        <v>UNIVERSITAS NEGERI MAKASSAR</v>
      </c>
      <c r="Q2764" t="str">
        <f t="shared" si="43"/>
        <v>UNIVERSITAS NEGERI MAKASSARPENDIDIKAAN SOSIOLOGI</v>
      </c>
    </row>
    <row r="2765" spans="1:17" ht="15.75" thickBot="1" x14ac:dyDescent="0.3">
      <c r="A2765" s="7">
        <v>2764</v>
      </c>
      <c r="B2765" s="6">
        <v>71</v>
      </c>
      <c r="C2765" s="12">
        <v>7122437</v>
      </c>
      <c r="D2765" t="s">
        <v>123</v>
      </c>
      <c r="E2765" s="12">
        <v>23</v>
      </c>
      <c r="F2765" s="10" t="s">
        <v>13</v>
      </c>
      <c r="J2765" s="138" t="s">
        <v>1292</v>
      </c>
      <c r="K2765" s="138" t="s">
        <v>1292</v>
      </c>
      <c r="L2765" s="138" t="s">
        <v>1292</v>
      </c>
      <c r="M2765" s="13"/>
      <c r="N2765" s="89" t="s">
        <v>1292</v>
      </c>
      <c r="P2765" t="str">
        <f>VLOOKUP(B2765,PTN!A:B,2,FALSE)</f>
        <v>UNIVERSITAS NEGERI MAKASSAR</v>
      </c>
      <c r="Q2765" t="str">
        <f t="shared" si="43"/>
        <v>UNIVERSITAS NEGERI MAKASSARPENDIDIKAN ANTROPOLOGI</v>
      </c>
    </row>
    <row r="2766" spans="1:17" ht="15.75" thickBot="1" x14ac:dyDescent="0.3">
      <c r="A2766" s="7">
        <v>2765</v>
      </c>
      <c r="B2766" s="6">
        <v>71</v>
      </c>
      <c r="C2766" s="13">
        <v>7122453</v>
      </c>
      <c r="D2766" t="s">
        <v>244</v>
      </c>
      <c r="E2766" s="13">
        <v>23</v>
      </c>
      <c r="F2766" s="10" t="s">
        <v>13</v>
      </c>
      <c r="J2766" s="138" t="s">
        <v>1292</v>
      </c>
      <c r="K2766" s="138" t="s">
        <v>1292</v>
      </c>
      <c r="L2766" s="138" t="s">
        <v>1292</v>
      </c>
      <c r="M2766" s="12"/>
      <c r="N2766" s="88" t="s">
        <v>1292</v>
      </c>
      <c r="P2766" t="str">
        <f>VLOOKUP(B2766,PTN!A:B,2,FALSE)</f>
        <v>UNIVERSITAS NEGERI MAKASSAR</v>
      </c>
      <c r="Q2766" t="str">
        <f t="shared" si="43"/>
        <v>UNIVERSITAS NEGERI MAKASSARPENDIDIKAN BAHASA ARAB</v>
      </c>
    </row>
    <row r="2767" spans="1:17" ht="15.75" thickBot="1" x14ac:dyDescent="0.3">
      <c r="A2767" s="7">
        <v>2766</v>
      </c>
      <c r="B2767" s="6">
        <v>71</v>
      </c>
      <c r="C2767" s="12">
        <v>7122445</v>
      </c>
      <c r="D2767" t="s">
        <v>699</v>
      </c>
      <c r="E2767" s="12">
        <v>23</v>
      </c>
      <c r="F2767" s="10" t="s">
        <v>13</v>
      </c>
      <c r="J2767" s="138" t="s">
        <v>1292</v>
      </c>
      <c r="K2767" s="138" t="s">
        <v>1292</v>
      </c>
      <c r="L2767" s="138" t="s">
        <v>1292</v>
      </c>
      <c r="M2767" s="13"/>
      <c r="N2767" s="89" t="s">
        <v>1292</v>
      </c>
      <c r="P2767" t="str">
        <f>VLOOKUP(B2767,PTN!A:B,2,FALSE)</f>
        <v>UNIVERSITAS NEGERI MAKASSAR</v>
      </c>
      <c r="Q2767" t="str">
        <f t="shared" si="43"/>
        <v>UNIVERSITAS NEGERI MAKASSARPENDIDIKAN BAHASA DAN SASTRA DAERAH</v>
      </c>
    </row>
    <row r="2768" spans="1:17" ht="15.75" thickBot="1" x14ac:dyDescent="0.3">
      <c r="A2768" s="7">
        <v>2767</v>
      </c>
      <c r="B2768" s="6">
        <v>71</v>
      </c>
      <c r="C2768" s="13">
        <v>7122101</v>
      </c>
      <c r="D2768" t="s">
        <v>99</v>
      </c>
      <c r="E2768" s="13">
        <v>35</v>
      </c>
      <c r="F2768" s="10" t="s">
        <v>13</v>
      </c>
      <c r="J2768" s="138" t="s">
        <v>1292</v>
      </c>
      <c r="K2768" s="138" t="s">
        <v>1292</v>
      </c>
      <c r="L2768" s="138" t="s">
        <v>1292</v>
      </c>
      <c r="M2768" s="12"/>
      <c r="N2768" s="88" t="s">
        <v>1292</v>
      </c>
      <c r="P2768" t="str">
        <f>VLOOKUP(B2768,PTN!A:B,2,FALSE)</f>
        <v>UNIVERSITAS NEGERI MAKASSAR</v>
      </c>
      <c r="Q2768" t="str">
        <f t="shared" si="43"/>
        <v>UNIVERSITAS NEGERI MAKASSARPENDIDIKAN BAHASA DAN SASTRA INDONESIA</v>
      </c>
    </row>
    <row r="2769" spans="1:17" ht="15.75" thickBot="1" x14ac:dyDescent="0.3">
      <c r="A2769" s="7">
        <v>2768</v>
      </c>
      <c r="B2769" s="6">
        <v>71</v>
      </c>
      <c r="C2769" s="12">
        <v>7122116</v>
      </c>
      <c r="D2769" t="s">
        <v>71</v>
      </c>
      <c r="E2769" s="12">
        <v>35</v>
      </c>
      <c r="F2769" s="10" t="s">
        <v>13</v>
      </c>
      <c r="J2769" s="138" t="s">
        <v>1292</v>
      </c>
      <c r="K2769" s="138" t="s">
        <v>1292</v>
      </c>
      <c r="L2769" s="138" t="s">
        <v>1292</v>
      </c>
      <c r="M2769" s="13"/>
      <c r="N2769" s="89" t="s">
        <v>1292</v>
      </c>
      <c r="P2769" t="str">
        <f>VLOOKUP(B2769,PTN!A:B,2,FALSE)</f>
        <v>UNIVERSITAS NEGERI MAKASSAR</v>
      </c>
      <c r="Q2769" t="str">
        <f t="shared" si="43"/>
        <v>UNIVERSITAS NEGERI MAKASSARPENDIDIKAN BAHASA INGGRIS</v>
      </c>
    </row>
    <row r="2770" spans="1:17" ht="15.75" thickBot="1" x14ac:dyDescent="0.3">
      <c r="A2770" s="7">
        <v>2769</v>
      </c>
      <c r="B2770" s="6">
        <v>71</v>
      </c>
      <c r="C2770" s="13">
        <v>7122147</v>
      </c>
      <c r="D2770" t="s">
        <v>124</v>
      </c>
      <c r="E2770" s="13">
        <v>23</v>
      </c>
      <c r="F2770" s="10" t="s">
        <v>13</v>
      </c>
      <c r="J2770" s="138" t="s">
        <v>1292</v>
      </c>
      <c r="K2770" s="138" t="s">
        <v>1292</v>
      </c>
      <c r="L2770" s="138" t="s">
        <v>1292</v>
      </c>
      <c r="M2770" s="12"/>
      <c r="N2770" s="88" t="s">
        <v>1292</v>
      </c>
      <c r="P2770" t="str">
        <f>VLOOKUP(B2770,PTN!A:B,2,FALSE)</f>
        <v>UNIVERSITAS NEGERI MAKASSAR</v>
      </c>
      <c r="Q2770" t="str">
        <f t="shared" si="43"/>
        <v>UNIVERSITAS NEGERI MAKASSARPENDIDIKAN BAHASA JERMAN</v>
      </c>
    </row>
    <row r="2771" spans="1:17" ht="15.75" thickBot="1" x14ac:dyDescent="0.3">
      <c r="A2771" s="7">
        <v>2770</v>
      </c>
      <c r="B2771" s="6">
        <v>71</v>
      </c>
      <c r="C2771" s="12">
        <v>7122476</v>
      </c>
      <c r="D2771" t="s">
        <v>325</v>
      </c>
      <c r="E2771" s="12">
        <v>12</v>
      </c>
      <c r="F2771" s="10" t="s">
        <v>13</v>
      </c>
      <c r="J2771" s="138" t="s">
        <v>1292</v>
      </c>
      <c r="K2771" s="138" t="s">
        <v>1292</v>
      </c>
      <c r="L2771" s="138" t="s">
        <v>1292</v>
      </c>
      <c r="M2771" s="13"/>
      <c r="N2771" s="89" t="s">
        <v>1292</v>
      </c>
      <c r="P2771" t="str">
        <f>VLOOKUP(B2771,PTN!A:B,2,FALSE)</f>
        <v>UNIVERSITAS NEGERI MAKASSAR</v>
      </c>
      <c r="Q2771" t="str">
        <f t="shared" si="43"/>
        <v>UNIVERSITAS NEGERI MAKASSARPENDIDIKAN BAHASA MANDARIN</v>
      </c>
    </row>
    <row r="2772" spans="1:17" ht="15.75" thickBot="1" x14ac:dyDescent="0.3">
      <c r="A2772" s="7">
        <v>2771</v>
      </c>
      <c r="B2772" s="6">
        <v>71</v>
      </c>
      <c r="C2772" s="13">
        <v>7122317</v>
      </c>
      <c r="D2772" t="s">
        <v>100</v>
      </c>
      <c r="E2772" s="13">
        <v>35</v>
      </c>
      <c r="F2772" s="10" t="s">
        <v>13</v>
      </c>
      <c r="J2772" s="138" t="s">
        <v>1292</v>
      </c>
      <c r="K2772" s="138" t="s">
        <v>1292</v>
      </c>
      <c r="L2772" s="138" t="s">
        <v>1292</v>
      </c>
      <c r="M2772" s="12"/>
      <c r="N2772" s="88" t="s">
        <v>1292</v>
      </c>
      <c r="P2772" t="str">
        <f>VLOOKUP(B2772,PTN!A:B,2,FALSE)</f>
        <v>UNIVERSITAS NEGERI MAKASSAR</v>
      </c>
      <c r="Q2772" t="str">
        <f t="shared" si="43"/>
        <v>UNIVERSITAS NEGERI MAKASSARPENDIDIKAN EKONOMI</v>
      </c>
    </row>
    <row r="2773" spans="1:17" ht="15.75" thickBot="1" x14ac:dyDescent="0.3">
      <c r="A2773" s="7">
        <v>2772</v>
      </c>
      <c r="B2773" s="6">
        <v>71</v>
      </c>
      <c r="C2773" s="12">
        <v>7122012</v>
      </c>
      <c r="D2773" t="s">
        <v>72</v>
      </c>
      <c r="E2773" s="12">
        <v>22</v>
      </c>
      <c r="F2773" s="10" t="s">
        <v>13</v>
      </c>
      <c r="J2773" s="138" t="s">
        <v>1292</v>
      </c>
      <c r="K2773" s="138" t="s">
        <v>1292</v>
      </c>
      <c r="L2773" s="138" t="s">
        <v>1292</v>
      </c>
      <c r="M2773" s="13"/>
      <c r="N2773" s="89" t="s">
        <v>1292</v>
      </c>
      <c r="P2773" t="str">
        <f>VLOOKUP(B2773,PTN!A:B,2,FALSE)</f>
        <v>UNIVERSITAS NEGERI MAKASSAR</v>
      </c>
      <c r="Q2773" t="str">
        <f t="shared" si="43"/>
        <v>UNIVERSITAS NEGERI MAKASSARPENDIDIKAN GEOGRAFI</v>
      </c>
    </row>
    <row r="2774" spans="1:17" ht="15.75" thickBot="1" x14ac:dyDescent="0.3">
      <c r="A2774" s="7">
        <v>2773</v>
      </c>
      <c r="B2774" s="6">
        <v>71</v>
      </c>
      <c r="C2774" s="13">
        <v>7122267</v>
      </c>
      <c r="D2774" t="s">
        <v>101</v>
      </c>
      <c r="E2774" s="13">
        <v>32</v>
      </c>
      <c r="F2774" s="10" t="s">
        <v>13</v>
      </c>
      <c r="J2774" s="138" t="s">
        <v>1292</v>
      </c>
      <c r="K2774" s="138" t="s">
        <v>1292</v>
      </c>
      <c r="L2774" s="138" t="s">
        <v>1292</v>
      </c>
      <c r="M2774" s="12"/>
      <c r="N2774" s="88" t="s">
        <v>1292</v>
      </c>
      <c r="P2774" t="str">
        <f>VLOOKUP(B2774,PTN!A:B,2,FALSE)</f>
        <v>UNIVERSITAS NEGERI MAKASSAR</v>
      </c>
      <c r="Q2774" t="str">
        <f t="shared" si="43"/>
        <v>UNIVERSITAS NEGERI MAKASSARPENDIDIKAN GURU PAUD</v>
      </c>
    </row>
    <row r="2775" spans="1:17" ht="15.75" thickBot="1" x14ac:dyDescent="0.3">
      <c r="A2775" s="7">
        <v>2774</v>
      </c>
      <c r="B2775" s="6">
        <v>71</v>
      </c>
      <c r="C2775" s="12">
        <v>7122291</v>
      </c>
      <c r="D2775" t="s">
        <v>409</v>
      </c>
      <c r="E2775" s="12">
        <v>23</v>
      </c>
      <c r="F2775" s="10" t="s">
        <v>13</v>
      </c>
      <c r="J2775" s="138" t="s">
        <v>1292</v>
      </c>
      <c r="K2775" s="138" t="s">
        <v>1292</v>
      </c>
      <c r="L2775" s="138" t="s">
        <v>1292</v>
      </c>
      <c r="M2775" s="13"/>
      <c r="N2775" s="89" t="s">
        <v>1292</v>
      </c>
      <c r="P2775" t="str">
        <f>VLOOKUP(B2775,PTN!A:B,2,FALSE)</f>
        <v>UNIVERSITAS NEGERI MAKASSAR</v>
      </c>
      <c r="Q2775" t="str">
        <f t="shared" si="43"/>
        <v>UNIVERSITAS NEGERI MAKASSARPENDIDIKAN IPS</v>
      </c>
    </row>
    <row r="2776" spans="1:17" ht="15.75" thickBot="1" x14ac:dyDescent="0.3">
      <c r="A2776" s="7">
        <v>2775</v>
      </c>
      <c r="B2776" s="6">
        <v>71</v>
      </c>
      <c r="C2776" s="13">
        <v>7122035</v>
      </c>
      <c r="D2776" t="s">
        <v>452</v>
      </c>
      <c r="E2776" s="13">
        <v>140</v>
      </c>
      <c r="F2776" s="10" t="s">
        <v>13</v>
      </c>
      <c r="J2776" s="138" t="s">
        <v>1292</v>
      </c>
      <c r="K2776" s="138" t="s">
        <v>1292</v>
      </c>
      <c r="L2776" s="138" t="s">
        <v>1292</v>
      </c>
      <c r="M2776" s="12"/>
      <c r="N2776" s="88" t="s">
        <v>1292</v>
      </c>
      <c r="P2776" t="str">
        <f>VLOOKUP(B2776,PTN!A:B,2,FALSE)</f>
        <v>UNIVERSITAS NEGERI MAKASSAR</v>
      </c>
      <c r="Q2776" t="str">
        <f t="shared" si="43"/>
        <v>UNIVERSITAS NEGERI MAKASSARPENDIDIKAN JASMANI, KESEHATAN &amp; REKREASI</v>
      </c>
    </row>
    <row r="2777" spans="1:17" ht="15.75" thickBot="1" x14ac:dyDescent="0.3">
      <c r="A2777" s="7">
        <v>2776</v>
      </c>
      <c r="B2777" s="6">
        <v>71</v>
      </c>
      <c r="C2777" s="12">
        <v>7122043</v>
      </c>
      <c r="D2777" t="s">
        <v>330</v>
      </c>
      <c r="E2777" s="12">
        <v>55</v>
      </c>
      <c r="F2777" s="10" t="s">
        <v>13</v>
      </c>
      <c r="J2777" s="138" t="s">
        <v>1292</v>
      </c>
      <c r="K2777" s="138" t="s">
        <v>1292</v>
      </c>
      <c r="L2777" s="138" t="s">
        <v>1292</v>
      </c>
      <c r="M2777" s="13"/>
      <c r="N2777" s="89" t="s">
        <v>1292</v>
      </c>
      <c r="P2777" t="str">
        <f>VLOOKUP(B2777,PTN!A:B,2,FALSE)</f>
        <v>UNIVERSITAS NEGERI MAKASSAR</v>
      </c>
      <c r="Q2777" t="str">
        <f t="shared" si="43"/>
        <v>UNIVERSITAS NEGERI MAKASSARPENDIDIKAN KEPELATIHAN OLAHRAGA</v>
      </c>
    </row>
    <row r="2778" spans="1:17" ht="15.75" thickBot="1" x14ac:dyDescent="0.3">
      <c r="A2778" s="7">
        <v>2777</v>
      </c>
      <c r="B2778" s="6">
        <v>71</v>
      </c>
      <c r="C2778" s="13">
        <v>7122027</v>
      </c>
      <c r="D2778" t="s">
        <v>102</v>
      </c>
      <c r="E2778" s="13">
        <v>32</v>
      </c>
      <c r="F2778" s="10" t="s">
        <v>13</v>
      </c>
      <c r="J2778" s="138" t="s">
        <v>1292</v>
      </c>
      <c r="K2778" s="138" t="s">
        <v>1292</v>
      </c>
      <c r="L2778" s="138" t="s">
        <v>1292</v>
      </c>
      <c r="M2778" s="12"/>
      <c r="N2778" s="88" t="s">
        <v>1292</v>
      </c>
      <c r="P2778" t="str">
        <f>VLOOKUP(B2778,PTN!A:B,2,FALSE)</f>
        <v>UNIVERSITAS NEGERI MAKASSAR</v>
      </c>
      <c r="Q2778" t="str">
        <f t="shared" si="43"/>
        <v>UNIVERSITAS NEGERI MAKASSARPENDIDIKAN KESEJAHTERAAN KELUARGA</v>
      </c>
    </row>
    <row r="2779" spans="1:17" ht="15.75" thickBot="1" x14ac:dyDescent="0.3">
      <c r="A2779" s="7">
        <v>2778</v>
      </c>
      <c r="B2779" s="6">
        <v>71</v>
      </c>
      <c r="C2779" s="12">
        <v>7122097</v>
      </c>
      <c r="D2779" t="s">
        <v>200</v>
      </c>
      <c r="E2779" s="12">
        <v>32</v>
      </c>
      <c r="F2779" s="10" t="s">
        <v>13</v>
      </c>
      <c r="J2779" s="138" t="s">
        <v>1292</v>
      </c>
      <c r="K2779" s="138" t="s">
        <v>1292</v>
      </c>
      <c r="L2779" s="138" t="s">
        <v>1292</v>
      </c>
      <c r="M2779" s="13"/>
      <c r="N2779" s="89" t="s">
        <v>1292</v>
      </c>
      <c r="P2779" t="str">
        <f>VLOOKUP(B2779,PTN!A:B,2,FALSE)</f>
        <v>UNIVERSITAS NEGERI MAKASSAR</v>
      </c>
      <c r="Q2779" t="str">
        <f t="shared" si="43"/>
        <v>UNIVERSITAS NEGERI MAKASSARPENDIDIKAN LUAR BIASA</v>
      </c>
    </row>
    <row r="2780" spans="1:17" ht="15.75" thickBot="1" x14ac:dyDescent="0.3">
      <c r="A2780" s="7">
        <v>2779</v>
      </c>
      <c r="B2780" s="6">
        <v>71</v>
      </c>
      <c r="C2780" s="13">
        <v>7122082</v>
      </c>
      <c r="D2780" t="s">
        <v>201</v>
      </c>
      <c r="E2780" s="13">
        <v>22</v>
      </c>
      <c r="F2780" s="10" t="s">
        <v>13</v>
      </c>
      <c r="J2780" s="138" t="s">
        <v>1292</v>
      </c>
      <c r="K2780" s="138" t="s">
        <v>1292</v>
      </c>
      <c r="L2780" s="138" t="s">
        <v>1292</v>
      </c>
      <c r="M2780" s="12"/>
      <c r="N2780" s="88" t="s">
        <v>1292</v>
      </c>
      <c r="P2780" t="str">
        <f>VLOOKUP(B2780,PTN!A:B,2,FALSE)</f>
        <v>UNIVERSITAS NEGERI MAKASSAR</v>
      </c>
      <c r="Q2780" t="str">
        <f t="shared" si="43"/>
        <v>UNIVERSITAS NEGERI MAKASSARPENDIDIKAN LUAR SEKOLAH</v>
      </c>
    </row>
    <row r="2781" spans="1:17" ht="15.75" thickBot="1" x14ac:dyDescent="0.3">
      <c r="A2781" s="7">
        <v>2780</v>
      </c>
      <c r="B2781" s="6">
        <v>71</v>
      </c>
      <c r="C2781" s="12">
        <v>7122171</v>
      </c>
      <c r="D2781" t="s">
        <v>103</v>
      </c>
      <c r="E2781" s="12">
        <v>23</v>
      </c>
      <c r="F2781" s="10" t="s">
        <v>13</v>
      </c>
      <c r="J2781" s="138" t="s">
        <v>1292</v>
      </c>
      <c r="K2781" s="138" t="s">
        <v>1292</v>
      </c>
      <c r="L2781" s="138" t="s">
        <v>1292</v>
      </c>
      <c r="M2781" s="13"/>
      <c r="N2781" s="89" t="s">
        <v>1292</v>
      </c>
      <c r="P2781" t="str">
        <f>VLOOKUP(B2781,PTN!A:B,2,FALSE)</f>
        <v>UNIVERSITAS NEGERI MAKASSAR</v>
      </c>
      <c r="Q2781" t="str">
        <f t="shared" si="43"/>
        <v>UNIVERSITAS NEGERI MAKASSARPENDIDIKAN PANCASILA DAN KEWARGANEGARAAN</v>
      </c>
    </row>
    <row r="2782" spans="1:17" ht="15.75" thickBot="1" x14ac:dyDescent="0.3">
      <c r="A2782" s="7">
        <v>2781</v>
      </c>
      <c r="B2782" s="6">
        <v>71</v>
      </c>
      <c r="C2782" s="13">
        <v>7122213</v>
      </c>
      <c r="D2782" t="s">
        <v>75</v>
      </c>
      <c r="E2782" s="13">
        <v>23</v>
      </c>
      <c r="F2782" s="10" t="s">
        <v>13</v>
      </c>
      <c r="J2782" s="138" t="s">
        <v>1292</v>
      </c>
      <c r="K2782" s="138" t="s">
        <v>1292</v>
      </c>
      <c r="L2782" s="138" t="s">
        <v>1292</v>
      </c>
      <c r="M2782" s="12"/>
      <c r="N2782" s="88" t="s">
        <v>1292</v>
      </c>
      <c r="P2782" t="str">
        <f>VLOOKUP(B2782,PTN!A:B,2,FALSE)</f>
        <v>UNIVERSITAS NEGERI MAKASSAR</v>
      </c>
      <c r="Q2782" t="str">
        <f t="shared" si="43"/>
        <v>UNIVERSITAS NEGERI MAKASSARPENDIDIKAN SEJARAH</v>
      </c>
    </row>
    <row r="2783" spans="1:17" ht="15.75" thickBot="1" x14ac:dyDescent="0.3">
      <c r="A2783" s="7">
        <v>2782</v>
      </c>
      <c r="B2783" s="6">
        <v>71</v>
      </c>
      <c r="C2783" s="12">
        <v>7122364</v>
      </c>
      <c r="D2783" t="s">
        <v>477</v>
      </c>
      <c r="E2783" s="12">
        <v>31</v>
      </c>
      <c r="F2783" s="10" t="s">
        <v>13</v>
      </c>
      <c r="J2783" s="138" t="s">
        <v>1292</v>
      </c>
      <c r="K2783" s="138" t="s">
        <v>1292</v>
      </c>
      <c r="L2783" s="138" t="s">
        <v>1292</v>
      </c>
      <c r="M2783" s="13"/>
      <c r="N2783" s="89" t="s">
        <v>1292</v>
      </c>
      <c r="P2783" t="str">
        <f>VLOOKUP(B2783,PTN!A:B,2,FALSE)</f>
        <v>UNIVERSITAS NEGERI MAKASSAR</v>
      </c>
      <c r="Q2783" t="str">
        <f t="shared" si="43"/>
        <v>UNIVERSITAS NEGERI MAKASSARPENDIDIKAN SENI DRAMA, TARI, DAN MUSIK</v>
      </c>
    </row>
    <row r="2784" spans="1:17" ht="15.75" thickBot="1" x14ac:dyDescent="0.3">
      <c r="A2784" s="7">
        <v>2783</v>
      </c>
      <c r="B2784" s="6">
        <v>71</v>
      </c>
      <c r="C2784" s="13">
        <v>7122372</v>
      </c>
      <c r="D2784" t="s">
        <v>131</v>
      </c>
      <c r="E2784" s="13">
        <v>20</v>
      </c>
      <c r="F2784" s="10" t="s">
        <v>13</v>
      </c>
      <c r="J2784" s="138" t="s">
        <v>1292</v>
      </c>
      <c r="K2784" s="138" t="s">
        <v>1292</v>
      </c>
      <c r="L2784" s="138" t="s">
        <v>1292</v>
      </c>
      <c r="M2784" s="12"/>
      <c r="N2784" s="88" t="s">
        <v>1292</v>
      </c>
      <c r="P2784" t="str">
        <f>VLOOKUP(B2784,PTN!A:B,2,FALSE)</f>
        <v>UNIVERSITAS NEGERI MAKASSAR</v>
      </c>
      <c r="Q2784" t="str">
        <f t="shared" si="43"/>
        <v>UNIVERSITAS NEGERI MAKASSARPENDIDIKAN SENI RUPA</v>
      </c>
    </row>
    <row r="2785" spans="1:17" ht="15.75" thickBot="1" x14ac:dyDescent="0.3">
      <c r="A2785" s="7">
        <v>2784</v>
      </c>
      <c r="B2785" s="6">
        <v>71</v>
      </c>
      <c r="C2785" s="12">
        <v>7122387</v>
      </c>
      <c r="D2785" t="s">
        <v>700</v>
      </c>
      <c r="E2785" s="12">
        <v>22</v>
      </c>
      <c r="F2785" s="10" t="s">
        <v>13</v>
      </c>
      <c r="J2785" s="138" t="s">
        <v>1292</v>
      </c>
      <c r="K2785" s="138" t="s">
        <v>1292</v>
      </c>
      <c r="L2785" s="138" t="s">
        <v>1292</v>
      </c>
      <c r="M2785" s="13"/>
      <c r="N2785" s="89" t="s">
        <v>1292</v>
      </c>
      <c r="P2785" t="str">
        <f>VLOOKUP(B2785,PTN!A:B,2,FALSE)</f>
        <v>UNIVERSITAS NEGERI MAKASSAR</v>
      </c>
      <c r="Q2785" t="str">
        <f t="shared" si="43"/>
        <v>UNIVERSITAS NEGERI MAKASSARP. GURU SEK DASAR BILINGUAL (KAMP MAKASSAR)</v>
      </c>
    </row>
    <row r="2786" spans="1:17" ht="15.75" thickBot="1" x14ac:dyDescent="0.3">
      <c r="A2786" s="7">
        <v>2785</v>
      </c>
      <c r="B2786" s="6">
        <v>71</v>
      </c>
      <c r="C2786" s="13">
        <v>7122244</v>
      </c>
      <c r="D2786" t="s">
        <v>36</v>
      </c>
      <c r="E2786" s="13">
        <v>70</v>
      </c>
      <c r="F2786" s="10" t="s">
        <v>13</v>
      </c>
      <c r="J2786" s="138" t="s">
        <v>1292</v>
      </c>
      <c r="K2786" s="138" t="s">
        <v>1292</v>
      </c>
      <c r="L2786" s="138" t="s">
        <v>1292</v>
      </c>
      <c r="M2786" s="12"/>
      <c r="N2786" s="88" t="s">
        <v>1292</v>
      </c>
      <c r="P2786" t="str">
        <f>VLOOKUP(B2786,PTN!A:B,2,FALSE)</f>
        <v>UNIVERSITAS NEGERI MAKASSAR</v>
      </c>
      <c r="Q2786" t="str">
        <f t="shared" si="43"/>
        <v>UNIVERSITAS NEGERI MAKASSARPSIKOLOGI</v>
      </c>
    </row>
    <row r="2787" spans="1:17" ht="15.75" thickBot="1" x14ac:dyDescent="0.3">
      <c r="A2787" s="7">
        <v>2786</v>
      </c>
      <c r="B2787" s="6">
        <v>71</v>
      </c>
      <c r="C2787" s="12">
        <v>7122124</v>
      </c>
      <c r="D2787" t="s">
        <v>62</v>
      </c>
      <c r="E2787" s="12">
        <v>23</v>
      </c>
      <c r="F2787" s="10" t="s">
        <v>13</v>
      </c>
      <c r="J2787" s="138" t="s">
        <v>1292</v>
      </c>
      <c r="K2787" s="138" t="s">
        <v>1292</v>
      </c>
      <c r="L2787" s="138" t="s">
        <v>1292</v>
      </c>
      <c r="M2787" s="13"/>
      <c r="N2787" s="89" t="s">
        <v>1292</v>
      </c>
      <c r="P2787" t="str">
        <f>VLOOKUP(B2787,PTN!A:B,2,FALSE)</f>
        <v>UNIVERSITAS NEGERI MAKASSAR</v>
      </c>
      <c r="Q2787" t="str">
        <f t="shared" si="43"/>
        <v>UNIVERSITAS NEGERI MAKASSARSASTRA INDONESIA</v>
      </c>
    </row>
    <row r="2788" spans="1:17" ht="15.75" thickBot="1" x14ac:dyDescent="0.3">
      <c r="A2788" s="7">
        <v>2787</v>
      </c>
      <c r="B2788" s="6">
        <v>71</v>
      </c>
      <c r="C2788" s="13">
        <v>7122132</v>
      </c>
      <c r="D2788" t="s">
        <v>139</v>
      </c>
      <c r="E2788" s="13">
        <v>23</v>
      </c>
      <c r="F2788" s="10" t="s">
        <v>13</v>
      </c>
      <c r="J2788" s="138" t="s">
        <v>1292</v>
      </c>
      <c r="K2788" s="138" t="s">
        <v>1292</v>
      </c>
      <c r="L2788" s="138" t="s">
        <v>1292</v>
      </c>
      <c r="M2788" s="12"/>
      <c r="N2788" s="88" t="s">
        <v>1292</v>
      </c>
      <c r="P2788" t="str">
        <f>VLOOKUP(B2788,PTN!A:B,2,FALSE)</f>
        <v>UNIVERSITAS NEGERI MAKASSAR</v>
      </c>
      <c r="Q2788" t="str">
        <f t="shared" si="43"/>
        <v>UNIVERSITAS NEGERI MAKASSARSASTRA INGGRIS</v>
      </c>
    </row>
    <row r="2789" spans="1:17" ht="15.75" thickBot="1" x14ac:dyDescent="0.3">
      <c r="A2789" s="7">
        <v>2788</v>
      </c>
      <c r="B2789" s="6">
        <v>71</v>
      </c>
      <c r="C2789" s="12">
        <v>7122395</v>
      </c>
      <c r="D2789" t="s">
        <v>17</v>
      </c>
      <c r="E2789" s="12">
        <v>20</v>
      </c>
      <c r="F2789" s="10" t="s">
        <v>13</v>
      </c>
      <c r="J2789" s="138" t="s">
        <v>1292</v>
      </c>
      <c r="K2789" s="138" t="s">
        <v>1292</v>
      </c>
      <c r="L2789" s="138" t="s">
        <v>1292</v>
      </c>
      <c r="M2789" s="13"/>
      <c r="N2789" s="89" t="s">
        <v>1292</v>
      </c>
      <c r="P2789" t="str">
        <f>VLOOKUP(B2789,PTN!A:B,2,FALSE)</f>
        <v>UNIVERSITAS NEGERI MAKASSAR</v>
      </c>
      <c r="Q2789" t="str">
        <f t="shared" si="43"/>
        <v>UNIVERSITAS NEGERI MAKASSARSENI TARI</v>
      </c>
    </row>
    <row r="2790" spans="1:17" ht="15.75" thickBot="1" x14ac:dyDescent="0.3">
      <c r="A2790" s="7">
        <v>2789</v>
      </c>
      <c r="B2790" s="6">
        <v>71</v>
      </c>
      <c r="C2790" s="13">
        <v>7122236</v>
      </c>
      <c r="D2790" t="s">
        <v>63</v>
      </c>
      <c r="E2790" s="13">
        <v>23</v>
      </c>
      <c r="F2790" s="10" t="s">
        <v>13</v>
      </c>
      <c r="J2790" s="138" t="s">
        <v>1292</v>
      </c>
      <c r="K2790" s="138" t="s">
        <v>1292</v>
      </c>
      <c r="L2790" s="138" t="s">
        <v>1292</v>
      </c>
      <c r="M2790" s="12"/>
      <c r="N2790" s="88" t="s">
        <v>1292</v>
      </c>
      <c r="P2790" t="str">
        <f>VLOOKUP(B2790,PTN!A:B,2,FALSE)</f>
        <v>UNIVERSITAS NEGERI MAKASSAR</v>
      </c>
      <c r="Q2790" t="str">
        <f t="shared" si="43"/>
        <v>UNIVERSITAS NEGERI MAKASSARSOSIOLOGI</v>
      </c>
    </row>
    <row r="2791" spans="1:17" ht="15.75" thickBot="1" x14ac:dyDescent="0.3">
      <c r="A2791" s="7">
        <v>2790</v>
      </c>
      <c r="B2791" s="6">
        <v>71</v>
      </c>
      <c r="C2791" s="14">
        <v>7122066</v>
      </c>
      <c r="D2791" t="s">
        <v>210</v>
      </c>
      <c r="E2791" s="14">
        <v>22</v>
      </c>
      <c r="F2791" s="10" t="s">
        <v>13</v>
      </c>
      <c r="J2791" s="138" t="s">
        <v>1292</v>
      </c>
      <c r="K2791" s="138" t="s">
        <v>1292</v>
      </c>
      <c r="L2791" s="138" t="s">
        <v>1292</v>
      </c>
      <c r="M2791" s="13"/>
      <c r="N2791" s="89" t="s">
        <v>1292</v>
      </c>
      <c r="P2791" t="str">
        <f>VLOOKUP(B2791,PTN!A:B,2,FALSE)</f>
        <v>UNIVERSITAS NEGERI MAKASSAR</v>
      </c>
      <c r="Q2791" t="str">
        <f t="shared" si="43"/>
        <v>UNIVERSITAS NEGERI MAKASSARTEKNOLOGI PENDIDIKAN</v>
      </c>
    </row>
    <row r="2792" spans="1:17" ht="16.5" thickTop="1" thickBot="1" x14ac:dyDescent="0.3">
      <c r="A2792" s="7">
        <v>2791</v>
      </c>
      <c r="B2792" s="6">
        <v>77</v>
      </c>
      <c r="C2792" s="12">
        <v>7511011</v>
      </c>
      <c r="D2792" t="s">
        <v>37</v>
      </c>
      <c r="E2792" s="12">
        <v>25</v>
      </c>
      <c r="F2792" s="10" t="s">
        <v>20</v>
      </c>
      <c r="J2792" s="138" t="s">
        <v>1292</v>
      </c>
      <c r="K2792" s="138" t="s">
        <v>1292</v>
      </c>
      <c r="L2792" s="138" t="s">
        <v>1292</v>
      </c>
      <c r="M2792" s="21"/>
      <c r="N2792" s="83" t="s">
        <v>1292</v>
      </c>
      <c r="P2792" t="str">
        <f>VLOOKUP(B2792,PTN!A:B,2,FALSE)</f>
        <v>UNIVERSITAS HALUOLEO</v>
      </c>
      <c r="Q2792" t="str">
        <f t="shared" si="43"/>
        <v>UNIVERSITAS HALUOLEOAGRIBISNIS</v>
      </c>
    </row>
    <row r="2793" spans="1:17" ht="15.75" thickBot="1" x14ac:dyDescent="0.3">
      <c r="A2793" s="7">
        <v>2792</v>
      </c>
      <c r="B2793" s="6">
        <v>77</v>
      </c>
      <c r="C2793" s="13">
        <v>7511251</v>
      </c>
      <c r="D2793" t="s">
        <v>536</v>
      </c>
      <c r="E2793" s="13">
        <v>18</v>
      </c>
      <c r="F2793" s="10" t="s">
        <v>20</v>
      </c>
      <c r="J2793" s="138" t="s">
        <v>1292</v>
      </c>
      <c r="K2793" s="138" t="s">
        <v>1292</v>
      </c>
      <c r="L2793" s="138" t="s">
        <v>1292</v>
      </c>
      <c r="M2793" s="21"/>
      <c r="N2793" s="83" t="s">
        <v>1292</v>
      </c>
      <c r="P2793" t="str">
        <f>VLOOKUP(B2793,PTN!A:B,2,FALSE)</f>
        <v>UNIVERSITAS HALUOLEO</v>
      </c>
      <c r="Q2793" t="str">
        <f t="shared" si="43"/>
        <v>UNIVERSITAS HALUOLEOAGROBISNIS PERIKANAN</v>
      </c>
    </row>
    <row r="2794" spans="1:17" ht="16.5" thickTop="1" thickBot="1" x14ac:dyDescent="0.3">
      <c r="A2794" s="7">
        <v>2793</v>
      </c>
      <c r="B2794" s="6">
        <v>77</v>
      </c>
      <c r="C2794" s="12">
        <v>7511026</v>
      </c>
      <c r="D2794" t="s">
        <v>463</v>
      </c>
      <c r="E2794" s="12">
        <v>25</v>
      </c>
      <c r="F2794" s="10" t="s">
        <v>20</v>
      </c>
      <c r="J2794" s="138" t="s">
        <v>1292</v>
      </c>
      <c r="K2794" s="138" t="s">
        <v>1292</v>
      </c>
      <c r="L2794" s="138" t="s">
        <v>1292</v>
      </c>
      <c r="M2794" s="24"/>
      <c r="N2794" s="84" t="s">
        <v>1292</v>
      </c>
      <c r="P2794" t="str">
        <f>VLOOKUP(B2794,PTN!A:B,2,FALSE)</f>
        <v>UNIVERSITAS HALUOLEO</v>
      </c>
      <c r="Q2794" t="str">
        <f t="shared" si="43"/>
        <v>UNIVERSITAS HALUOLEOAGROTEKNOLOGI / AGROEKOTEKNOLOGI</v>
      </c>
    </row>
    <row r="2795" spans="1:17" ht="16.5" thickTop="1" thickBot="1" x14ac:dyDescent="0.3">
      <c r="A2795" s="7">
        <v>2794</v>
      </c>
      <c r="B2795" s="6">
        <v>77</v>
      </c>
      <c r="C2795" s="13">
        <v>7511107</v>
      </c>
      <c r="D2795" t="s">
        <v>21</v>
      </c>
      <c r="E2795" s="13">
        <v>23</v>
      </c>
      <c r="F2795" s="10" t="s">
        <v>20</v>
      </c>
      <c r="J2795" s="138" t="s">
        <v>1292</v>
      </c>
      <c r="K2795" s="138" t="s">
        <v>1292</v>
      </c>
      <c r="L2795" s="138" t="s">
        <v>1292</v>
      </c>
      <c r="M2795" s="12"/>
      <c r="N2795" s="88" t="s">
        <v>1292</v>
      </c>
      <c r="P2795" t="str">
        <f>VLOOKUP(B2795,PTN!A:B,2,FALSE)</f>
        <v>UNIVERSITAS HALUOLEO</v>
      </c>
      <c r="Q2795" t="str">
        <f t="shared" si="43"/>
        <v>UNIVERSITAS HALUOLEOBIOLOGI</v>
      </c>
    </row>
    <row r="2796" spans="1:17" ht="15.75" thickBot="1" x14ac:dyDescent="0.3">
      <c r="A2796" s="7">
        <v>2795</v>
      </c>
      <c r="B2796" s="6">
        <v>77</v>
      </c>
      <c r="C2796" s="12">
        <v>7511371</v>
      </c>
      <c r="D2796" t="s">
        <v>435</v>
      </c>
      <c r="E2796" s="12">
        <v>18</v>
      </c>
      <c r="F2796" s="10" t="s">
        <v>20</v>
      </c>
      <c r="J2796" s="138" t="s">
        <v>1292</v>
      </c>
      <c r="K2796" s="138" t="s">
        <v>1292</v>
      </c>
      <c r="L2796" s="138" t="s">
        <v>1292</v>
      </c>
      <c r="M2796" s="13"/>
      <c r="N2796" s="89" t="s">
        <v>1292</v>
      </c>
      <c r="P2796" t="str">
        <f>VLOOKUP(B2796,PTN!A:B,2,FALSE)</f>
        <v>UNIVERSITAS HALUOLEO</v>
      </c>
      <c r="Q2796" t="str">
        <f t="shared" si="43"/>
        <v>UNIVERSITAS HALUOLEOBIOTEKNOLOGI</v>
      </c>
    </row>
    <row r="2797" spans="1:17" ht="15.75" thickBot="1" x14ac:dyDescent="0.3">
      <c r="A2797" s="7">
        <v>2796</v>
      </c>
      <c r="B2797" s="6">
        <v>77</v>
      </c>
      <c r="C2797" s="13">
        <v>7511065</v>
      </c>
      <c r="D2797" t="s">
        <v>39</v>
      </c>
      <c r="E2797" s="13">
        <v>15</v>
      </c>
      <c r="F2797" s="10" t="s">
        <v>20</v>
      </c>
      <c r="J2797" s="138" t="s">
        <v>1292</v>
      </c>
      <c r="K2797" s="138" t="s">
        <v>1292</v>
      </c>
      <c r="L2797" s="138" t="s">
        <v>1292</v>
      </c>
      <c r="M2797" s="12"/>
      <c r="N2797" s="88" t="s">
        <v>1292</v>
      </c>
      <c r="P2797" t="str">
        <f>VLOOKUP(B2797,PTN!A:B,2,FALSE)</f>
        <v>UNIVERSITAS HALUOLEO</v>
      </c>
      <c r="Q2797" t="str">
        <f t="shared" si="43"/>
        <v>UNIVERSITAS HALUOLEOBUDIDAYA PERAIRAN</v>
      </c>
    </row>
    <row r="2798" spans="1:17" ht="15.75" thickBot="1" x14ac:dyDescent="0.3">
      <c r="A2798" s="7">
        <v>2797</v>
      </c>
      <c r="B2798" s="6">
        <v>77</v>
      </c>
      <c r="C2798" s="12">
        <v>7511243</v>
      </c>
      <c r="D2798" t="s">
        <v>77</v>
      </c>
      <c r="E2798" s="12">
        <v>60</v>
      </c>
      <c r="F2798" s="10" t="s">
        <v>20</v>
      </c>
      <c r="J2798" s="138" t="s">
        <v>1292</v>
      </c>
      <c r="K2798" s="138" t="s">
        <v>1292</v>
      </c>
      <c r="L2798" s="138" t="s">
        <v>1292</v>
      </c>
      <c r="M2798" s="13"/>
      <c r="N2798" s="89" t="s">
        <v>1292</v>
      </c>
      <c r="P2798" t="str">
        <f>VLOOKUP(B2798,PTN!A:B,2,FALSE)</f>
        <v>UNIVERSITAS HALUOLEO</v>
      </c>
      <c r="Q2798" t="str">
        <f t="shared" si="43"/>
        <v>UNIVERSITAS HALUOLEOFARMASI</v>
      </c>
    </row>
    <row r="2799" spans="1:17" ht="15.75" thickBot="1" x14ac:dyDescent="0.3">
      <c r="A2799" s="7">
        <v>2798</v>
      </c>
      <c r="B2799" s="6">
        <v>77</v>
      </c>
      <c r="C2799" s="13">
        <v>7511081</v>
      </c>
      <c r="D2799" t="s">
        <v>65</v>
      </c>
      <c r="E2799" s="13">
        <v>21</v>
      </c>
      <c r="F2799" s="10" t="s">
        <v>20</v>
      </c>
      <c r="J2799" s="138" t="s">
        <v>1292</v>
      </c>
      <c r="K2799" s="138" t="s">
        <v>1292</v>
      </c>
      <c r="L2799" s="138" t="s">
        <v>1292</v>
      </c>
      <c r="M2799" s="12"/>
      <c r="N2799" s="88" t="s">
        <v>1292</v>
      </c>
      <c r="P2799" t="str">
        <f>VLOOKUP(B2799,PTN!A:B,2,FALSE)</f>
        <v>UNIVERSITAS HALUOLEO</v>
      </c>
      <c r="Q2799" t="str">
        <f t="shared" si="43"/>
        <v>UNIVERSITAS HALUOLEOFISIKA</v>
      </c>
    </row>
    <row r="2800" spans="1:17" ht="15.75" thickBot="1" x14ac:dyDescent="0.3">
      <c r="A2800" s="7">
        <v>2799</v>
      </c>
      <c r="B2800" s="6">
        <v>77</v>
      </c>
      <c r="C2800" s="12">
        <v>7511332</v>
      </c>
      <c r="D2800" t="s">
        <v>290</v>
      </c>
      <c r="E2800" s="12">
        <v>15</v>
      </c>
      <c r="F2800" s="10" t="s">
        <v>20</v>
      </c>
      <c r="J2800" s="138" t="s">
        <v>1292</v>
      </c>
      <c r="K2800" s="138" t="s">
        <v>1292</v>
      </c>
      <c r="L2800" s="138" t="s">
        <v>1292</v>
      </c>
      <c r="M2800" s="13"/>
      <c r="N2800" s="89" t="s">
        <v>1292</v>
      </c>
      <c r="P2800" t="str">
        <f>VLOOKUP(B2800,PTN!A:B,2,FALSE)</f>
        <v>UNIVERSITAS HALUOLEO</v>
      </c>
      <c r="Q2800" t="str">
        <f t="shared" si="43"/>
        <v>UNIVERSITAS HALUOLEOGEOGRAFI</v>
      </c>
    </row>
    <row r="2801" spans="1:17" ht="15.75" thickBot="1" x14ac:dyDescent="0.3">
      <c r="A2801" s="7">
        <v>2800</v>
      </c>
      <c r="B2801" s="6">
        <v>77</v>
      </c>
      <c r="C2801" s="13">
        <v>7511235</v>
      </c>
      <c r="D2801" t="s">
        <v>141</v>
      </c>
      <c r="E2801" s="13">
        <v>25</v>
      </c>
      <c r="F2801" s="10" t="s">
        <v>20</v>
      </c>
      <c r="J2801" s="138" t="s">
        <v>1292</v>
      </c>
      <c r="K2801" s="138" t="s">
        <v>1292</v>
      </c>
      <c r="L2801" s="138" t="s">
        <v>1292</v>
      </c>
      <c r="M2801" s="12"/>
      <c r="N2801" s="88" t="s">
        <v>1292</v>
      </c>
      <c r="P2801" t="str">
        <f>VLOOKUP(B2801,PTN!A:B,2,FALSE)</f>
        <v>UNIVERSITAS HALUOLEO</v>
      </c>
      <c r="Q2801" t="str">
        <f t="shared" si="43"/>
        <v>UNIVERSITAS HALUOLEOILMU DAN TEKNOLOGI PANGAN</v>
      </c>
    </row>
    <row r="2802" spans="1:17" ht="15.75" thickBot="1" x14ac:dyDescent="0.3">
      <c r="A2802" s="7">
        <v>2801</v>
      </c>
      <c r="B2802" s="6">
        <v>77</v>
      </c>
      <c r="C2802" s="12">
        <v>7511297</v>
      </c>
      <c r="D2802" t="s">
        <v>40</v>
      </c>
      <c r="E2802" s="12">
        <v>12</v>
      </c>
      <c r="F2802" s="10" t="s">
        <v>20</v>
      </c>
      <c r="J2802" s="138" t="s">
        <v>1292</v>
      </c>
      <c r="K2802" s="138" t="s">
        <v>1292</v>
      </c>
      <c r="L2802" s="138" t="s">
        <v>1292</v>
      </c>
      <c r="M2802" s="13"/>
      <c r="N2802" s="89" t="s">
        <v>1292</v>
      </c>
      <c r="P2802" t="str">
        <f>VLOOKUP(B2802,PTN!A:B,2,FALSE)</f>
        <v>UNIVERSITAS HALUOLEO</v>
      </c>
      <c r="Q2802" t="str">
        <f t="shared" si="43"/>
        <v>UNIVERSITAS HALUOLEOILMU KELAUTAN</v>
      </c>
    </row>
    <row r="2803" spans="1:17" ht="15.75" thickBot="1" x14ac:dyDescent="0.3">
      <c r="A2803" s="7">
        <v>2802</v>
      </c>
      <c r="B2803" s="6">
        <v>77</v>
      </c>
      <c r="C2803" s="13">
        <v>7511386</v>
      </c>
      <c r="D2803" t="s">
        <v>114</v>
      </c>
      <c r="E2803" s="13">
        <v>12</v>
      </c>
      <c r="F2803" s="10" t="s">
        <v>20</v>
      </c>
      <c r="J2803" s="138" t="s">
        <v>1292</v>
      </c>
      <c r="K2803" s="138" t="s">
        <v>1292</v>
      </c>
      <c r="L2803" s="138" t="s">
        <v>1292</v>
      </c>
      <c r="M2803" s="12"/>
      <c r="N2803" s="88" t="s">
        <v>1292</v>
      </c>
      <c r="P2803" t="str">
        <f>VLOOKUP(B2803,PTN!A:B,2,FALSE)</f>
        <v>UNIVERSITAS HALUOLEO</v>
      </c>
      <c r="Q2803" t="str">
        <f t="shared" si="43"/>
        <v>UNIVERSITAS HALUOLEOILMU KEOLAHRAGAAN</v>
      </c>
    </row>
    <row r="2804" spans="1:17" ht="15.75" thickBot="1" x14ac:dyDescent="0.3">
      <c r="A2804" s="7">
        <v>2803</v>
      </c>
      <c r="B2804" s="6">
        <v>77</v>
      </c>
      <c r="C2804" s="12">
        <v>7511115</v>
      </c>
      <c r="D2804" t="s">
        <v>110</v>
      </c>
      <c r="E2804" s="12">
        <v>105</v>
      </c>
      <c r="F2804" s="10" t="s">
        <v>20</v>
      </c>
      <c r="J2804" s="138" t="s">
        <v>1292</v>
      </c>
      <c r="K2804" s="138" t="s">
        <v>1292</v>
      </c>
      <c r="L2804" s="138" t="s">
        <v>1292</v>
      </c>
      <c r="M2804" s="13"/>
      <c r="N2804" s="89" t="s">
        <v>1292</v>
      </c>
      <c r="P2804" t="str">
        <f>VLOOKUP(B2804,PTN!A:B,2,FALSE)</f>
        <v>UNIVERSITAS HALUOLEO</v>
      </c>
      <c r="Q2804" t="str">
        <f t="shared" si="43"/>
        <v>UNIVERSITAS HALUOLEOILMU KESEHATAN MASYARAKAT</v>
      </c>
    </row>
    <row r="2805" spans="1:17" ht="15.75" thickBot="1" x14ac:dyDescent="0.3">
      <c r="A2805" s="7">
        <v>2804</v>
      </c>
      <c r="B2805" s="6">
        <v>77</v>
      </c>
      <c r="C2805" s="13">
        <v>7511421</v>
      </c>
      <c r="D2805" t="s">
        <v>111</v>
      </c>
      <c r="E2805" s="13">
        <v>18</v>
      </c>
      <c r="F2805" s="10" t="s">
        <v>20</v>
      </c>
      <c r="J2805" s="138" t="s">
        <v>1292</v>
      </c>
      <c r="K2805" s="138" t="s">
        <v>1292</v>
      </c>
      <c r="L2805" s="138" t="s">
        <v>1292</v>
      </c>
      <c r="M2805" s="12"/>
      <c r="N2805" s="88" t="s">
        <v>1292</v>
      </c>
      <c r="P2805" t="str">
        <f>VLOOKUP(B2805,PTN!A:B,2,FALSE)</f>
        <v>UNIVERSITAS HALUOLEO</v>
      </c>
      <c r="Q2805" t="str">
        <f t="shared" si="43"/>
        <v>UNIVERSITAS HALUOLEOILMU KOMPUTER</v>
      </c>
    </row>
    <row r="2806" spans="1:17" ht="15.75" thickBot="1" x14ac:dyDescent="0.3">
      <c r="A2806" s="7">
        <v>2805</v>
      </c>
      <c r="B2806" s="6">
        <v>77</v>
      </c>
      <c r="C2806" s="12">
        <v>7511301</v>
      </c>
      <c r="D2806" t="s">
        <v>445</v>
      </c>
      <c r="E2806" s="12">
        <v>36</v>
      </c>
      <c r="F2806" s="10" t="s">
        <v>20</v>
      </c>
      <c r="J2806" s="138" t="s">
        <v>1292</v>
      </c>
      <c r="K2806" s="138" t="s">
        <v>1292</v>
      </c>
      <c r="L2806" s="138" t="s">
        <v>1292</v>
      </c>
      <c r="M2806" s="13"/>
      <c r="N2806" s="89" t="s">
        <v>1292</v>
      </c>
      <c r="P2806" t="str">
        <f>VLOOKUP(B2806,PTN!A:B,2,FALSE)</f>
        <v>UNIVERSITAS HALUOLEO</v>
      </c>
      <c r="Q2806" t="str">
        <f t="shared" si="43"/>
        <v>UNIVERSITAS HALUOLEOILMU LINGKUNGAN</v>
      </c>
    </row>
    <row r="2807" spans="1:17" ht="15.75" thickBot="1" x14ac:dyDescent="0.3">
      <c r="A2807" s="7">
        <v>2806</v>
      </c>
      <c r="B2807" s="6">
        <v>77</v>
      </c>
      <c r="C2807" s="13">
        <v>7511347</v>
      </c>
      <c r="D2807" t="s">
        <v>79</v>
      </c>
      <c r="E2807" s="13">
        <v>12</v>
      </c>
      <c r="F2807" s="10" t="s">
        <v>20</v>
      </c>
      <c r="J2807" s="138" t="s">
        <v>1292</v>
      </c>
      <c r="K2807" s="138" t="s">
        <v>1292</v>
      </c>
      <c r="L2807" s="138" t="s">
        <v>1292</v>
      </c>
      <c r="M2807" s="12"/>
      <c r="N2807" s="88" t="s">
        <v>1292</v>
      </c>
      <c r="P2807" t="str">
        <f>VLOOKUP(B2807,PTN!A:B,2,FALSE)</f>
        <v>UNIVERSITAS HALUOLEO</v>
      </c>
      <c r="Q2807" t="str">
        <f t="shared" si="43"/>
        <v>UNIVERSITAS HALUOLEOILMU TANAH</v>
      </c>
    </row>
    <row r="2808" spans="1:17" ht="15.75" thickBot="1" x14ac:dyDescent="0.3">
      <c r="A2808" s="7">
        <v>2807</v>
      </c>
      <c r="B2808" s="6">
        <v>77</v>
      </c>
      <c r="C2808" s="12">
        <v>7511227</v>
      </c>
      <c r="D2808" t="s">
        <v>81</v>
      </c>
      <c r="E2808" s="12">
        <v>45</v>
      </c>
      <c r="F2808" s="10" t="s">
        <v>20</v>
      </c>
      <c r="J2808" s="138" t="s">
        <v>1292</v>
      </c>
      <c r="K2808" s="138" t="s">
        <v>1292</v>
      </c>
      <c r="L2808" s="138" t="s">
        <v>1292</v>
      </c>
      <c r="M2808" s="13"/>
      <c r="N2808" s="89" t="s">
        <v>1292</v>
      </c>
      <c r="P2808" t="str">
        <f>VLOOKUP(B2808,PTN!A:B,2,FALSE)</f>
        <v>UNIVERSITAS HALUOLEO</v>
      </c>
      <c r="Q2808" t="str">
        <f t="shared" si="43"/>
        <v>UNIVERSITAS HALUOLEOKEHUTANAN</v>
      </c>
    </row>
    <row r="2809" spans="1:17" ht="15.75" thickBot="1" x14ac:dyDescent="0.3">
      <c r="A2809" s="7">
        <v>2808</v>
      </c>
      <c r="B2809" s="6">
        <v>77</v>
      </c>
      <c r="C2809" s="13">
        <v>7511096</v>
      </c>
      <c r="D2809" t="s">
        <v>22</v>
      </c>
      <c r="E2809" s="13">
        <v>30</v>
      </c>
      <c r="F2809" s="10" t="s">
        <v>20</v>
      </c>
      <c r="J2809" s="138" t="s">
        <v>1292</v>
      </c>
      <c r="K2809" s="138" t="s">
        <v>1292</v>
      </c>
      <c r="L2809" s="138" t="s">
        <v>1292</v>
      </c>
      <c r="M2809" s="12"/>
      <c r="N2809" s="88" t="s">
        <v>1292</v>
      </c>
      <c r="P2809" t="str">
        <f>VLOOKUP(B2809,PTN!A:B,2,FALSE)</f>
        <v>UNIVERSITAS HALUOLEO</v>
      </c>
      <c r="Q2809" t="str">
        <f t="shared" si="43"/>
        <v>UNIVERSITAS HALUOLEOKIMIA</v>
      </c>
    </row>
    <row r="2810" spans="1:17" ht="15.75" thickBot="1" x14ac:dyDescent="0.3">
      <c r="A2810" s="7">
        <v>2809</v>
      </c>
      <c r="B2810" s="6">
        <v>77</v>
      </c>
      <c r="C2810" s="12">
        <v>7511057</v>
      </c>
      <c r="D2810" t="s">
        <v>213</v>
      </c>
      <c r="E2810" s="12">
        <v>15</v>
      </c>
      <c r="F2810" s="10" t="s">
        <v>20</v>
      </c>
      <c r="J2810" s="138" t="s">
        <v>1292</v>
      </c>
      <c r="K2810" s="138" t="s">
        <v>1292</v>
      </c>
      <c r="L2810" s="138" t="s">
        <v>1292</v>
      </c>
      <c r="M2810" s="13"/>
      <c r="N2810" s="89" t="s">
        <v>1292</v>
      </c>
      <c r="P2810" t="str">
        <f>VLOOKUP(B2810,PTN!A:B,2,FALSE)</f>
        <v>UNIVERSITAS HALUOLEO</v>
      </c>
      <c r="Q2810" t="str">
        <f t="shared" si="43"/>
        <v>UNIVERSITAS HALUOLEOMANAJEMEN SUMBERDAYA PERAIRAN</v>
      </c>
    </row>
    <row r="2811" spans="1:17" ht="15.75" thickBot="1" x14ac:dyDescent="0.3">
      <c r="A2811" s="7">
        <v>2810</v>
      </c>
      <c r="B2811" s="6">
        <v>77</v>
      </c>
      <c r="C2811" s="13">
        <v>7511073</v>
      </c>
      <c r="D2811" t="s">
        <v>66</v>
      </c>
      <c r="E2811" s="13">
        <v>18</v>
      </c>
      <c r="F2811" s="10" t="s">
        <v>20</v>
      </c>
      <c r="J2811" s="138" t="s">
        <v>1292</v>
      </c>
      <c r="K2811" s="138" t="s">
        <v>1292</v>
      </c>
      <c r="L2811" s="138" t="s">
        <v>1292</v>
      </c>
      <c r="M2811" s="12"/>
      <c r="N2811" s="88" t="s">
        <v>1292</v>
      </c>
      <c r="P2811" t="str">
        <f>VLOOKUP(B2811,PTN!A:B,2,FALSE)</f>
        <v>UNIVERSITAS HALUOLEO</v>
      </c>
      <c r="Q2811" t="str">
        <f t="shared" si="43"/>
        <v>UNIVERSITAS HALUOLEOMATEMATIKA</v>
      </c>
    </row>
    <row r="2812" spans="1:17" ht="15.75" thickBot="1" x14ac:dyDescent="0.3">
      <c r="A2812" s="7">
        <v>2811</v>
      </c>
      <c r="B2812" s="6">
        <v>77</v>
      </c>
      <c r="C2812" s="12">
        <v>7511394</v>
      </c>
      <c r="D2812" t="s">
        <v>701</v>
      </c>
      <c r="E2812" s="12">
        <v>18</v>
      </c>
      <c r="F2812" s="10" t="s">
        <v>20</v>
      </c>
      <c r="J2812" s="138" t="s">
        <v>1292</v>
      </c>
      <c r="K2812" s="138" t="s">
        <v>1292</v>
      </c>
      <c r="L2812" s="138" t="s">
        <v>1292</v>
      </c>
      <c r="M2812" s="13"/>
      <c r="N2812" s="89" t="s">
        <v>1292</v>
      </c>
      <c r="P2812" t="str">
        <f>VLOOKUP(B2812,PTN!A:B,2,FALSE)</f>
        <v>UNIVERSITAS HALUOLEO</v>
      </c>
      <c r="Q2812" t="str">
        <f t="shared" si="43"/>
        <v>UNIVERSITAS HALUOLEOOSEANOGRAFI</v>
      </c>
    </row>
    <row r="2813" spans="1:17" ht="15.75" thickBot="1" x14ac:dyDescent="0.3">
      <c r="A2813" s="7">
        <v>2812</v>
      </c>
      <c r="B2813" s="6">
        <v>77</v>
      </c>
      <c r="C2813" s="13">
        <v>7511131</v>
      </c>
      <c r="D2813" t="s">
        <v>67</v>
      </c>
      <c r="E2813" s="13">
        <v>10</v>
      </c>
      <c r="F2813" s="10" t="s">
        <v>20</v>
      </c>
      <c r="J2813" s="138" t="s">
        <v>1292</v>
      </c>
      <c r="K2813" s="138" t="s">
        <v>1292</v>
      </c>
      <c r="L2813" s="138" t="s">
        <v>1292</v>
      </c>
      <c r="M2813" s="12"/>
      <c r="N2813" s="88" t="s">
        <v>1292</v>
      </c>
      <c r="P2813" t="str">
        <f>VLOOKUP(B2813,PTN!A:B,2,FALSE)</f>
        <v>UNIVERSITAS HALUOLEO</v>
      </c>
      <c r="Q2813" t="str">
        <f t="shared" si="43"/>
        <v>UNIVERSITAS HALUOLEOPENDIDIKAN BIOLOGI</v>
      </c>
    </row>
    <row r="2814" spans="1:17" ht="15.75" thickBot="1" x14ac:dyDescent="0.3">
      <c r="A2814" s="7">
        <v>2813</v>
      </c>
      <c r="B2814" s="6">
        <v>77</v>
      </c>
      <c r="C2814" s="12">
        <v>7511212</v>
      </c>
      <c r="D2814" t="s">
        <v>41</v>
      </c>
      <c r="E2814" s="12">
        <v>30</v>
      </c>
      <c r="F2814" s="10" t="s">
        <v>20</v>
      </c>
      <c r="J2814" s="138">
        <v>628.49</v>
      </c>
      <c r="K2814" s="138">
        <v>636.10500000000002</v>
      </c>
      <c r="L2814" s="138">
        <v>620.875</v>
      </c>
      <c r="M2814" s="13"/>
      <c r="N2814" s="89">
        <v>628.49</v>
      </c>
      <c r="P2814" t="str">
        <f>VLOOKUP(B2814,PTN!A:B,2,FALSE)</f>
        <v>UNIVERSITAS HALUOLEO</v>
      </c>
      <c r="Q2814" t="str">
        <f t="shared" si="43"/>
        <v>UNIVERSITAS HALUOLEOPENDIDIKAN DOKTER</v>
      </c>
    </row>
    <row r="2815" spans="1:17" ht="15.75" thickBot="1" x14ac:dyDescent="0.3">
      <c r="A2815" s="7">
        <v>2814</v>
      </c>
      <c r="B2815" s="6">
        <v>77</v>
      </c>
      <c r="C2815" s="13">
        <v>7511146</v>
      </c>
      <c r="D2815" t="s">
        <v>42</v>
      </c>
      <c r="E2815" s="13">
        <v>24</v>
      </c>
      <c r="F2815" s="10" t="s">
        <v>20</v>
      </c>
      <c r="J2815" s="138" t="s">
        <v>1292</v>
      </c>
      <c r="K2815" s="138" t="s">
        <v>1292</v>
      </c>
      <c r="L2815" s="138" t="s">
        <v>1292</v>
      </c>
      <c r="M2815" s="12"/>
      <c r="N2815" s="88" t="s">
        <v>1292</v>
      </c>
      <c r="P2815" t="str">
        <f>VLOOKUP(B2815,PTN!A:B,2,FALSE)</f>
        <v>UNIVERSITAS HALUOLEO</v>
      </c>
      <c r="Q2815" t="str">
        <f t="shared" si="43"/>
        <v>UNIVERSITAS HALUOLEOPENDIDIKAN FISIKA</v>
      </c>
    </row>
    <row r="2816" spans="1:17" ht="15.75" thickBot="1" x14ac:dyDescent="0.3">
      <c r="A2816" s="7">
        <v>2815</v>
      </c>
      <c r="B2816" s="6">
        <v>77</v>
      </c>
      <c r="C2816" s="12">
        <v>7511154</v>
      </c>
      <c r="D2816" t="s">
        <v>43</v>
      </c>
      <c r="E2816" s="12">
        <v>20</v>
      </c>
      <c r="F2816" s="10" t="s">
        <v>20</v>
      </c>
      <c r="J2816" s="138" t="s">
        <v>1292</v>
      </c>
      <c r="K2816" s="138" t="s">
        <v>1292</v>
      </c>
      <c r="L2816" s="138" t="s">
        <v>1292</v>
      </c>
      <c r="M2816" s="13"/>
      <c r="N2816" s="89" t="s">
        <v>1292</v>
      </c>
      <c r="P2816" t="str">
        <f>VLOOKUP(B2816,PTN!A:B,2,FALSE)</f>
        <v>UNIVERSITAS HALUOLEO</v>
      </c>
      <c r="Q2816" t="str">
        <f t="shared" si="43"/>
        <v>UNIVERSITAS HALUOLEOPENDIDIKAN KIMIA</v>
      </c>
    </row>
    <row r="2817" spans="1:17" ht="15.75" thickBot="1" x14ac:dyDescent="0.3">
      <c r="A2817" s="7">
        <v>2816</v>
      </c>
      <c r="B2817" s="6">
        <v>77</v>
      </c>
      <c r="C2817" s="13">
        <v>7511123</v>
      </c>
      <c r="D2817" t="s">
        <v>44</v>
      </c>
      <c r="E2817" s="13">
        <v>20</v>
      </c>
      <c r="F2817" s="10" t="s">
        <v>20</v>
      </c>
      <c r="J2817" s="138" t="s">
        <v>1292</v>
      </c>
      <c r="K2817" s="138" t="s">
        <v>1292</v>
      </c>
      <c r="L2817" s="138" t="s">
        <v>1292</v>
      </c>
      <c r="M2817" s="12"/>
      <c r="N2817" s="88" t="s">
        <v>1292</v>
      </c>
      <c r="P2817" t="str">
        <f>VLOOKUP(B2817,PTN!A:B,2,FALSE)</f>
        <v>UNIVERSITAS HALUOLEO</v>
      </c>
      <c r="Q2817" t="str">
        <f t="shared" si="43"/>
        <v>UNIVERSITAS HALUOLEOPENDIDIKAN MATEMATIKA</v>
      </c>
    </row>
    <row r="2818" spans="1:17" ht="15.75" thickBot="1" x14ac:dyDescent="0.3">
      <c r="A2818" s="7">
        <v>2817</v>
      </c>
      <c r="B2818" s="6">
        <v>77</v>
      </c>
      <c r="C2818" s="12">
        <v>7511363</v>
      </c>
      <c r="D2818" t="s">
        <v>163</v>
      </c>
      <c r="E2818" s="12">
        <v>12</v>
      </c>
      <c r="F2818" s="10" t="s">
        <v>20</v>
      </c>
      <c r="J2818" s="138" t="s">
        <v>1292</v>
      </c>
      <c r="K2818" s="138" t="s">
        <v>1292</v>
      </c>
      <c r="L2818" s="138" t="s">
        <v>1292</v>
      </c>
      <c r="M2818" s="13"/>
      <c r="N2818" s="89" t="s">
        <v>1292</v>
      </c>
      <c r="P2818" t="str">
        <f>VLOOKUP(B2818,PTN!A:B,2,FALSE)</f>
        <v>UNIVERSITAS HALUOLEO</v>
      </c>
      <c r="Q2818" t="str">
        <f t="shared" si="43"/>
        <v>UNIVERSITAS HALUOLEOPENYULUHAN PERTANIAN</v>
      </c>
    </row>
    <row r="2819" spans="1:17" ht="15.75" thickBot="1" x14ac:dyDescent="0.3">
      <c r="A2819" s="7">
        <v>2818</v>
      </c>
      <c r="B2819" s="6">
        <v>77</v>
      </c>
      <c r="C2819" s="13">
        <v>7511405</v>
      </c>
      <c r="D2819" t="s">
        <v>438</v>
      </c>
      <c r="E2819" s="13">
        <v>15</v>
      </c>
      <c r="F2819" s="10" t="s">
        <v>20</v>
      </c>
      <c r="J2819" s="138" t="s">
        <v>1292</v>
      </c>
      <c r="K2819" s="138" t="s">
        <v>1292</v>
      </c>
      <c r="L2819" s="138" t="s">
        <v>1292</v>
      </c>
      <c r="M2819" s="12"/>
      <c r="N2819" s="88" t="s">
        <v>1292</v>
      </c>
      <c r="P2819" t="str">
        <f>VLOOKUP(B2819,PTN!A:B,2,FALSE)</f>
        <v>UNIVERSITAS HALUOLEO</v>
      </c>
      <c r="Q2819" t="str">
        <f t="shared" ref="Q2819:Q2882" si="44">P2819&amp;D2819</f>
        <v>UNIVERSITAS HALUOLEOPERIKANAN TANGKAP</v>
      </c>
    </row>
    <row r="2820" spans="1:17" ht="15.75" thickBot="1" x14ac:dyDescent="0.3">
      <c r="A2820" s="7">
        <v>2819</v>
      </c>
      <c r="B2820" s="6">
        <v>77</v>
      </c>
      <c r="C2820" s="12">
        <v>7511034</v>
      </c>
      <c r="D2820" t="s">
        <v>88</v>
      </c>
      <c r="E2820" s="12">
        <v>75</v>
      </c>
      <c r="F2820" s="10" t="s">
        <v>20</v>
      </c>
      <c r="J2820" s="138" t="s">
        <v>1292</v>
      </c>
      <c r="K2820" s="138" t="s">
        <v>1292</v>
      </c>
      <c r="L2820" s="138" t="s">
        <v>1292</v>
      </c>
      <c r="M2820" s="13"/>
      <c r="N2820" s="89" t="s">
        <v>1292</v>
      </c>
      <c r="P2820" t="str">
        <f>VLOOKUP(B2820,PTN!A:B,2,FALSE)</f>
        <v>UNIVERSITAS HALUOLEO</v>
      </c>
      <c r="Q2820" t="str">
        <f t="shared" si="44"/>
        <v>UNIVERSITAS HALUOLEOPETERNAKAN</v>
      </c>
    </row>
    <row r="2821" spans="1:17" ht="15.75" thickBot="1" x14ac:dyDescent="0.3">
      <c r="A2821" s="7">
        <v>2820</v>
      </c>
      <c r="B2821" s="6">
        <v>77</v>
      </c>
      <c r="C2821" s="13">
        <v>7511355</v>
      </c>
      <c r="D2821" t="s">
        <v>89</v>
      </c>
      <c r="E2821" s="13">
        <v>12</v>
      </c>
      <c r="F2821" s="10" t="s">
        <v>20</v>
      </c>
      <c r="J2821" s="138" t="s">
        <v>1292</v>
      </c>
      <c r="K2821" s="138" t="s">
        <v>1292</v>
      </c>
      <c r="L2821" s="138" t="s">
        <v>1292</v>
      </c>
      <c r="M2821" s="12"/>
      <c r="N2821" s="88" t="s">
        <v>1292</v>
      </c>
      <c r="P2821" t="str">
        <f>VLOOKUP(B2821,PTN!A:B,2,FALSE)</f>
        <v>UNIVERSITAS HALUOLEO</v>
      </c>
      <c r="Q2821" t="str">
        <f t="shared" si="44"/>
        <v>UNIVERSITAS HALUOLEOPROTEKSI TANAMAN</v>
      </c>
    </row>
    <row r="2822" spans="1:17" ht="15.75" thickBot="1" x14ac:dyDescent="0.3">
      <c r="A2822" s="7">
        <v>2821</v>
      </c>
      <c r="B2822" s="6">
        <v>77</v>
      </c>
      <c r="C2822" s="12">
        <v>7511436</v>
      </c>
      <c r="D2822" t="s">
        <v>702</v>
      </c>
      <c r="E2822" s="12">
        <v>18</v>
      </c>
      <c r="F2822" s="10" t="s">
        <v>20</v>
      </c>
      <c r="J2822" s="138" t="s">
        <v>1292</v>
      </c>
      <c r="K2822" s="138" t="s">
        <v>1292</v>
      </c>
      <c r="L2822" s="138" t="s">
        <v>1292</v>
      </c>
      <c r="M2822" s="13"/>
      <c r="N2822" s="89" t="s">
        <v>1292</v>
      </c>
      <c r="P2822" t="str">
        <f>VLOOKUP(B2822,PTN!A:B,2,FALSE)</f>
        <v>UNIVERSITAS HALUOLEO</v>
      </c>
      <c r="Q2822" t="str">
        <f t="shared" si="44"/>
        <v>UNIVERSITAS HALUOLEOREKAYASA INFRASTRUKTUR DAN LINGKUNGAN</v>
      </c>
    </row>
    <row r="2823" spans="1:17" ht="15.75" thickBot="1" x14ac:dyDescent="0.3">
      <c r="A2823" s="7">
        <v>2822</v>
      </c>
      <c r="B2823" s="6">
        <v>77</v>
      </c>
      <c r="C2823" s="13">
        <v>7511413</v>
      </c>
      <c r="D2823" t="s">
        <v>90</v>
      </c>
      <c r="E2823" s="13">
        <v>18</v>
      </c>
      <c r="F2823" s="10" t="s">
        <v>20</v>
      </c>
      <c r="J2823" s="138" t="s">
        <v>1292</v>
      </c>
      <c r="K2823" s="138" t="s">
        <v>1292</v>
      </c>
      <c r="L2823" s="138" t="s">
        <v>1292</v>
      </c>
      <c r="M2823" s="12"/>
      <c r="N2823" s="88" t="s">
        <v>1292</v>
      </c>
      <c r="P2823" t="str">
        <f>VLOOKUP(B2823,PTN!A:B,2,FALSE)</f>
        <v>UNIVERSITAS HALUOLEO</v>
      </c>
      <c r="Q2823" t="str">
        <f t="shared" si="44"/>
        <v>UNIVERSITAS HALUOLEOSTATISTIKA</v>
      </c>
    </row>
    <row r="2824" spans="1:17" ht="15.75" thickBot="1" x14ac:dyDescent="0.3">
      <c r="A2824" s="7">
        <v>2823</v>
      </c>
      <c r="B2824" s="6">
        <v>77</v>
      </c>
      <c r="C2824" s="12">
        <v>7511177</v>
      </c>
      <c r="D2824" t="s">
        <v>47</v>
      </c>
      <c r="E2824" s="12">
        <v>24</v>
      </c>
      <c r="F2824" s="10" t="s">
        <v>20</v>
      </c>
      <c r="J2824" s="138" t="s">
        <v>1292</v>
      </c>
      <c r="K2824" s="138" t="s">
        <v>1292</v>
      </c>
      <c r="L2824" s="138" t="s">
        <v>1292</v>
      </c>
      <c r="M2824" s="13"/>
      <c r="N2824" s="89" t="s">
        <v>1292</v>
      </c>
      <c r="P2824" t="str">
        <f>VLOOKUP(B2824,PTN!A:B,2,FALSE)</f>
        <v>UNIVERSITAS HALUOLEO</v>
      </c>
      <c r="Q2824" t="str">
        <f t="shared" si="44"/>
        <v>UNIVERSITAS HALUOLEOTEKNIK ARSITEKTUR</v>
      </c>
    </row>
    <row r="2825" spans="1:17" ht="15.75" thickBot="1" x14ac:dyDescent="0.3">
      <c r="A2825" s="7">
        <v>2824</v>
      </c>
      <c r="B2825" s="6">
        <v>77</v>
      </c>
      <c r="C2825" s="13">
        <v>7511193</v>
      </c>
      <c r="D2825" t="s">
        <v>48</v>
      </c>
      <c r="E2825" s="13">
        <v>24</v>
      </c>
      <c r="F2825" s="10" t="s">
        <v>20</v>
      </c>
      <c r="J2825" s="138" t="s">
        <v>1292</v>
      </c>
      <c r="K2825" s="138" t="s">
        <v>1292</v>
      </c>
      <c r="L2825" s="138" t="s">
        <v>1292</v>
      </c>
      <c r="M2825" s="12"/>
      <c r="N2825" s="88" t="s">
        <v>1292</v>
      </c>
      <c r="P2825" t="str">
        <f>VLOOKUP(B2825,PTN!A:B,2,FALSE)</f>
        <v>UNIVERSITAS HALUOLEO</v>
      </c>
      <c r="Q2825" t="str">
        <f t="shared" si="44"/>
        <v>UNIVERSITAS HALUOLEOTEKNIK ELEKTRO</v>
      </c>
    </row>
    <row r="2826" spans="1:17" ht="15.75" thickBot="1" x14ac:dyDescent="0.3">
      <c r="A2826" s="7">
        <v>2825</v>
      </c>
      <c r="B2826" s="6">
        <v>77</v>
      </c>
      <c r="C2826" s="12">
        <v>7511266</v>
      </c>
      <c r="D2826" t="s">
        <v>91</v>
      </c>
      <c r="E2826" s="12">
        <v>15</v>
      </c>
      <c r="F2826" s="10" t="s">
        <v>20</v>
      </c>
      <c r="J2826" s="138" t="s">
        <v>1292</v>
      </c>
      <c r="K2826" s="138" t="s">
        <v>1292</v>
      </c>
      <c r="L2826" s="138" t="s">
        <v>1292</v>
      </c>
      <c r="M2826" s="13"/>
      <c r="N2826" s="89" t="s">
        <v>1292</v>
      </c>
      <c r="P2826" t="str">
        <f>VLOOKUP(B2826,PTN!A:B,2,FALSE)</f>
        <v>UNIVERSITAS HALUOLEO</v>
      </c>
      <c r="Q2826" t="str">
        <f t="shared" si="44"/>
        <v>UNIVERSITAS HALUOLEOTEKNIK GEOFISIKA</v>
      </c>
    </row>
    <row r="2827" spans="1:17" ht="15.75" thickBot="1" x14ac:dyDescent="0.3">
      <c r="A2827" s="7">
        <v>2826</v>
      </c>
      <c r="B2827" s="6">
        <v>77</v>
      </c>
      <c r="C2827" s="13">
        <v>7511282</v>
      </c>
      <c r="D2827" t="s">
        <v>92</v>
      </c>
      <c r="E2827" s="13">
        <v>30</v>
      </c>
      <c r="F2827" s="10" t="s">
        <v>20</v>
      </c>
      <c r="J2827" s="138" t="s">
        <v>1292</v>
      </c>
      <c r="K2827" s="138" t="s">
        <v>1292</v>
      </c>
      <c r="L2827" s="138" t="s">
        <v>1292</v>
      </c>
      <c r="M2827" s="12"/>
      <c r="N2827" s="88" t="s">
        <v>1292</v>
      </c>
      <c r="P2827" t="str">
        <f>VLOOKUP(B2827,PTN!A:B,2,FALSE)</f>
        <v>UNIVERSITAS HALUOLEO</v>
      </c>
      <c r="Q2827" t="str">
        <f t="shared" si="44"/>
        <v>UNIVERSITAS HALUOLEOTEKNIK GEOLOGI</v>
      </c>
    </row>
    <row r="2828" spans="1:17" ht="15.75" thickBot="1" x14ac:dyDescent="0.3">
      <c r="A2828" s="7">
        <v>2827</v>
      </c>
      <c r="B2828" s="6">
        <v>77</v>
      </c>
      <c r="C2828" s="12">
        <v>7511204</v>
      </c>
      <c r="D2828" t="s">
        <v>50</v>
      </c>
      <c r="E2828" s="12">
        <v>18</v>
      </c>
      <c r="F2828" s="10" t="s">
        <v>20</v>
      </c>
      <c r="J2828" s="138" t="s">
        <v>1292</v>
      </c>
      <c r="K2828" s="138" t="s">
        <v>1292</v>
      </c>
      <c r="L2828" s="138" t="s">
        <v>1292</v>
      </c>
      <c r="M2828" s="13"/>
      <c r="N2828" s="89" t="s">
        <v>1292</v>
      </c>
      <c r="P2828" t="str">
        <f>VLOOKUP(B2828,PTN!A:B,2,FALSE)</f>
        <v>UNIVERSITAS HALUOLEO</v>
      </c>
      <c r="Q2828" t="str">
        <f t="shared" si="44"/>
        <v>UNIVERSITAS HALUOLEOTEKNIK INFORMATIKA</v>
      </c>
    </row>
    <row r="2829" spans="1:17" ht="15.75" thickBot="1" x14ac:dyDescent="0.3">
      <c r="A2829" s="7">
        <v>2828</v>
      </c>
      <c r="B2829" s="6">
        <v>77</v>
      </c>
      <c r="C2829" s="13">
        <v>7511444</v>
      </c>
      <c r="D2829" t="s">
        <v>269</v>
      </c>
      <c r="E2829" s="13">
        <v>18</v>
      </c>
      <c r="F2829" s="10" t="s">
        <v>20</v>
      </c>
      <c r="J2829" s="138" t="s">
        <v>1292</v>
      </c>
      <c r="K2829" s="138" t="s">
        <v>1292</v>
      </c>
      <c r="L2829" s="138" t="s">
        <v>1292</v>
      </c>
      <c r="M2829" s="12"/>
      <c r="N2829" s="88" t="s">
        <v>1292</v>
      </c>
      <c r="P2829" t="str">
        <f>VLOOKUP(B2829,PTN!A:B,2,FALSE)</f>
        <v>UNIVERSITAS HALUOLEO</v>
      </c>
      <c r="Q2829" t="str">
        <f t="shared" si="44"/>
        <v>UNIVERSITAS HALUOLEOTEKNIK KELAUTAN</v>
      </c>
    </row>
    <row r="2830" spans="1:17" ht="15.75" thickBot="1" x14ac:dyDescent="0.3">
      <c r="A2830" s="7">
        <v>2829</v>
      </c>
      <c r="B2830" s="6">
        <v>77</v>
      </c>
      <c r="C2830" s="12">
        <v>7511185</v>
      </c>
      <c r="D2830" t="s">
        <v>53</v>
      </c>
      <c r="E2830" s="12">
        <v>18</v>
      </c>
      <c r="F2830" s="10" t="s">
        <v>20</v>
      </c>
      <c r="J2830" s="138" t="s">
        <v>1292</v>
      </c>
      <c r="K2830" s="138" t="s">
        <v>1292</v>
      </c>
      <c r="L2830" s="138" t="s">
        <v>1292</v>
      </c>
      <c r="M2830" s="13"/>
      <c r="N2830" s="89" t="s">
        <v>1292</v>
      </c>
      <c r="P2830" t="str">
        <f>VLOOKUP(B2830,PTN!A:B,2,FALSE)</f>
        <v>UNIVERSITAS HALUOLEO</v>
      </c>
      <c r="Q2830" t="str">
        <f t="shared" si="44"/>
        <v>UNIVERSITAS HALUOLEOTEKNIK MESIN</v>
      </c>
    </row>
    <row r="2831" spans="1:17" ht="15.75" thickBot="1" x14ac:dyDescent="0.3">
      <c r="A2831" s="7">
        <v>2830</v>
      </c>
      <c r="B2831" s="6">
        <v>77</v>
      </c>
      <c r="C2831" s="13">
        <v>7511316</v>
      </c>
      <c r="D2831" t="s">
        <v>239</v>
      </c>
      <c r="E2831" s="13">
        <v>30</v>
      </c>
      <c r="F2831" s="10" t="s">
        <v>20</v>
      </c>
      <c r="J2831" s="138" t="s">
        <v>1292</v>
      </c>
      <c r="K2831" s="138" t="s">
        <v>1292</v>
      </c>
      <c r="L2831" s="138" t="s">
        <v>1292</v>
      </c>
      <c r="M2831" s="12"/>
      <c r="N2831" s="88" t="s">
        <v>1292</v>
      </c>
      <c r="P2831" t="str">
        <f>VLOOKUP(B2831,PTN!A:B,2,FALSE)</f>
        <v>UNIVERSITAS HALUOLEO</v>
      </c>
      <c r="Q2831" t="str">
        <f t="shared" si="44"/>
        <v>UNIVERSITAS HALUOLEOTEKNIK PERTAMBANGAN</v>
      </c>
    </row>
    <row r="2832" spans="1:17" ht="15.75" thickBot="1" x14ac:dyDescent="0.3">
      <c r="A2832" s="7">
        <v>2831</v>
      </c>
      <c r="B2832" s="6">
        <v>77</v>
      </c>
      <c r="C2832" s="12">
        <v>7511162</v>
      </c>
      <c r="D2832" t="s">
        <v>54</v>
      </c>
      <c r="E2832" s="12">
        <v>20</v>
      </c>
      <c r="F2832" s="10" t="s">
        <v>20</v>
      </c>
      <c r="J2832" s="138" t="s">
        <v>1292</v>
      </c>
      <c r="K2832" s="138" t="s">
        <v>1292</v>
      </c>
      <c r="L2832" s="138" t="s">
        <v>1292</v>
      </c>
      <c r="M2832" s="13"/>
      <c r="N2832" s="89" t="s">
        <v>1292</v>
      </c>
      <c r="P2832" t="str">
        <f>VLOOKUP(B2832,PTN!A:B,2,FALSE)</f>
        <v>UNIVERSITAS HALUOLEO</v>
      </c>
      <c r="Q2832" t="str">
        <f t="shared" si="44"/>
        <v>UNIVERSITAS HALUOLEOTEKNIK SIPIL</v>
      </c>
    </row>
    <row r="2833" spans="1:17" ht="15.75" thickBot="1" x14ac:dyDescent="0.3">
      <c r="A2833" s="7">
        <v>2832</v>
      </c>
      <c r="B2833" s="6">
        <v>77</v>
      </c>
      <c r="C2833" s="16">
        <v>7511324</v>
      </c>
      <c r="D2833" t="s">
        <v>222</v>
      </c>
      <c r="E2833" s="16">
        <v>21</v>
      </c>
      <c r="F2833" s="10" t="s">
        <v>20</v>
      </c>
      <c r="J2833" s="138" t="s">
        <v>1292</v>
      </c>
      <c r="K2833" s="138" t="s">
        <v>1292</v>
      </c>
      <c r="L2833" s="138" t="s">
        <v>1292</v>
      </c>
      <c r="M2833" s="12"/>
      <c r="N2833" s="88" t="s">
        <v>1292</v>
      </c>
      <c r="P2833" t="str">
        <f>VLOOKUP(B2833,PTN!A:B,2,FALSE)</f>
        <v>UNIVERSITAS HALUOLEO</v>
      </c>
      <c r="Q2833" t="str">
        <f t="shared" si="44"/>
        <v>UNIVERSITAS HALUOLEOTEKNOLOGI HASIL PERIKANAN</v>
      </c>
    </row>
    <row r="2834" spans="1:17" ht="16.5" thickTop="1" thickBot="1" x14ac:dyDescent="0.3">
      <c r="A2834" s="7">
        <v>2833</v>
      </c>
      <c r="B2834" s="6">
        <v>77</v>
      </c>
      <c r="C2834" s="12">
        <v>7512181</v>
      </c>
      <c r="D2834" t="s">
        <v>439</v>
      </c>
      <c r="E2834" s="12">
        <v>60</v>
      </c>
      <c r="F2834" s="10" t="s">
        <v>13</v>
      </c>
      <c r="J2834" s="138" t="s">
        <v>1292</v>
      </c>
      <c r="K2834" s="138" t="s">
        <v>1292</v>
      </c>
      <c r="L2834" s="138" t="s">
        <v>1292</v>
      </c>
      <c r="M2834" s="21"/>
      <c r="N2834" s="83" t="s">
        <v>1292</v>
      </c>
      <c r="P2834" t="str">
        <f>VLOOKUP(B2834,PTN!A:B,2,FALSE)</f>
        <v>UNIVERSITAS HALUOLEO</v>
      </c>
      <c r="Q2834" t="str">
        <f t="shared" si="44"/>
        <v>UNIVERSITAS HALUOLEOADMINISTRASI BISNIS</v>
      </c>
    </row>
    <row r="2835" spans="1:17" ht="15.75" thickBot="1" x14ac:dyDescent="0.3">
      <c r="A2835" s="7">
        <v>2834</v>
      </c>
      <c r="B2835" s="6">
        <v>77</v>
      </c>
      <c r="C2835" s="13">
        <v>7512037</v>
      </c>
      <c r="D2835" t="s">
        <v>703</v>
      </c>
      <c r="E2835" s="13">
        <v>81</v>
      </c>
      <c r="F2835" s="10" t="s">
        <v>13</v>
      </c>
      <c r="J2835" s="138" t="s">
        <v>1292</v>
      </c>
      <c r="K2835" s="138" t="s">
        <v>1292</v>
      </c>
      <c r="L2835" s="138" t="s">
        <v>1292</v>
      </c>
      <c r="M2835" s="21"/>
      <c r="N2835" s="83" t="s">
        <v>1292</v>
      </c>
      <c r="P2835" t="str">
        <f>VLOOKUP(B2835,PTN!A:B,2,FALSE)</f>
        <v>UNIVERSITAS HALUOLEO</v>
      </c>
      <c r="Q2835" t="str">
        <f t="shared" si="44"/>
        <v>UNIVERSITAS HALUOLEOAKUTANSI</v>
      </c>
    </row>
    <row r="2836" spans="1:17" ht="16.5" thickTop="1" thickBot="1" x14ac:dyDescent="0.3">
      <c r="A2836" s="7">
        <v>2835</v>
      </c>
      <c r="B2836" s="6">
        <v>77</v>
      </c>
      <c r="C2836" s="12">
        <v>7512061</v>
      </c>
      <c r="D2836" t="s">
        <v>144</v>
      </c>
      <c r="E2836" s="12">
        <v>42</v>
      </c>
      <c r="F2836" s="10" t="s">
        <v>13</v>
      </c>
      <c r="J2836" s="138" t="s">
        <v>1292</v>
      </c>
      <c r="K2836" s="138" t="s">
        <v>1292</v>
      </c>
      <c r="L2836" s="138" t="s">
        <v>1292</v>
      </c>
      <c r="M2836" s="24"/>
      <c r="N2836" s="84" t="s">
        <v>1292</v>
      </c>
      <c r="P2836" t="str">
        <f>VLOOKUP(B2836,PTN!A:B,2,FALSE)</f>
        <v>UNIVERSITAS HALUOLEO</v>
      </c>
      <c r="Q2836" t="str">
        <f t="shared" si="44"/>
        <v>UNIVERSITAS HALUOLEOANTROPOLOGI SOSIAL</v>
      </c>
    </row>
    <row r="2837" spans="1:17" ht="16.5" thickTop="1" thickBot="1" x14ac:dyDescent="0.3">
      <c r="A2837" s="7">
        <v>2836</v>
      </c>
      <c r="B2837" s="6">
        <v>77</v>
      </c>
      <c r="C2837" s="13">
        <v>7512196</v>
      </c>
      <c r="D2837" t="s">
        <v>240</v>
      </c>
      <c r="E2837" s="13">
        <v>36</v>
      </c>
      <c r="F2837" s="10" t="s">
        <v>13</v>
      </c>
      <c r="J2837" s="138" t="s">
        <v>1292</v>
      </c>
      <c r="K2837" s="138" t="s">
        <v>1292</v>
      </c>
      <c r="L2837" s="138" t="s">
        <v>1292</v>
      </c>
      <c r="M2837" s="12"/>
      <c r="N2837" s="88" t="s">
        <v>1292</v>
      </c>
      <c r="P2837" t="str">
        <f>VLOOKUP(B2837,PTN!A:B,2,FALSE)</f>
        <v>UNIVERSITAS HALUOLEO</v>
      </c>
      <c r="Q2837" t="str">
        <f t="shared" si="44"/>
        <v>UNIVERSITAS HALUOLEOARKEOLOGI</v>
      </c>
    </row>
    <row r="2838" spans="1:17" ht="15.75" thickBot="1" x14ac:dyDescent="0.3">
      <c r="A2838" s="7">
        <v>2837</v>
      </c>
      <c r="B2838" s="6">
        <v>77</v>
      </c>
      <c r="C2838" s="12">
        <v>7512014</v>
      </c>
      <c r="D2838" t="s">
        <v>69</v>
      </c>
      <c r="E2838" s="12">
        <v>102</v>
      </c>
      <c r="F2838" s="10" t="s">
        <v>13</v>
      </c>
      <c r="J2838" s="138" t="s">
        <v>1292</v>
      </c>
      <c r="K2838" s="138" t="s">
        <v>1292</v>
      </c>
      <c r="L2838" s="138" t="s">
        <v>1292</v>
      </c>
      <c r="M2838" s="13"/>
      <c r="N2838" s="89" t="s">
        <v>1292</v>
      </c>
      <c r="P2838" t="str">
        <f>VLOOKUP(B2838,PTN!A:B,2,FALSE)</f>
        <v>UNIVERSITAS HALUOLEO</v>
      </c>
      <c r="Q2838" t="str">
        <f t="shared" si="44"/>
        <v>UNIVERSITAS HALUOLEOEKONOMI PEMBANGUNAN</v>
      </c>
    </row>
    <row r="2839" spans="1:17" ht="15.75" thickBot="1" x14ac:dyDescent="0.3">
      <c r="A2839" s="7">
        <v>2838</v>
      </c>
      <c r="B2839" s="6">
        <v>77</v>
      </c>
      <c r="C2839" s="13">
        <v>7512045</v>
      </c>
      <c r="D2839" t="s">
        <v>29</v>
      </c>
      <c r="E2839" s="13">
        <v>75</v>
      </c>
      <c r="F2839" s="10" t="s">
        <v>13</v>
      </c>
      <c r="J2839" s="138" t="s">
        <v>1292</v>
      </c>
      <c r="K2839" s="138" t="s">
        <v>1292</v>
      </c>
      <c r="L2839" s="138" t="s">
        <v>1292</v>
      </c>
      <c r="M2839" s="12"/>
      <c r="N2839" s="88" t="s">
        <v>1292</v>
      </c>
      <c r="P2839" t="str">
        <f>VLOOKUP(B2839,PTN!A:B,2,FALSE)</f>
        <v>UNIVERSITAS HALUOLEO</v>
      </c>
      <c r="Q2839" t="str">
        <f t="shared" si="44"/>
        <v>UNIVERSITAS HALUOLEOILMU ADMINISTRASI NEGARA</v>
      </c>
    </row>
    <row r="2840" spans="1:17" ht="15.75" thickBot="1" x14ac:dyDescent="0.3">
      <c r="A2840" s="7">
        <v>2839</v>
      </c>
      <c r="B2840" s="6">
        <v>77</v>
      </c>
      <c r="C2840" s="12">
        <v>7512084</v>
      </c>
      <c r="D2840" t="s">
        <v>31</v>
      </c>
      <c r="E2840" s="12">
        <v>180</v>
      </c>
      <c r="F2840" s="10" t="s">
        <v>13</v>
      </c>
      <c r="J2840" s="138" t="s">
        <v>1292</v>
      </c>
      <c r="K2840" s="138" t="s">
        <v>1292</v>
      </c>
      <c r="L2840" s="138" t="s">
        <v>1292</v>
      </c>
      <c r="M2840" s="13"/>
      <c r="N2840" s="89" t="s">
        <v>1292</v>
      </c>
      <c r="P2840" t="str">
        <f>VLOOKUP(B2840,PTN!A:B,2,FALSE)</f>
        <v>UNIVERSITAS HALUOLEO</v>
      </c>
      <c r="Q2840" t="str">
        <f t="shared" si="44"/>
        <v>UNIVERSITAS HALUOLEOILMU HUKUM</v>
      </c>
    </row>
    <row r="2841" spans="1:17" ht="15.75" thickBot="1" x14ac:dyDescent="0.3">
      <c r="A2841" s="7">
        <v>2840</v>
      </c>
      <c r="B2841" s="6">
        <v>77</v>
      </c>
      <c r="C2841" s="13">
        <v>7512215</v>
      </c>
      <c r="D2841" t="s">
        <v>147</v>
      </c>
      <c r="E2841" s="13">
        <v>36</v>
      </c>
      <c r="F2841" s="10" t="s">
        <v>13</v>
      </c>
      <c r="J2841" s="138" t="s">
        <v>1292</v>
      </c>
      <c r="K2841" s="138" t="s">
        <v>1292</v>
      </c>
      <c r="L2841" s="138" t="s">
        <v>1292</v>
      </c>
      <c r="M2841" s="12"/>
      <c r="N2841" s="88" t="s">
        <v>1292</v>
      </c>
      <c r="P2841" t="str">
        <f>VLOOKUP(B2841,PTN!A:B,2,FALSE)</f>
        <v>UNIVERSITAS HALUOLEO</v>
      </c>
      <c r="Q2841" t="str">
        <f t="shared" si="44"/>
        <v>UNIVERSITAS HALUOLEOILMU KESEJAHTERAAN SOSIAL</v>
      </c>
    </row>
    <row r="2842" spans="1:17" ht="15.75" thickBot="1" x14ac:dyDescent="0.3">
      <c r="A2842" s="7">
        <v>2841</v>
      </c>
      <c r="B2842" s="6">
        <v>77</v>
      </c>
      <c r="C2842" s="12">
        <v>7512076</v>
      </c>
      <c r="D2842" t="s">
        <v>60</v>
      </c>
      <c r="E2842" s="12">
        <v>60</v>
      </c>
      <c r="F2842" s="10" t="s">
        <v>13</v>
      </c>
      <c r="J2842" s="138" t="s">
        <v>1292</v>
      </c>
      <c r="K2842" s="138" t="s">
        <v>1292</v>
      </c>
      <c r="L2842" s="138" t="s">
        <v>1292</v>
      </c>
      <c r="M2842" s="13"/>
      <c r="N2842" s="89" t="s">
        <v>1292</v>
      </c>
      <c r="P2842" t="str">
        <f>VLOOKUP(B2842,PTN!A:B,2,FALSE)</f>
        <v>UNIVERSITAS HALUOLEO</v>
      </c>
      <c r="Q2842" t="str">
        <f t="shared" si="44"/>
        <v>UNIVERSITAS HALUOLEOILMU KOMUNIKASI</v>
      </c>
    </row>
    <row r="2843" spans="1:17" ht="15.75" thickBot="1" x14ac:dyDescent="0.3">
      <c r="A2843" s="7">
        <v>2842</v>
      </c>
      <c r="B2843" s="6">
        <v>77</v>
      </c>
      <c r="C2843" s="13">
        <v>7512335</v>
      </c>
      <c r="D2843" t="s">
        <v>97</v>
      </c>
      <c r="E2843" s="13">
        <v>45</v>
      </c>
      <c r="F2843" s="10" t="s">
        <v>13</v>
      </c>
      <c r="J2843" s="138" t="s">
        <v>1292</v>
      </c>
      <c r="K2843" s="138" t="s">
        <v>1292</v>
      </c>
      <c r="L2843" s="138" t="s">
        <v>1292</v>
      </c>
      <c r="M2843" s="12"/>
      <c r="N2843" s="88" t="s">
        <v>1292</v>
      </c>
      <c r="P2843" t="str">
        <f>VLOOKUP(B2843,PTN!A:B,2,FALSE)</f>
        <v>UNIVERSITAS HALUOLEO</v>
      </c>
      <c r="Q2843" t="str">
        <f t="shared" si="44"/>
        <v>UNIVERSITAS HALUOLEOILMU PEMERINTAHAN</v>
      </c>
    </row>
    <row r="2844" spans="1:17" ht="15.75" thickBot="1" x14ac:dyDescent="0.3">
      <c r="A2844" s="7">
        <v>2843</v>
      </c>
      <c r="B2844" s="6">
        <v>77</v>
      </c>
      <c r="C2844" s="12">
        <v>7512293</v>
      </c>
      <c r="D2844" t="s">
        <v>33</v>
      </c>
      <c r="E2844" s="12">
        <v>45</v>
      </c>
      <c r="F2844" s="10" t="s">
        <v>13</v>
      </c>
      <c r="J2844" s="138" t="s">
        <v>1292</v>
      </c>
      <c r="K2844" s="138" t="s">
        <v>1292</v>
      </c>
      <c r="L2844" s="138" t="s">
        <v>1292</v>
      </c>
      <c r="M2844" s="13"/>
      <c r="N2844" s="89" t="s">
        <v>1292</v>
      </c>
      <c r="P2844" t="str">
        <f>VLOOKUP(B2844,PTN!A:B,2,FALSE)</f>
        <v>UNIVERSITAS HALUOLEO</v>
      </c>
      <c r="Q2844" t="str">
        <f t="shared" si="44"/>
        <v>UNIVERSITAS HALUOLEOILMU POLITIK</v>
      </c>
    </row>
    <row r="2845" spans="1:17" ht="15.75" thickBot="1" x14ac:dyDescent="0.3">
      <c r="A2845" s="7">
        <v>2844</v>
      </c>
      <c r="B2845" s="6">
        <v>77</v>
      </c>
      <c r="C2845" s="13">
        <v>7512223</v>
      </c>
      <c r="D2845" t="s">
        <v>148</v>
      </c>
      <c r="E2845" s="13">
        <v>36</v>
      </c>
      <c r="F2845" s="10" t="s">
        <v>13</v>
      </c>
      <c r="J2845" s="138" t="s">
        <v>1292</v>
      </c>
      <c r="K2845" s="138" t="s">
        <v>1292</v>
      </c>
      <c r="L2845" s="138" t="s">
        <v>1292</v>
      </c>
      <c r="M2845" s="12"/>
      <c r="N2845" s="88" t="s">
        <v>1292</v>
      </c>
      <c r="P2845" t="str">
        <f>VLOOKUP(B2845,PTN!A:B,2,FALSE)</f>
        <v>UNIVERSITAS HALUOLEO</v>
      </c>
      <c r="Q2845" t="str">
        <f t="shared" si="44"/>
        <v>UNIVERSITAS HALUOLEOILMU SEJARAH</v>
      </c>
    </row>
    <row r="2846" spans="1:17" ht="15.75" thickBot="1" x14ac:dyDescent="0.3">
      <c r="A2846" s="7">
        <v>2845</v>
      </c>
      <c r="B2846" s="6">
        <v>77</v>
      </c>
      <c r="C2846" s="12">
        <v>7512231</v>
      </c>
      <c r="D2846" t="s">
        <v>247</v>
      </c>
      <c r="E2846" s="12">
        <v>45</v>
      </c>
      <c r="F2846" s="10" t="s">
        <v>13</v>
      </c>
      <c r="J2846" s="138" t="s">
        <v>1292</v>
      </c>
      <c r="K2846" s="138" t="s">
        <v>1292</v>
      </c>
      <c r="L2846" s="138" t="s">
        <v>1292</v>
      </c>
      <c r="M2846" s="13"/>
      <c r="N2846" s="89" t="s">
        <v>1292</v>
      </c>
      <c r="P2846" t="str">
        <f>VLOOKUP(B2846,PTN!A:B,2,FALSE)</f>
        <v>UNIVERSITAS HALUOLEO</v>
      </c>
      <c r="Q2846" t="str">
        <f t="shared" si="44"/>
        <v>UNIVERSITAS HALUOLEOJURNALISTIK</v>
      </c>
    </row>
    <row r="2847" spans="1:17" ht="15.75" thickBot="1" x14ac:dyDescent="0.3">
      <c r="A2847" s="7">
        <v>2846</v>
      </c>
      <c r="B2847" s="6">
        <v>77</v>
      </c>
      <c r="C2847" s="13">
        <v>7512022</v>
      </c>
      <c r="D2847" t="s">
        <v>61</v>
      </c>
      <c r="E2847" s="13">
        <v>102</v>
      </c>
      <c r="F2847" s="10" t="s">
        <v>13</v>
      </c>
      <c r="J2847" s="138" t="s">
        <v>1292</v>
      </c>
      <c r="K2847" s="138" t="s">
        <v>1292</v>
      </c>
      <c r="L2847" s="138" t="s">
        <v>1292</v>
      </c>
      <c r="M2847" s="12"/>
      <c r="N2847" s="88" t="s">
        <v>1292</v>
      </c>
      <c r="P2847" t="str">
        <f>VLOOKUP(B2847,PTN!A:B,2,FALSE)</f>
        <v>UNIVERSITAS HALUOLEO</v>
      </c>
      <c r="Q2847" t="str">
        <f t="shared" si="44"/>
        <v>UNIVERSITAS HALUOLEOMANAJEMEN</v>
      </c>
    </row>
    <row r="2848" spans="1:17" ht="15.75" thickBot="1" x14ac:dyDescent="0.3">
      <c r="A2848" s="7">
        <v>2847</v>
      </c>
      <c r="B2848" s="6">
        <v>77</v>
      </c>
      <c r="C2848" s="12">
        <v>7512134</v>
      </c>
      <c r="D2848" t="s">
        <v>643</v>
      </c>
      <c r="E2848" s="12">
        <v>24</v>
      </c>
      <c r="F2848" s="10" t="s">
        <v>13</v>
      </c>
      <c r="J2848" s="138" t="s">
        <v>1292</v>
      </c>
      <c r="K2848" s="138" t="s">
        <v>1292</v>
      </c>
      <c r="L2848" s="138" t="s">
        <v>1292</v>
      </c>
      <c r="M2848" s="13"/>
      <c r="N2848" s="89" t="s">
        <v>1292</v>
      </c>
      <c r="P2848" t="str">
        <f>VLOOKUP(B2848,PTN!A:B,2,FALSE)</f>
        <v>UNIVERSITAS HALUOLEO</v>
      </c>
      <c r="Q2848" t="str">
        <f t="shared" si="44"/>
        <v>UNIVERSITAS HALUOLEOPEND. BAHASA, SASTRA INDO. &amp; DAERAH</v>
      </c>
    </row>
    <row r="2849" spans="1:17" ht="15.75" thickBot="1" x14ac:dyDescent="0.3">
      <c r="A2849" s="7">
        <v>2848</v>
      </c>
      <c r="B2849" s="6">
        <v>77</v>
      </c>
      <c r="C2849" s="13">
        <v>7512157</v>
      </c>
      <c r="D2849" t="s">
        <v>704</v>
      </c>
      <c r="E2849" s="13">
        <v>24</v>
      </c>
      <c r="F2849" s="10" t="s">
        <v>13</v>
      </c>
      <c r="J2849" s="138" t="s">
        <v>1292</v>
      </c>
      <c r="K2849" s="138" t="s">
        <v>1292</v>
      </c>
      <c r="L2849" s="138" t="s">
        <v>1292</v>
      </c>
      <c r="M2849" s="12"/>
      <c r="N2849" s="88" t="s">
        <v>1292</v>
      </c>
      <c r="P2849" t="str">
        <f>VLOOKUP(B2849,PTN!A:B,2,FALSE)</f>
        <v>UNIVERSITAS HALUOLEO</v>
      </c>
      <c r="Q2849" t="str">
        <f t="shared" si="44"/>
        <v>UNIVERSITAS HALUOLEOPEND. GURU SEKOLAH DASAR (PGSD) S1</v>
      </c>
    </row>
    <row r="2850" spans="1:17" ht="15.75" thickBot="1" x14ac:dyDescent="0.3">
      <c r="A2850" s="7">
        <v>2849</v>
      </c>
      <c r="B2850" s="6">
        <v>77</v>
      </c>
      <c r="C2850" s="12">
        <v>7512304</v>
      </c>
      <c r="D2850" t="s">
        <v>122</v>
      </c>
      <c r="E2850" s="12">
        <v>20</v>
      </c>
      <c r="F2850" s="10" t="s">
        <v>13</v>
      </c>
      <c r="J2850" s="138" t="s">
        <v>1292</v>
      </c>
      <c r="K2850" s="138" t="s">
        <v>1292</v>
      </c>
      <c r="L2850" s="138" t="s">
        <v>1292</v>
      </c>
      <c r="M2850" s="13"/>
      <c r="N2850" s="89" t="s">
        <v>1292</v>
      </c>
      <c r="P2850" t="str">
        <f>VLOOKUP(B2850,PTN!A:B,2,FALSE)</f>
        <v>UNIVERSITAS HALUOLEO</v>
      </c>
      <c r="Q2850" t="str">
        <f t="shared" si="44"/>
        <v>UNIVERSITAS HALUOLEOPENDIDIKAN AKUNTANSI</v>
      </c>
    </row>
    <row r="2851" spans="1:17" ht="15.75" thickBot="1" x14ac:dyDescent="0.3">
      <c r="A2851" s="7">
        <v>2850</v>
      </c>
      <c r="B2851" s="6">
        <v>77</v>
      </c>
      <c r="C2851" s="13">
        <v>7512165</v>
      </c>
      <c r="D2851" t="s">
        <v>705</v>
      </c>
      <c r="E2851" s="13">
        <v>12</v>
      </c>
      <c r="F2851" s="10" t="s">
        <v>13</v>
      </c>
      <c r="J2851" s="138" t="s">
        <v>1292</v>
      </c>
      <c r="K2851" s="138" t="s">
        <v>1292</v>
      </c>
      <c r="L2851" s="138" t="s">
        <v>1292</v>
      </c>
      <c r="M2851" s="12"/>
      <c r="N2851" s="88" t="s">
        <v>1292</v>
      </c>
      <c r="P2851" t="str">
        <f>VLOOKUP(B2851,PTN!A:B,2,FALSE)</f>
        <v>UNIVERSITAS HALUOLEO</v>
      </c>
      <c r="Q2851" t="str">
        <f t="shared" si="44"/>
        <v>UNIVERSITAS HALUOLEOPENDIDIKAN ANAK USIA DINI (PG-PAUD)</v>
      </c>
    </row>
    <row r="2852" spans="1:17" ht="15.75" thickBot="1" x14ac:dyDescent="0.3">
      <c r="A2852" s="7">
        <v>2851</v>
      </c>
      <c r="B2852" s="6">
        <v>77</v>
      </c>
      <c r="C2852" s="12">
        <v>7512142</v>
      </c>
      <c r="D2852" t="s">
        <v>71</v>
      </c>
      <c r="E2852" s="12">
        <v>24</v>
      </c>
      <c r="F2852" s="10" t="s">
        <v>13</v>
      </c>
      <c r="J2852" s="138" t="s">
        <v>1292</v>
      </c>
      <c r="K2852" s="138" t="s">
        <v>1292</v>
      </c>
      <c r="L2852" s="138" t="s">
        <v>1292</v>
      </c>
      <c r="M2852" s="13"/>
      <c r="N2852" s="89" t="s">
        <v>1292</v>
      </c>
      <c r="P2852" t="str">
        <f>VLOOKUP(B2852,PTN!A:B,2,FALSE)</f>
        <v>UNIVERSITAS HALUOLEO</v>
      </c>
      <c r="Q2852" t="str">
        <f t="shared" si="44"/>
        <v>UNIVERSITAS HALUOLEOPENDIDIKAN BAHASA INGGRIS</v>
      </c>
    </row>
    <row r="2853" spans="1:17" ht="15.75" thickBot="1" x14ac:dyDescent="0.3">
      <c r="A2853" s="7">
        <v>2852</v>
      </c>
      <c r="B2853" s="6">
        <v>77</v>
      </c>
      <c r="C2853" s="13">
        <v>7512173</v>
      </c>
      <c r="D2853" t="s">
        <v>126</v>
      </c>
      <c r="E2853" s="13">
        <v>20</v>
      </c>
      <c r="F2853" s="10" t="s">
        <v>13</v>
      </c>
      <c r="J2853" s="138" t="s">
        <v>1292</v>
      </c>
      <c r="K2853" s="138" t="s">
        <v>1292</v>
      </c>
      <c r="L2853" s="138" t="s">
        <v>1292</v>
      </c>
      <c r="M2853" s="12"/>
      <c r="N2853" s="88" t="s">
        <v>1292</v>
      </c>
      <c r="P2853" t="str">
        <f>VLOOKUP(B2853,PTN!A:B,2,FALSE)</f>
        <v>UNIVERSITAS HALUOLEO</v>
      </c>
      <c r="Q2853" t="str">
        <f t="shared" si="44"/>
        <v>UNIVERSITAS HALUOLEOPENDIDIKAN BIMBINGAN DAN KONSELING</v>
      </c>
    </row>
    <row r="2854" spans="1:17" ht="15.75" thickBot="1" x14ac:dyDescent="0.3">
      <c r="A2854" s="7">
        <v>2853</v>
      </c>
      <c r="B2854" s="6">
        <v>77</v>
      </c>
      <c r="C2854" s="12">
        <v>7512103</v>
      </c>
      <c r="D2854" t="s">
        <v>100</v>
      </c>
      <c r="E2854" s="12">
        <v>20</v>
      </c>
      <c r="F2854" s="10" t="s">
        <v>13</v>
      </c>
      <c r="J2854" s="138" t="s">
        <v>1292</v>
      </c>
      <c r="K2854" s="138" t="s">
        <v>1292</v>
      </c>
      <c r="L2854" s="138" t="s">
        <v>1292</v>
      </c>
      <c r="M2854" s="13"/>
      <c r="N2854" s="89" t="s">
        <v>1292</v>
      </c>
      <c r="P2854" t="str">
        <f>VLOOKUP(B2854,PTN!A:B,2,FALSE)</f>
        <v>UNIVERSITAS HALUOLEO</v>
      </c>
      <c r="Q2854" t="str">
        <f t="shared" si="44"/>
        <v>UNIVERSITAS HALUOLEOPENDIDIKAN EKONOMI</v>
      </c>
    </row>
    <row r="2855" spans="1:17" ht="15.75" thickBot="1" x14ac:dyDescent="0.3">
      <c r="A2855" s="7">
        <v>2854</v>
      </c>
      <c r="B2855" s="6">
        <v>77</v>
      </c>
      <c r="C2855" s="13">
        <v>7512246</v>
      </c>
      <c r="D2855" t="s">
        <v>72</v>
      </c>
      <c r="E2855" s="13">
        <v>20</v>
      </c>
      <c r="F2855" s="10" t="s">
        <v>13</v>
      </c>
      <c r="J2855" s="138" t="s">
        <v>1292</v>
      </c>
      <c r="K2855" s="138" t="s">
        <v>1292</v>
      </c>
      <c r="L2855" s="138" t="s">
        <v>1292</v>
      </c>
      <c r="M2855" s="12"/>
      <c r="N2855" s="88" t="s">
        <v>1292</v>
      </c>
      <c r="P2855" t="str">
        <f>VLOOKUP(B2855,PTN!A:B,2,FALSE)</f>
        <v>UNIVERSITAS HALUOLEO</v>
      </c>
      <c r="Q2855" t="str">
        <f t="shared" si="44"/>
        <v>UNIVERSITAS HALUOLEOPENDIDIKAN GEOGRAFI</v>
      </c>
    </row>
    <row r="2856" spans="1:17" ht="15.75" thickBot="1" x14ac:dyDescent="0.3">
      <c r="A2856" s="7">
        <v>2855</v>
      </c>
      <c r="B2856" s="6">
        <v>77</v>
      </c>
      <c r="C2856" s="12">
        <v>7512092</v>
      </c>
      <c r="D2856" t="s">
        <v>75</v>
      </c>
      <c r="E2856" s="12">
        <v>20</v>
      </c>
      <c r="F2856" s="10" t="s">
        <v>13</v>
      </c>
      <c r="J2856" s="138" t="s">
        <v>1292</v>
      </c>
      <c r="K2856" s="138" t="s">
        <v>1292</v>
      </c>
      <c r="L2856" s="138" t="s">
        <v>1292</v>
      </c>
      <c r="M2856" s="13"/>
      <c r="N2856" s="89" t="s">
        <v>1292</v>
      </c>
      <c r="P2856" t="str">
        <f>VLOOKUP(B2856,PTN!A:B,2,FALSE)</f>
        <v>UNIVERSITAS HALUOLEO</v>
      </c>
      <c r="Q2856" t="str">
        <f t="shared" si="44"/>
        <v>UNIVERSITAS HALUOLEOPENDIDIKAN SEJARAH</v>
      </c>
    </row>
    <row r="2857" spans="1:17" ht="15.75" thickBot="1" x14ac:dyDescent="0.3">
      <c r="A2857" s="7">
        <v>2856</v>
      </c>
      <c r="B2857" s="6">
        <v>77</v>
      </c>
      <c r="C2857" s="13">
        <v>7512126</v>
      </c>
      <c r="D2857" t="s">
        <v>431</v>
      </c>
      <c r="E2857" s="13">
        <v>24</v>
      </c>
      <c r="F2857" s="10" t="s">
        <v>13</v>
      </c>
      <c r="J2857" s="138" t="s">
        <v>1292</v>
      </c>
      <c r="K2857" s="138" t="s">
        <v>1292</v>
      </c>
      <c r="L2857" s="138" t="s">
        <v>1292</v>
      </c>
      <c r="M2857" s="12"/>
      <c r="N2857" s="88" t="s">
        <v>1292</v>
      </c>
      <c r="P2857" t="str">
        <f>VLOOKUP(B2857,PTN!A:B,2,FALSE)</f>
        <v>UNIVERSITAS HALUOLEO</v>
      </c>
      <c r="Q2857" t="str">
        <f t="shared" si="44"/>
        <v>UNIVERSITAS HALUOLEOPEND. JASMANI, KESEHATAN DAN REKREASI</v>
      </c>
    </row>
    <row r="2858" spans="1:17" ht="15.75" thickBot="1" x14ac:dyDescent="0.3">
      <c r="A2858" s="7">
        <v>2857</v>
      </c>
      <c r="B2858" s="6">
        <v>77</v>
      </c>
      <c r="C2858" s="12">
        <v>7512111</v>
      </c>
      <c r="D2858" t="s">
        <v>706</v>
      </c>
      <c r="E2858" s="12">
        <v>12</v>
      </c>
      <c r="F2858" s="10" t="s">
        <v>13</v>
      </c>
      <c r="J2858" s="138" t="s">
        <v>1292</v>
      </c>
      <c r="K2858" s="138" t="s">
        <v>1292</v>
      </c>
      <c r="L2858" s="138" t="s">
        <v>1292</v>
      </c>
      <c r="M2858" s="13"/>
      <c r="N2858" s="89" t="s">
        <v>1292</v>
      </c>
      <c r="P2858" t="str">
        <f>VLOOKUP(B2858,PTN!A:B,2,FALSE)</f>
        <v>UNIVERSITAS HALUOLEO</v>
      </c>
      <c r="Q2858" t="str">
        <f t="shared" si="44"/>
        <v>UNIVERSITAS HALUOLEOPEND. PANCASILA &amp; KEWARGANEGARAAN</v>
      </c>
    </row>
    <row r="2859" spans="1:17" ht="15.75" thickBot="1" x14ac:dyDescent="0.3">
      <c r="A2859" s="7">
        <v>2858</v>
      </c>
      <c r="B2859" s="6">
        <v>77</v>
      </c>
      <c r="C2859" s="13">
        <v>7512327</v>
      </c>
      <c r="D2859" t="s">
        <v>207</v>
      </c>
      <c r="E2859" s="13">
        <v>36</v>
      </c>
      <c r="F2859" s="10" t="s">
        <v>13</v>
      </c>
      <c r="J2859" s="138" t="s">
        <v>1292</v>
      </c>
      <c r="K2859" s="138" t="s">
        <v>1292</v>
      </c>
      <c r="L2859" s="138" t="s">
        <v>1292</v>
      </c>
      <c r="M2859" s="12"/>
      <c r="N2859" s="88" t="s">
        <v>1292</v>
      </c>
      <c r="P2859" t="str">
        <f>VLOOKUP(B2859,PTN!A:B,2,FALSE)</f>
        <v>UNIVERSITAS HALUOLEO</v>
      </c>
      <c r="Q2859" t="str">
        <f t="shared" si="44"/>
        <v>UNIVERSITAS HALUOLEOPERPUSTAKAAN DAN ILMU INFORMASI</v>
      </c>
    </row>
    <row r="2860" spans="1:17" ht="15.75" thickBot="1" x14ac:dyDescent="0.3">
      <c r="A2860" s="7">
        <v>2859</v>
      </c>
      <c r="B2860" s="6">
        <v>77</v>
      </c>
      <c r="C2860" s="12">
        <v>7512285</v>
      </c>
      <c r="D2860" t="s">
        <v>36</v>
      </c>
      <c r="E2860" s="12">
        <v>20</v>
      </c>
      <c r="F2860" s="10" t="s">
        <v>13</v>
      </c>
      <c r="J2860" s="138" t="s">
        <v>1292</v>
      </c>
      <c r="K2860" s="138" t="s">
        <v>1292</v>
      </c>
      <c r="L2860" s="138" t="s">
        <v>1292</v>
      </c>
      <c r="M2860" s="13"/>
      <c r="N2860" s="89" t="s">
        <v>1292</v>
      </c>
      <c r="P2860" t="str">
        <f>VLOOKUP(B2860,PTN!A:B,2,FALSE)</f>
        <v>UNIVERSITAS HALUOLEO</v>
      </c>
      <c r="Q2860" t="str">
        <f t="shared" si="44"/>
        <v>UNIVERSITAS HALUOLEOPSIKOLOGI</v>
      </c>
    </row>
    <row r="2861" spans="1:17" ht="15.75" thickBot="1" x14ac:dyDescent="0.3">
      <c r="A2861" s="7">
        <v>2860</v>
      </c>
      <c r="B2861" s="6">
        <v>77</v>
      </c>
      <c r="C2861" s="13">
        <v>7512254</v>
      </c>
      <c r="D2861" t="s">
        <v>62</v>
      </c>
      <c r="E2861" s="13">
        <v>42</v>
      </c>
      <c r="F2861" s="10" t="s">
        <v>13</v>
      </c>
      <c r="J2861" s="138" t="s">
        <v>1292</v>
      </c>
      <c r="K2861" s="138" t="s">
        <v>1292</v>
      </c>
      <c r="L2861" s="138" t="s">
        <v>1292</v>
      </c>
      <c r="M2861" s="12"/>
      <c r="N2861" s="88" t="s">
        <v>1292</v>
      </c>
      <c r="P2861" t="str">
        <f>VLOOKUP(B2861,PTN!A:B,2,FALSE)</f>
        <v>UNIVERSITAS HALUOLEO</v>
      </c>
      <c r="Q2861" t="str">
        <f t="shared" si="44"/>
        <v>UNIVERSITAS HALUOLEOSASTRA INDONESIA</v>
      </c>
    </row>
    <row r="2862" spans="1:17" ht="15.75" thickBot="1" x14ac:dyDescent="0.3">
      <c r="A2862" s="7">
        <v>2861</v>
      </c>
      <c r="B2862" s="6">
        <v>77</v>
      </c>
      <c r="C2862" s="12">
        <v>7512262</v>
      </c>
      <c r="D2862" t="s">
        <v>139</v>
      </c>
      <c r="E2862" s="12">
        <v>42</v>
      </c>
      <c r="F2862" s="10" t="s">
        <v>13</v>
      </c>
      <c r="J2862" s="138" t="s">
        <v>1292</v>
      </c>
      <c r="K2862" s="138" t="s">
        <v>1292</v>
      </c>
      <c r="L2862" s="138" t="s">
        <v>1292</v>
      </c>
      <c r="M2862" s="13"/>
      <c r="N2862" s="89" t="s">
        <v>1292</v>
      </c>
      <c r="P2862" t="str">
        <f>VLOOKUP(B2862,PTN!A:B,2,FALSE)</f>
        <v>UNIVERSITAS HALUOLEO</v>
      </c>
      <c r="Q2862" t="str">
        <f t="shared" si="44"/>
        <v>UNIVERSITAS HALUOLEOSASTRA INGGRIS</v>
      </c>
    </row>
    <row r="2863" spans="1:17" ht="15.75" thickBot="1" x14ac:dyDescent="0.3">
      <c r="A2863" s="7">
        <v>2862</v>
      </c>
      <c r="B2863" s="6">
        <v>77</v>
      </c>
      <c r="C2863" s="13">
        <v>7512312</v>
      </c>
      <c r="D2863" t="s">
        <v>461</v>
      </c>
      <c r="E2863" s="13">
        <v>15</v>
      </c>
      <c r="F2863" s="10" t="s">
        <v>13</v>
      </c>
      <c r="J2863" s="138" t="s">
        <v>1292</v>
      </c>
      <c r="K2863" s="138" t="s">
        <v>1292</v>
      </c>
      <c r="L2863" s="138" t="s">
        <v>1292</v>
      </c>
      <c r="M2863" s="12"/>
      <c r="N2863" s="88" t="s">
        <v>1292</v>
      </c>
      <c r="P2863" t="str">
        <f>VLOOKUP(B2863,PTN!A:B,2,FALSE)</f>
        <v>UNIVERSITAS HALUOLEO</v>
      </c>
      <c r="Q2863" t="str">
        <f t="shared" si="44"/>
        <v>UNIVERSITAS HALUOLEOSASTRA PRANCIS</v>
      </c>
    </row>
    <row r="2864" spans="1:17" ht="15.75" thickBot="1" x14ac:dyDescent="0.3">
      <c r="A2864" s="7">
        <v>2863</v>
      </c>
      <c r="B2864" s="6">
        <v>77</v>
      </c>
      <c r="C2864" s="12">
        <v>7512053</v>
      </c>
      <c r="D2864" t="s">
        <v>63</v>
      </c>
      <c r="E2864" s="12">
        <v>36</v>
      </c>
      <c r="F2864" s="10" t="s">
        <v>13</v>
      </c>
      <c r="J2864" s="138" t="s">
        <v>1292</v>
      </c>
      <c r="K2864" s="138" t="s">
        <v>1292</v>
      </c>
      <c r="L2864" s="138" t="s">
        <v>1292</v>
      </c>
      <c r="M2864" s="13"/>
      <c r="N2864" s="89" t="s">
        <v>1292</v>
      </c>
      <c r="P2864" t="str">
        <f>VLOOKUP(B2864,PTN!A:B,2,FALSE)</f>
        <v>UNIVERSITAS HALUOLEO</v>
      </c>
      <c r="Q2864" t="str">
        <f t="shared" si="44"/>
        <v>UNIVERSITAS HALUOLEOSOSIOLOGI</v>
      </c>
    </row>
    <row r="2865" spans="1:17" ht="15.75" thickBot="1" x14ac:dyDescent="0.3">
      <c r="A2865" s="7">
        <v>2864</v>
      </c>
      <c r="B2865" s="6">
        <v>77</v>
      </c>
      <c r="C2865" s="16">
        <v>7512277</v>
      </c>
      <c r="D2865" t="s">
        <v>707</v>
      </c>
      <c r="E2865" s="16">
        <v>24</v>
      </c>
      <c r="F2865" s="10" t="s">
        <v>13</v>
      </c>
      <c r="J2865" s="138" t="s">
        <v>1292</v>
      </c>
      <c r="K2865" s="138" t="s">
        <v>1292</v>
      </c>
      <c r="L2865" s="138" t="s">
        <v>1292</v>
      </c>
      <c r="M2865" s="21"/>
      <c r="N2865" s="83" t="s">
        <v>1292</v>
      </c>
      <c r="P2865" t="str">
        <f>VLOOKUP(B2865,PTN!A:B,2,FALSE)</f>
        <v>UNIVERSITAS HALUOLEO</v>
      </c>
      <c r="Q2865" t="str">
        <f t="shared" si="44"/>
        <v>UNIVERSITAS HALUOLEOTRADISI LISAN</v>
      </c>
    </row>
    <row r="2866" spans="1:17" ht="16.5" thickTop="1" thickBot="1" x14ac:dyDescent="0.3">
      <c r="A2866" s="7">
        <v>2865</v>
      </c>
      <c r="B2866" s="6">
        <v>79</v>
      </c>
      <c r="C2866" s="12">
        <v>7531054</v>
      </c>
      <c r="D2866" t="s">
        <v>37</v>
      </c>
      <c r="E2866" s="12">
        <v>70</v>
      </c>
      <c r="F2866" s="10" t="s">
        <v>20</v>
      </c>
      <c r="J2866" s="138" t="s">
        <v>1292</v>
      </c>
      <c r="K2866" s="138" t="s">
        <v>1292</v>
      </c>
      <c r="L2866" s="138" t="s">
        <v>1292</v>
      </c>
      <c r="M2866" s="21"/>
      <c r="N2866" s="83" t="s">
        <v>1292</v>
      </c>
      <c r="P2866" t="str">
        <f>VLOOKUP(B2866,PTN!A:B,2,FALSE)</f>
        <v>UNIVERSITAS SEMBILAN BELAS NOVEMBER KOLAKA</v>
      </c>
      <c r="Q2866" t="str">
        <f t="shared" si="44"/>
        <v>UNIVERSITAS SEMBILAN BELAS NOVEMBER KOLAKAAGRIBISNIS</v>
      </c>
    </row>
    <row r="2867" spans="1:17" ht="16.5" thickTop="1" thickBot="1" x14ac:dyDescent="0.3">
      <c r="A2867" s="7">
        <v>2866</v>
      </c>
      <c r="B2867" s="6">
        <v>79</v>
      </c>
      <c r="C2867" s="13">
        <v>7531062</v>
      </c>
      <c r="D2867" t="s">
        <v>64</v>
      </c>
      <c r="E2867" s="13">
        <v>42</v>
      </c>
      <c r="F2867" s="10" t="s">
        <v>20</v>
      </c>
      <c r="J2867" s="138" t="s">
        <v>1292</v>
      </c>
      <c r="K2867" s="138" t="s">
        <v>1292</v>
      </c>
      <c r="L2867" s="138" t="s">
        <v>1292</v>
      </c>
      <c r="M2867" s="24"/>
      <c r="N2867" s="84" t="s">
        <v>1292</v>
      </c>
      <c r="P2867" t="str">
        <f>VLOOKUP(B2867,PTN!A:B,2,FALSE)</f>
        <v>UNIVERSITAS SEMBILAN BELAS NOVEMBER KOLAKA</v>
      </c>
      <c r="Q2867" t="str">
        <f t="shared" si="44"/>
        <v>UNIVERSITAS SEMBILAN BELAS NOVEMBER KOLAKAAGROTEKNOLOGI</v>
      </c>
    </row>
    <row r="2868" spans="1:17" ht="16.5" thickTop="1" thickBot="1" x14ac:dyDescent="0.3">
      <c r="A2868" s="7">
        <v>2867</v>
      </c>
      <c r="B2868" s="6">
        <v>79</v>
      </c>
      <c r="C2868" s="12">
        <v>7531143</v>
      </c>
      <c r="D2868" t="s">
        <v>77</v>
      </c>
      <c r="E2868" s="12">
        <v>42</v>
      </c>
      <c r="F2868" s="10" t="s">
        <v>20</v>
      </c>
      <c r="J2868" s="138" t="s">
        <v>1292</v>
      </c>
      <c r="K2868" s="138" t="s">
        <v>1292</v>
      </c>
      <c r="L2868" s="138" t="s">
        <v>1292</v>
      </c>
      <c r="M2868" s="12"/>
      <c r="N2868" s="88" t="s">
        <v>1292</v>
      </c>
      <c r="P2868" t="str">
        <f>VLOOKUP(B2868,PTN!A:B,2,FALSE)</f>
        <v>UNIVERSITAS SEMBILAN BELAS NOVEMBER KOLAKA</v>
      </c>
      <c r="Q2868" t="str">
        <f t="shared" si="44"/>
        <v>UNIVERSITAS SEMBILAN BELAS NOVEMBER KOLAKAFARMASI</v>
      </c>
    </row>
    <row r="2869" spans="1:17" ht="15.75" thickBot="1" x14ac:dyDescent="0.3">
      <c r="A2869" s="7">
        <v>2868</v>
      </c>
      <c r="B2869" s="6">
        <v>79</v>
      </c>
      <c r="C2869" s="13">
        <v>7531135</v>
      </c>
      <c r="D2869" t="s">
        <v>111</v>
      </c>
      <c r="E2869" s="13">
        <v>49</v>
      </c>
      <c r="F2869" s="10" t="s">
        <v>20</v>
      </c>
      <c r="J2869" s="138" t="s">
        <v>1292</v>
      </c>
      <c r="K2869" s="138" t="s">
        <v>1292</v>
      </c>
      <c r="L2869" s="138" t="s">
        <v>1292</v>
      </c>
      <c r="M2869" s="13"/>
      <c r="N2869" s="89" t="s">
        <v>1292</v>
      </c>
      <c r="P2869" t="str">
        <f>VLOOKUP(B2869,PTN!A:B,2,FALSE)</f>
        <v>UNIVERSITAS SEMBILAN BELAS NOVEMBER KOLAKA</v>
      </c>
      <c r="Q2869" t="str">
        <f t="shared" si="44"/>
        <v>UNIVERSITAS SEMBILAN BELAS NOVEMBER KOLAKAILMU KOMPUTER</v>
      </c>
    </row>
    <row r="2870" spans="1:17" ht="15.75" thickBot="1" x14ac:dyDescent="0.3">
      <c r="A2870" s="7">
        <v>2869</v>
      </c>
      <c r="B2870" s="6">
        <v>79</v>
      </c>
      <c r="C2870" s="12">
        <v>7531085</v>
      </c>
      <c r="D2870" t="s">
        <v>708</v>
      </c>
      <c r="E2870" s="12">
        <v>42</v>
      </c>
      <c r="F2870" s="10" t="s">
        <v>20</v>
      </c>
      <c r="J2870" s="138" t="s">
        <v>1292</v>
      </c>
      <c r="K2870" s="138" t="s">
        <v>1292</v>
      </c>
      <c r="L2870" s="138" t="s">
        <v>1292</v>
      </c>
      <c r="M2870" s="12"/>
      <c r="N2870" s="88" t="s">
        <v>1292</v>
      </c>
      <c r="P2870" t="str">
        <f>VLOOKUP(B2870,PTN!A:B,2,FALSE)</f>
        <v>UNIVERSITAS SEMBILAN BELAS NOVEMBER KOLAKA</v>
      </c>
      <c r="Q2870" t="str">
        <f t="shared" si="44"/>
        <v>UNIVERSITAS SEMBILAN BELAS NOVEMBER KOLAKAILMU PERIKANAN</v>
      </c>
    </row>
    <row r="2871" spans="1:17" ht="15.75" thickBot="1" x14ac:dyDescent="0.3">
      <c r="A2871" s="7">
        <v>2870</v>
      </c>
      <c r="B2871" s="6">
        <v>79</v>
      </c>
      <c r="C2871" s="13">
        <v>7531127</v>
      </c>
      <c r="D2871" t="s">
        <v>22</v>
      </c>
      <c r="E2871" s="13">
        <v>42</v>
      </c>
      <c r="F2871" s="10" t="s">
        <v>20</v>
      </c>
      <c r="J2871" s="138" t="s">
        <v>1292</v>
      </c>
      <c r="K2871" s="138" t="s">
        <v>1292</v>
      </c>
      <c r="L2871" s="138" t="s">
        <v>1292</v>
      </c>
      <c r="M2871" s="13"/>
      <c r="N2871" s="89" t="s">
        <v>1292</v>
      </c>
      <c r="P2871" t="str">
        <f>VLOOKUP(B2871,PTN!A:B,2,FALSE)</f>
        <v>UNIVERSITAS SEMBILAN BELAS NOVEMBER KOLAKA</v>
      </c>
      <c r="Q2871" t="str">
        <f t="shared" si="44"/>
        <v>UNIVERSITAS SEMBILAN BELAS NOVEMBER KOLAKAKIMIA</v>
      </c>
    </row>
    <row r="2872" spans="1:17" ht="15.75" thickBot="1" x14ac:dyDescent="0.3">
      <c r="A2872" s="7">
        <v>2871</v>
      </c>
      <c r="B2872" s="6">
        <v>79</v>
      </c>
      <c r="C2872" s="12">
        <v>7531093</v>
      </c>
      <c r="D2872" t="s">
        <v>67</v>
      </c>
      <c r="E2872" s="12">
        <v>42</v>
      </c>
      <c r="F2872" s="10" t="s">
        <v>20</v>
      </c>
      <c r="J2872" s="138" t="s">
        <v>1292</v>
      </c>
      <c r="K2872" s="138" t="s">
        <v>1292</v>
      </c>
      <c r="L2872" s="138" t="s">
        <v>1292</v>
      </c>
      <c r="M2872" s="12"/>
      <c r="N2872" s="88" t="s">
        <v>1292</v>
      </c>
      <c r="P2872" t="str">
        <f>VLOOKUP(B2872,PTN!A:B,2,FALSE)</f>
        <v>UNIVERSITAS SEMBILAN BELAS NOVEMBER KOLAKA</v>
      </c>
      <c r="Q2872" t="str">
        <f t="shared" si="44"/>
        <v>UNIVERSITAS SEMBILAN BELAS NOVEMBER KOLAKAPENDIDIKAN BIOLOGI</v>
      </c>
    </row>
    <row r="2873" spans="1:17" ht="15.75" thickBot="1" x14ac:dyDescent="0.3">
      <c r="A2873" s="7">
        <v>2872</v>
      </c>
      <c r="B2873" s="6">
        <v>79</v>
      </c>
      <c r="C2873" s="13">
        <v>7531104</v>
      </c>
      <c r="D2873" t="s">
        <v>43</v>
      </c>
      <c r="E2873" s="13">
        <v>42</v>
      </c>
      <c r="F2873" s="10" t="s">
        <v>20</v>
      </c>
      <c r="J2873" s="138" t="s">
        <v>1292</v>
      </c>
      <c r="K2873" s="138" t="s">
        <v>1292</v>
      </c>
      <c r="L2873" s="138" t="s">
        <v>1292</v>
      </c>
      <c r="M2873" s="13"/>
      <c r="N2873" s="89" t="s">
        <v>1292</v>
      </c>
      <c r="P2873" t="str">
        <f>VLOOKUP(B2873,PTN!A:B,2,FALSE)</f>
        <v>UNIVERSITAS SEMBILAN BELAS NOVEMBER KOLAKA</v>
      </c>
      <c r="Q2873" t="str">
        <f t="shared" si="44"/>
        <v>UNIVERSITAS SEMBILAN BELAS NOVEMBER KOLAKAPENDIDIKAN KIMIA</v>
      </c>
    </row>
    <row r="2874" spans="1:17" ht="15.75" thickBot="1" x14ac:dyDescent="0.3">
      <c r="A2874" s="7">
        <v>2873</v>
      </c>
      <c r="B2874" s="6">
        <v>79</v>
      </c>
      <c r="C2874" s="12">
        <v>7531015</v>
      </c>
      <c r="D2874" t="s">
        <v>44</v>
      </c>
      <c r="E2874" s="12">
        <v>42</v>
      </c>
      <c r="F2874" s="10" t="s">
        <v>20</v>
      </c>
      <c r="J2874" s="138" t="s">
        <v>1292</v>
      </c>
      <c r="K2874" s="138" t="s">
        <v>1292</v>
      </c>
      <c r="L2874" s="138" t="s">
        <v>1292</v>
      </c>
      <c r="M2874" s="12"/>
      <c r="N2874" s="88" t="s">
        <v>1292</v>
      </c>
      <c r="P2874" t="str">
        <f>VLOOKUP(B2874,PTN!A:B,2,FALSE)</f>
        <v>UNIVERSITAS SEMBILAN BELAS NOVEMBER KOLAKA</v>
      </c>
      <c r="Q2874" t="str">
        <f t="shared" si="44"/>
        <v>UNIVERSITAS SEMBILAN BELAS NOVEMBER KOLAKAPENDIDIKAN MATEMATIKA</v>
      </c>
    </row>
    <row r="2875" spans="1:17" ht="15.75" thickBot="1" x14ac:dyDescent="0.3">
      <c r="A2875" s="7">
        <v>2874</v>
      </c>
      <c r="B2875" s="6">
        <v>79</v>
      </c>
      <c r="C2875" s="13">
        <v>7531077</v>
      </c>
      <c r="D2875" t="s">
        <v>88</v>
      </c>
      <c r="E2875" s="13">
        <v>42</v>
      </c>
      <c r="F2875" s="10" t="s">
        <v>20</v>
      </c>
      <c r="J2875" s="138" t="s">
        <v>1292</v>
      </c>
      <c r="K2875" s="138" t="s">
        <v>1292</v>
      </c>
      <c r="L2875" s="138" t="s">
        <v>1292</v>
      </c>
      <c r="M2875" s="13"/>
      <c r="N2875" s="89" t="s">
        <v>1292</v>
      </c>
      <c r="P2875" t="str">
        <f>VLOOKUP(B2875,PTN!A:B,2,FALSE)</f>
        <v>UNIVERSITAS SEMBILAN BELAS NOVEMBER KOLAKA</v>
      </c>
      <c r="Q2875" t="str">
        <f t="shared" si="44"/>
        <v>UNIVERSITAS SEMBILAN BELAS NOVEMBER KOLAKAPETERNAKAN</v>
      </c>
    </row>
    <row r="2876" spans="1:17" ht="15.75" thickBot="1" x14ac:dyDescent="0.3">
      <c r="A2876" s="7">
        <v>2875</v>
      </c>
      <c r="B2876" s="6">
        <v>79</v>
      </c>
      <c r="C2876" s="12">
        <v>7531023</v>
      </c>
      <c r="D2876" t="s">
        <v>46</v>
      </c>
      <c r="E2876" s="12">
        <v>88</v>
      </c>
      <c r="F2876" s="10" t="s">
        <v>20</v>
      </c>
      <c r="J2876" s="138" t="s">
        <v>1292</v>
      </c>
      <c r="K2876" s="138" t="s">
        <v>1292</v>
      </c>
      <c r="L2876" s="138" t="s">
        <v>1292</v>
      </c>
      <c r="M2876" s="12"/>
      <c r="N2876" s="88" t="s">
        <v>1292</v>
      </c>
      <c r="P2876" t="str">
        <f>VLOOKUP(B2876,PTN!A:B,2,FALSE)</f>
        <v>UNIVERSITAS SEMBILAN BELAS NOVEMBER KOLAKA</v>
      </c>
      <c r="Q2876" t="str">
        <f t="shared" si="44"/>
        <v>UNIVERSITAS SEMBILAN BELAS NOVEMBER KOLAKASISTEM INFORMASI</v>
      </c>
    </row>
    <row r="2877" spans="1:17" ht="15.75" thickBot="1" x14ac:dyDescent="0.3">
      <c r="A2877" s="7">
        <v>2876</v>
      </c>
      <c r="B2877" s="6">
        <v>79</v>
      </c>
      <c r="C2877" s="13">
        <v>7531046</v>
      </c>
      <c r="D2877" t="s">
        <v>239</v>
      </c>
      <c r="E2877" s="13">
        <v>56</v>
      </c>
      <c r="F2877" s="10" t="s">
        <v>20</v>
      </c>
      <c r="J2877" s="138" t="s">
        <v>1292</v>
      </c>
      <c r="K2877" s="138" t="s">
        <v>1292</v>
      </c>
      <c r="L2877" s="138" t="s">
        <v>1292</v>
      </c>
      <c r="M2877" s="13"/>
      <c r="N2877" s="89" t="s">
        <v>1292</v>
      </c>
      <c r="P2877" t="str">
        <f>VLOOKUP(B2877,PTN!A:B,2,FALSE)</f>
        <v>UNIVERSITAS SEMBILAN BELAS NOVEMBER KOLAKA</v>
      </c>
      <c r="Q2877" t="str">
        <f t="shared" si="44"/>
        <v>UNIVERSITAS SEMBILAN BELAS NOVEMBER KOLAKATEKNIK PERTAMBANGAN</v>
      </c>
    </row>
    <row r="2878" spans="1:17" ht="15.75" thickBot="1" x14ac:dyDescent="0.3">
      <c r="A2878" s="7">
        <v>2877</v>
      </c>
      <c r="B2878" s="6">
        <v>79</v>
      </c>
      <c r="C2878" s="12">
        <v>7531031</v>
      </c>
      <c r="D2878" t="s">
        <v>54</v>
      </c>
      <c r="E2878" s="12">
        <v>56</v>
      </c>
      <c r="F2878" s="10" t="s">
        <v>20</v>
      </c>
      <c r="J2878" s="138" t="s">
        <v>1292</v>
      </c>
      <c r="K2878" s="138" t="s">
        <v>1292</v>
      </c>
      <c r="L2878" s="138" t="s">
        <v>1292</v>
      </c>
      <c r="M2878" s="12"/>
      <c r="N2878" s="88" t="s">
        <v>1292</v>
      </c>
      <c r="P2878" t="str">
        <f>VLOOKUP(B2878,PTN!A:B,2,FALSE)</f>
        <v>UNIVERSITAS SEMBILAN BELAS NOVEMBER KOLAKA</v>
      </c>
      <c r="Q2878" t="str">
        <f t="shared" si="44"/>
        <v>UNIVERSITAS SEMBILAN BELAS NOVEMBER KOLAKATEKNIK SIPIL</v>
      </c>
    </row>
    <row r="2879" spans="1:17" ht="15.75" thickBot="1" x14ac:dyDescent="0.3">
      <c r="A2879" s="7">
        <v>2878</v>
      </c>
      <c r="B2879" s="6">
        <v>79</v>
      </c>
      <c r="C2879" s="16">
        <v>7531112</v>
      </c>
      <c r="D2879" t="s">
        <v>96</v>
      </c>
      <c r="E2879" s="16">
        <v>42</v>
      </c>
      <c r="F2879" s="10" t="s">
        <v>20</v>
      </c>
      <c r="J2879" s="138" t="s">
        <v>1292</v>
      </c>
      <c r="K2879" s="138" t="s">
        <v>1292</v>
      </c>
      <c r="L2879" s="138" t="s">
        <v>1292</v>
      </c>
      <c r="M2879" s="13"/>
      <c r="N2879" s="89" t="s">
        <v>1292</v>
      </c>
      <c r="P2879" t="str">
        <f>VLOOKUP(B2879,PTN!A:B,2,FALSE)</f>
        <v>UNIVERSITAS SEMBILAN BELAS NOVEMBER KOLAKA</v>
      </c>
      <c r="Q2879" t="str">
        <f t="shared" si="44"/>
        <v>UNIVERSITAS SEMBILAN BELAS NOVEMBER KOLAKATEKNOLOGI HASIL PERTANIAN</v>
      </c>
    </row>
    <row r="2880" spans="1:17" ht="16.5" thickTop="1" thickBot="1" x14ac:dyDescent="0.3">
      <c r="A2880" s="7">
        <v>2879</v>
      </c>
      <c r="B2880" s="6">
        <v>79</v>
      </c>
      <c r="C2880" s="12">
        <v>7532026</v>
      </c>
      <c r="D2880" t="s">
        <v>385</v>
      </c>
      <c r="E2880" s="12">
        <v>70</v>
      </c>
      <c r="F2880" s="10" t="s">
        <v>13</v>
      </c>
      <c r="J2880" s="138" t="s">
        <v>1292</v>
      </c>
      <c r="K2880" s="138" t="s">
        <v>1292</v>
      </c>
      <c r="L2880" s="138" t="s">
        <v>1292</v>
      </c>
      <c r="M2880" s="21"/>
      <c r="N2880" s="83" t="s">
        <v>1292</v>
      </c>
      <c r="P2880" t="str">
        <f>VLOOKUP(B2880,PTN!A:B,2,FALSE)</f>
        <v>UNIVERSITAS SEMBILAN BELAS NOVEMBER KOLAKA</v>
      </c>
      <c r="Q2880" t="str">
        <f t="shared" si="44"/>
        <v>UNIVERSITAS SEMBILAN BELAS NOVEMBER KOLAKAADMINISTRASI PUBLIK</v>
      </c>
    </row>
    <row r="2881" spans="1:17" ht="15.75" thickBot="1" x14ac:dyDescent="0.3">
      <c r="A2881" s="7">
        <v>2880</v>
      </c>
      <c r="B2881" s="6">
        <v>79</v>
      </c>
      <c r="C2881" s="13">
        <v>7532065</v>
      </c>
      <c r="D2881" t="s">
        <v>55</v>
      </c>
      <c r="E2881" s="13">
        <v>56</v>
      </c>
      <c r="F2881" s="10" t="s">
        <v>13</v>
      </c>
      <c r="J2881" s="138" t="s">
        <v>1292</v>
      </c>
      <c r="K2881" s="138" t="s">
        <v>1292</v>
      </c>
      <c r="L2881" s="138" t="s">
        <v>1292</v>
      </c>
      <c r="M2881" s="21"/>
      <c r="N2881" s="83" t="s">
        <v>1292</v>
      </c>
      <c r="P2881" t="str">
        <f>VLOOKUP(B2881,PTN!A:B,2,FALSE)</f>
        <v>UNIVERSITAS SEMBILAN BELAS NOVEMBER KOLAKA</v>
      </c>
      <c r="Q2881" t="str">
        <f t="shared" si="44"/>
        <v>UNIVERSITAS SEMBILAN BELAS NOVEMBER KOLAKAAKUNTANSI</v>
      </c>
    </row>
    <row r="2882" spans="1:17" ht="16.5" thickTop="1" thickBot="1" x14ac:dyDescent="0.3">
      <c r="A2882" s="7">
        <v>2881</v>
      </c>
      <c r="B2882" s="6">
        <v>79</v>
      </c>
      <c r="C2882" s="12">
        <v>7532107</v>
      </c>
      <c r="D2882" t="s">
        <v>69</v>
      </c>
      <c r="E2882" s="12">
        <v>42</v>
      </c>
      <c r="F2882" s="10" t="s">
        <v>13</v>
      </c>
      <c r="J2882" s="138" t="s">
        <v>1292</v>
      </c>
      <c r="K2882" s="138" t="s">
        <v>1292</v>
      </c>
      <c r="L2882" s="138" t="s">
        <v>1292</v>
      </c>
      <c r="M2882" s="24"/>
      <c r="N2882" s="84" t="s">
        <v>1292</v>
      </c>
      <c r="P2882" t="str">
        <f>VLOOKUP(B2882,PTN!A:B,2,FALSE)</f>
        <v>UNIVERSITAS SEMBILAN BELAS NOVEMBER KOLAKA</v>
      </c>
      <c r="Q2882" t="str">
        <f t="shared" si="44"/>
        <v>UNIVERSITAS SEMBILAN BELAS NOVEMBER KOLAKAEKONOMI PEMBANGUNAN</v>
      </c>
    </row>
    <row r="2883" spans="1:17" ht="16.5" thickTop="1" thickBot="1" x14ac:dyDescent="0.3">
      <c r="A2883" s="7">
        <v>2882</v>
      </c>
      <c r="B2883" s="6">
        <v>79</v>
      </c>
      <c r="C2883" s="13">
        <v>7532011</v>
      </c>
      <c r="D2883" t="s">
        <v>112</v>
      </c>
      <c r="E2883" s="13">
        <v>70</v>
      </c>
      <c r="F2883" s="10" t="s">
        <v>13</v>
      </c>
      <c r="J2883" s="138" t="s">
        <v>1292</v>
      </c>
      <c r="K2883" s="138" t="s">
        <v>1292</v>
      </c>
      <c r="L2883" s="138" t="s">
        <v>1292</v>
      </c>
      <c r="M2883" s="12"/>
      <c r="N2883" s="88" t="s">
        <v>1292</v>
      </c>
      <c r="P2883" t="str">
        <f>VLOOKUP(B2883,PTN!A:B,2,FALSE)</f>
        <v>UNIVERSITAS SEMBILAN BELAS NOVEMBER KOLAKA</v>
      </c>
      <c r="Q2883" t="str">
        <f t="shared" ref="Q2883:Q2946" si="45">P2883&amp;D2883</f>
        <v>UNIVERSITAS SEMBILAN BELAS NOVEMBER KOLAKAHUKUM</v>
      </c>
    </row>
    <row r="2884" spans="1:17" ht="15.75" thickBot="1" x14ac:dyDescent="0.3">
      <c r="A2884" s="7">
        <v>2883</v>
      </c>
      <c r="B2884" s="6">
        <v>79</v>
      </c>
      <c r="C2884" s="12">
        <v>7532081</v>
      </c>
      <c r="D2884" t="s">
        <v>61</v>
      </c>
      <c r="E2884" s="12">
        <v>42</v>
      </c>
      <c r="F2884" s="10" t="s">
        <v>13</v>
      </c>
      <c r="J2884" s="138" t="s">
        <v>1292</v>
      </c>
      <c r="K2884" s="138" t="s">
        <v>1292</v>
      </c>
      <c r="L2884" s="138" t="s">
        <v>1292</v>
      </c>
      <c r="M2884" s="13"/>
      <c r="N2884" s="89" t="s">
        <v>1292</v>
      </c>
      <c r="P2884" t="str">
        <f>VLOOKUP(B2884,PTN!A:B,2,FALSE)</f>
        <v>UNIVERSITAS SEMBILAN BELAS NOVEMBER KOLAKA</v>
      </c>
      <c r="Q2884" t="str">
        <f t="shared" si="45"/>
        <v>UNIVERSITAS SEMBILAN BELAS NOVEMBER KOLAKAMANAJEMEN</v>
      </c>
    </row>
    <row r="2885" spans="1:17" ht="15.75" thickBot="1" x14ac:dyDescent="0.3">
      <c r="A2885" s="7">
        <v>2884</v>
      </c>
      <c r="B2885" s="6">
        <v>79</v>
      </c>
      <c r="C2885" s="13">
        <v>7532034</v>
      </c>
      <c r="D2885" t="s">
        <v>70</v>
      </c>
      <c r="E2885" s="13">
        <v>56</v>
      </c>
      <c r="F2885" s="10" t="s">
        <v>13</v>
      </c>
      <c r="J2885" s="138" t="s">
        <v>1292</v>
      </c>
      <c r="K2885" s="138" t="s">
        <v>1292</v>
      </c>
      <c r="L2885" s="138" t="s">
        <v>1292</v>
      </c>
      <c r="M2885" s="12"/>
      <c r="N2885" s="88" t="s">
        <v>1292</v>
      </c>
      <c r="P2885" t="str">
        <f>VLOOKUP(B2885,PTN!A:B,2,FALSE)</f>
        <v>UNIVERSITAS SEMBILAN BELAS NOVEMBER KOLAKA</v>
      </c>
      <c r="Q2885" t="str">
        <f t="shared" si="45"/>
        <v>UNIVERSITAS SEMBILAN BELAS NOVEMBER KOLAKAPENDIDIKAN BAHASA INDONESIA</v>
      </c>
    </row>
    <row r="2886" spans="1:17" ht="15.75" thickBot="1" x14ac:dyDescent="0.3">
      <c r="A2886" s="7">
        <v>2885</v>
      </c>
      <c r="B2886" s="6">
        <v>79</v>
      </c>
      <c r="C2886" s="12">
        <v>7532042</v>
      </c>
      <c r="D2886" t="s">
        <v>71</v>
      </c>
      <c r="E2886" s="12">
        <v>56</v>
      </c>
      <c r="F2886" s="10" t="s">
        <v>13</v>
      </c>
      <c r="J2886" s="138" t="s">
        <v>1292</v>
      </c>
      <c r="K2886" s="138" t="s">
        <v>1292</v>
      </c>
      <c r="L2886" s="138" t="s">
        <v>1292</v>
      </c>
      <c r="M2886" s="13"/>
      <c r="N2886" s="89" t="s">
        <v>1292</v>
      </c>
      <c r="P2886" t="str">
        <f>VLOOKUP(B2886,PTN!A:B,2,FALSE)</f>
        <v>UNIVERSITAS SEMBILAN BELAS NOVEMBER KOLAKA</v>
      </c>
      <c r="Q2886" t="str">
        <f t="shared" si="45"/>
        <v>UNIVERSITAS SEMBILAN BELAS NOVEMBER KOLAKAPENDIDIKAN BAHASA INGGRIS</v>
      </c>
    </row>
    <row r="2887" spans="1:17" ht="15.75" thickBot="1" x14ac:dyDescent="0.3">
      <c r="A2887" s="7">
        <v>2886</v>
      </c>
      <c r="B2887" s="6">
        <v>79</v>
      </c>
      <c r="C2887" s="13">
        <v>7532057</v>
      </c>
      <c r="D2887" t="s">
        <v>72</v>
      </c>
      <c r="E2887" s="13">
        <v>70</v>
      </c>
      <c r="F2887" s="10" t="s">
        <v>13</v>
      </c>
      <c r="J2887" s="138" t="s">
        <v>1292</v>
      </c>
      <c r="K2887" s="138" t="s">
        <v>1292</v>
      </c>
      <c r="L2887" s="138" t="s">
        <v>1292</v>
      </c>
      <c r="M2887" s="12"/>
      <c r="N2887" s="88" t="s">
        <v>1292</v>
      </c>
      <c r="P2887" t="str">
        <f>VLOOKUP(B2887,PTN!A:B,2,FALSE)</f>
        <v>UNIVERSITAS SEMBILAN BELAS NOVEMBER KOLAKA</v>
      </c>
      <c r="Q2887" t="str">
        <f t="shared" si="45"/>
        <v>UNIVERSITAS SEMBILAN BELAS NOVEMBER KOLAKAPENDIDIKAN GEOGRAFI</v>
      </c>
    </row>
    <row r="2888" spans="1:17" ht="15.75" thickBot="1" x14ac:dyDescent="0.3">
      <c r="A2888" s="7">
        <v>2887</v>
      </c>
      <c r="B2888" s="6">
        <v>79</v>
      </c>
      <c r="C2888" s="12">
        <v>7532096</v>
      </c>
      <c r="D2888" t="s">
        <v>329</v>
      </c>
      <c r="E2888" s="12">
        <v>56</v>
      </c>
      <c r="F2888" s="10" t="s">
        <v>13</v>
      </c>
      <c r="J2888" s="138" t="s">
        <v>1292</v>
      </c>
      <c r="K2888" s="138" t="s">
        <v>1292</v>
      </c>
      <c r="L2888" s="138" t="s">
        <v>1292</v>
      </c>
      <c r="M2888" s="13"/>
      <c r="N2888" s="89" t="s">
        <v>1292</v>
      </c>
      <c r="P2888" t="str">
        <f>VLOOKUP(B2888,PTN!A:B,2,FALSE)</f>
        <v>UNIVERSITAS SEMBILAN BELAS NOVEMBER KOLAKA</v>
      </c>
      <c r="Q2888" t="str">
        <f t="shared" si="45"/>
        <v>UNIVERSITAS SEMBILAN BELAS NOVEMBER KOLAKAPENDIDIKAN JASMANI</v>
      </c>
    </row>
    <row r="2889" spans="1:17" ht="15.75" thickBot="1" x14ac:dyDescent="0.3">
      <c r="A2889" s="7">
        <v>2888</v>
      </c>
      <c r="B2889" s="6">
        <v>79</v>
      </c>
      <c r="C2889" s="16">
        <v>7532073</v>
      </c>
      <c r="D2889" t="s">
        <v>103</v>
      </c>
      <c r="E2889" s="16">
        <v>42</v>
      </c>
      <c r="F2889" s="10" t="s">
        <v>13</v>
      </c>
      <c r="J2889" s="138" t="s">
        <v>1292</v>
      </c>
      <c r="K2889" s="138" t="s">
        <v>1292</v>
      </c>
      <c r="L2889" s="138" t="s">
        <v>1292</v>
      </c>
      <c r="M2889" s="12"/>
      <c r="N2889" s="88" t="s">
        <v>1292</v>
      </c>
      <c r="P2889" t="str">
        <f>VLOOKUP(B2889,PTN!A:B,2,FALSE)</f>
        <v>UNIVERSITAS SEMBILAN BELAS NOVEMBER KOLAKA</v>
      </c>
      <c r="Q2889" t="str">
        <f t="shared" si="45"/>
        <v>UNIVERSITAS SEMBILAN BELAS NOVEMBER KOLAKAPENDIDIKAN PANCASILA DAN KEWARGANEGARAAN</v>
      </c>
    </row>
    <row r="2890" spans="1:17" ht="16.5" thickTop="1" thickBot="1" x14ac:dyDescent="0.3">
      <c r="A2890" s="7">
        <v>2889</v>
      </c>
      <c r="B2890" s="6">
        <v>78</v>
      </c>
      <c r="C2890" s="12">
        <v>7521102</v>
      </c>
      <c r="D2890" t="s">
        <v>37</v>
      </c>
      <c r="E2890" s="12">
        <v>30</v>
      </c>
      <c r="F2890" s="10" t="s">
        <v>20</v>
      </c>
      <c r="J2890" s="138" t="s">
        <v>1292</v>
      </c>
      <c r="K2890" s="138" t="s">
        <v>1292</v>
      </c>
      <c r="L2890" s="138" t="s">
        <v>1292</v>
      </c>
      <c r="M2890" s="21"/>
      <c r="N2890" s="83" t="s">
        <v>1292</v>
      </c>
      <c r="P2890" t="str">
        <f>VLOOKUP(B2890,PTN!A:B,2,FALSE)</f>
        <v>UNIVERSITAS NEGERI GORONTALO</v>
      </c>
      <c r="Q2890" t="str">
        <f t="shared" si="45"/>
        <v>UNIVERSITAS NEGERI GORONTALOAGRIBISNIS</v>
      </c>
    </row>
    <row r="2891" spans="1:17" ht="15.75" thickBot="1" x14ac:dyDescent="0.3">
      <c r="A2891" s="7">
        <v>2890</v>
      </c>
      <c r="B2891" s="6">
        <v>78</v>
      </c>
      <c r="C2891" s="13">
        <v>7521075</v>
      </c>
      <c r="D2891" t="s">
        <v>64</v>
      </c>
      <c r="E2891" s="13">
        <v>33</v>
      </c>
      <c r="F2891" s="10" t="s">
        <v>20</v>
      </c>
      <c r="J2891" s="138" t="s">
        <v>1292</v>
      </c>
      <c r="K2891" s="138" t="s">
        <v>1292</v>
      </c>
      <c r="L2891" s="138" t="s">
        <v>1292</v>
      </c>
      <c r="M2891" s="21"/>
      <c r="N2891" s="83" t="s">
        <v>1292</v>
      </c>
      <c r="P2891" t="str">
        <f>VLOOKUP(B2891,PTN!A:B,2,FALSE)</f>
        <v>UNIVERSITAS NEGERI GORONTALO</v>
      </c>
      <c r="Q2891" t="str">
        <f t="shared" si="45"/>
        <v>UNIVERSITAS NEGERI GORONTALOAGROTEKNOLOGI</v>
      </c>
    </row>
    <row r="2892" spans="1:17" ht="16.5" thickTop="1" thickBot="1" x14ac:dyDescent="0.3">
      <c r="A2892" s="7">
        <v>2891</v>
      </c>
      <c r="B2892" s="6">
        <v>78</v>
      </c>
      <c r="C2892" s="12">
        <v>7521292</v>
      </c>
      <c r="D2892" t="s">
        <v>21</v>
      </c>
      <c r="E2892" s="12">
        <v>27</v>
      </c>
      <c r="F2892" s="10" t="s">
        <v>20</v>
      </c>
      <c r="J2892" s="138" t="s">
        <v>1292</v>
      </c>
      <c r="K2892" s="138" t="s">
        <v>1292</v>
      </c>
      <c r="L2892" s="138" t="s">
        <v>1292</v>
      </c>
      <c r="M2892" s="24"/>
      <c r="N2892" s="84" t="s">
        <v>1292</v>
      </c>
      <c r="P2892" t="str">
        <f>VLOOKUP(B2892,PTN!A:B,2,FALSE)</f>
        <v>UNIVERSITAS NEGERI GORONTALO</v>
      </c>
      <c r="Q2892" t="str">
        <f t="shared" si="45"/>
        <v>UNIVERSITAS NEGERI GORONTALOBIOLOGI</v>
      </c>
    </row>
    <row r="2893" spans="1:17" ht="16.5" thickTop="1" thickBot="1" x14ac:dyDescent="0.3">
      <c r="A2893" s="7">
        <v>2892</v>
      </c>
      <c r="B2893" s="6">
        <v>78</v>
      </c>
      <c r="C2893" s="13">
        <v>7521141</v>
      </c>
      <c r="D2893" t="s">
        <v>39</v>
      </c>
      <c r="E2893" s="13">
        <v>50</v>
      </c>
      <c r="F2893" s="10" t="s">
        <v>20</v>
      </c>
      <c r="J2893" s="138" t="s">
        <v>1292</v>
      </c>
      <c r="K2893" s="138" t="s">
        <v>1292</v>
      </c>
      <c r="L2893" s="138" t="s">
        <v>1292</v>
      </c>
      <c r="M2893" s="12"/>
      <c r="N2893" s="88" t="s">
        <v>1292</v>
      </c>
      <c r="P2893" t="str">
        <f>VLOOKUP(B2893,PTN!A:B,2,FALSE)</f>
        <v>UNIVERSITAS NEGERI GORONTALO</v>
      </c>
      <c r="Q2893" t="str">
        <f t="shared" si="45"/>
        <v>UNIVERSITAS NEGERI GORONTALOBUDIDAYA PERAIRAN</v>
      </c>
    </row>
    <row r="2894" spans="1:17" ht="15.75" thickBot="1" x14ac:dyDescent="0.3">
      <c r="A2894" s="7">
        <v>2893</v>
      </c>
      <c r="B2894" s="6">
        <v>78</v>
      </c>
      <c r="C2894" s="12">
        <v>7521206</v>
      </c>
      <c r="D2894" t="s">
        <v>77</v>
      </c>
      <c r="E2894" s="12">
        <v>35</v>
      </c>
      <c r="F2894" s="10" t="s">
        <v>20</v>
      </c>
      <c r="J2894" s="138" t="s">
        <v>1292</v>
      </c>
      <c r="K2894" s="138" t="s">
        <v>1292</v>
      </c>
      <c r="L2894" s="138" t="s">
        <v>1292</v>
      </c>
      <c r="M2894" s="13"/>
      <c r="N2894" s="89" t="s">
        <v>1292</v>
      </c>
      <c r="P2894" t="str">
        <f>VLOOKUP(B2894,PTN!A:B,2,FALSE)</f>
        <v>UNIVERSITAS NEGERI GORONTALO</v>
      </c>
      <c r="Q2894" t="str">
        <f t="shared" si="45"/>
        <v>UNIVERSITAS NEGERI GORONTALOFARMASI</v>
      </c>
    </row>
    <row r="2895" spans="1:17" ht="15.75" thickBot="1" x14ac:dyDescent="0.3">
      <c r="A2895" s="7">
        <v>2894</v>
      </c>
      <c r="B2895" s="6">
        <v>78</v>
      </c>
      <c r="C2895" s="13">
        <v>7521303</v>
      </c>
      <c r="D2895" t="s">
        <v>65</v>
      </c>
      <c r="E2895" s="13">
        <v>8</v>
      </c>
      <c r="F2895" s="10" t="s">
        <v>20</v>
      </c>
      <c r="J2895" s="138" t="s">
        <v>1292</v>
      </c>
      <c r="K2895" s="138" t="s">
        <v>1292</v>
      </c>
      <c r="L2895" s="138" t="s">
        <v>1292</v>
      </c>
      <c r="M2895" s="12"/>
      <c r="N2895" s="88" t="s">
        <v>1292</v>
      </c>
      <c r="P2895" t="str">
        <f>VLOOKUP(B2895,PTN!A:B,2,FALSE)</f>
        <v>UNIVERSITAS NEGERI GORONTALO</v>
      </c>
      <c r="Q2895" t="str">
        <f t="shared" si="45"/>
        <v>UNIVERSITAS NEGERI GORONTALOFISIKA</v>
      </c>
    </row>
    <row r="2896" spans="1:17" ht="15.75" thickBot="1" x14ac:dyDescent="0.3">
      <c r="A2896" s="7">
        <v>2895</v>
      </c>
      <c r="B2896" s="6">
        <v>78</v>
      </c>
      <c r="C2896" s="12">
        <v>7521253</v>
      </c>
      <c r="D2896" t="s">
        <v>709</v>
      </c>
      <c r="E2896" s="12">
        <v>30</v>
      </c>
      <c r="F2896" s="10" t="s">
        <v>20</v>
      </c>
      <c r="J2896" s="138" t="s">
        <v>1292</v>
      </c>
      <c r="K2896" s="138" t="s">
        <v>1292</v>
      </c>
      <c r="L2896" s="138" t="s">
        <v>1292</v>
      </c>
      <c r="M2896" s="13"/>
      <c r="N2896" s="89" t="s">
        <v>1292</v>
      </c>
      <c r="P2896" t="str">
        <f>VLOOKUP(B2896,PTN!A:B,2,FALSE)</f>
        <v>UNIVERSITAS NEGERI GORONTALO</v>
      </c>
      <c r="Q2896" t="str">
        <f t="shared" si="45"/>
        <v>UNIVERSITAS NEGERI GORONTALOILMU TEKNOLOGI PANGAN</v>
      </c>
    </row>
    <row r="2897" spans="1:17" ht="15.75" thickBot="1" x14ac:dyDescent="0.3">
      <c r="A2897" s="7">
        <v>2896</v>
      </c>
      <c r="B2897" s="6">
        <v>78</v>
      </c>
      <c r="C2897" s="13">
        <v>7521164</v>
      </c>
      <c r="D2897" t="s">
        <v>339</v>
      </c>
      <c r="E2897" s="13">
        <v>38</v>
      </c>
      <c r="F2897" s="10" t="s">
        <v>20</v>
      </c>
      <c r="J2897" s="138" t="s">
        <v>1292</v>
      </c>
      <c r="K2897" s="138" t="s">
        <v>1292</v>
      </c>
      <c r="L2897" s="138" t="s">
        <v>1292</v>
      </c>
      <c r="M2897" s="12"/>
      <c r="N2897" s="88" t="s">
        <v>1292</v>
      </c>
      <c r="P2897" t="str">
        <f>VLOOKUP(B2897,PTN!A:B,2,FALSE)</f>
        <v>UNIVERSITAS NEGERI GORONTALO</v>
      </c>
      <c r="Q2897" t="str">
        <f t="shared" si="45"/>
        <v>UNIVERSITAS NEGERI GORONTALOKEPERAWATAN</v>
      </c>
    </row>
    <row r="2898" spans="1:17" ht="15.75" thickBot="1" x14ac:dyDescent="0.3">
      <c r="A2898" s="7">
        <v>2897</v>
      </c>
      <c r="B2898" s="6">
        <v>78</v>
      </c>
      <c r="C2898" s="12">
        <v>7521117</v>
      </c>
      <c r="D2898" t="s">
        <v>107</v>
      </c>
      <c r="E2898" s="12">
        <v>55</v>
      </c>
      <c r="F2898" s="10" t="s">
        <v>20</v>
      </c>
      <c r="J2898" s="138" t="s">
        <v>1292</v>
      </c>
      <c r="K2898" s="138" t="s">
        <v>1292</v>
      </c>
      <c r="L2898" s="138" t="s">
        <v>1292</v>
      </c>
      <c r="M2898" s="13"/>
      <c r="N2898" s="89" t="s">
        <v>1292</v>
      </c>
      <c r="P2898" t="str">
        <f>VLOOKUP(B2898,PTN!A:B,2,FALSE)</f>
        <v>UNIVERSITAS NEGERI GORONTALO</v>
      </c>
      <c r="Q2898" t="str">
        <f t="shared" si="45"/>
        <v>UNIVERSITAS NEGERI GORONTALOKESEHATAN MASYARAKAT</v>
      </c>
    </row>
    <row r="2899" spans="1:17" ht="15.75" thickBot="1" x14ac:dyDescent="0.3">
      <c r="A2899" s="7">
        <v>2898</v>
      </c>
      <c r="B2899" s="6">
        <v>78</v>
      </c>
      <c r="C2899" s="13">
        <v>7521284</v>
      </c>
      <c r="D2899" t="s">
        <v>22</v>
      </c>
      <c r="E2899" s="13">
        <v>24</v>
      </c>
      <c r="F2899" s="10" t="s">
        <v>20</v>
      </c>
      <c r="J2899" s="138" t="s">
        <v>1292</v>
      </c>
      <c r="K2899" s="138" t="s">
        <v>1292</v>
      </c>
      <c r="L2899" s="138" t="s">
        <v>1292</v>
      </c>
      <c r="M2899" s="12"/>
      <c r="N2899" s="88" t="s">
        <v>1292</v>
      </c>
      <c r="P2899" t="str">
        <f>VLOOKUP(B2899,PTN!A:B,2,FALSE)</f>
        <v>UNIVERSITAS NEGERI GORONTALO</v>
      </c>
      <c r="Q2899" t="str">
        <f t="shared" si="45"/>
        <v>UNIVERSITAS NEGERI GORONTALOKIMIA</v>
      </c>
    </row>
    <row r="2900" spans="1:17" ht="15.75" thickBot="1" x14ac:dyDescent="0.3">
      <c r="A2900" s="7">
        <v>2899</v>
      </c>
      <c r="B2900" s="6">
        <v>78</v>
      </c>
      <c r="C2900" s="12">
        <v>7521125</v>
      </c>
      <c r="D2900" t="s">
        <v>710</v>
      </c>
      <c r="E2900" s="12">
        <v>50</v>
      </c>
      <c r="F2900" s="10" t="s">
        <v>20</v>
      </c>
      <c r="J2900" s="138" t="s">
        <v>1292</v>
      </c>
      <c r="K2900" s="138" t="s">
        <v>1292</v>
      </c>
      <c r="L2900" s="138" t="s">
        <v>1292</v>
      </c>
      <c r="M2900" s="13"/>
      <c r="N2900" s="89" t="s">
        <v>1292</v>
      </c>
      <c r="P2900" t="str">
        <f>VLOOKUP(B2900,PTN!A:B,2,FALSE)</f>
        <v>UNIVERSITAS NEGERI GORONTALO</v>
      </c>
      <c r="Q2900" t="str">
        <f t="shared" si="45"/>
        <v>UNIVERSITAS NEGERI GORONTALOMANAJAMEN SUMBERDAYA PERAIRAN</v>
      </c>
    </row>
    <row r="2901" spans="1:17" ht="15.75" thickBot="1" x14ac:dyDescent="0.3">
      <c r="A2901" s="7">
        <v>2900</v>
      </c>
      <c r="B2901" s="6">
        <v>78</v>
      </c>
      <c r="C2901" s="13">
        <v>7521311</v>
      </c>
      <c r="D2901" t="s">
        <v>66</v>
      </c>
      <c r="E2901" s="13">
        <v>15</v>
      </c>
      <c r="F2901" s="10" t="s">
        <v>20</v>
      </c>
      <c r="J2901" s="138" t="s">
        <v>1292</v>
      </c>
      <c r="K2901" s="138" t="s">
        <v>1292</v>
      </c>
      <c r="L2901" s="138" t="s">
        <v>1292</v>
      </c>
      <c r="M2901" s="12"/>
      <c r="N2901" s="88" t="s">
        <v>1292</v>
      </c>
      <c r="P2901" t="str">
        <f>VLOOKUP(B2901,PTN!A:B,2,FALSE)</f>
        <v>UNIVERSITAS NEGERI GORONTALO</v>
      </c>
      <c r="Q2901" t="str">
        <f t="shared" si="45"/>
        <v>UNIVERSITAS NEGERI GORONTALOMATEMATIKA</v>
      </c>
    </row>
    <row r="2902" spans="1:17" ht="15.75" thickBot="1" x14ac:dyDescent="0.3">
      <c r="A2902" s="7">
        <v>2901</v>
      </c>
      <c r="B2902" s="6">
        <v>78</v>
      </c>
      <c r="C2902" s="12">
        <v>7521036</v>
      </c>
      <c r="D2902" t="s">
        <v>67</v>
      </c>
      <c r="E2902" s="12">
        <v>27</v>
      </c>
      <c r="F2902" s="10" t="s">
        <v>20</v>
      </c>
      <c r="J2902" s="138" t="s">
        <v>1292</v>
      </c>
      <c r="K2902" s="138" t="s">
        <v>1292</v>
      </c>
      <c r="L2902" s="138" t="s">
        <v>1292</v>
      </c>
      <c r="M2902" s="13"/>
      <c r="N2902" s="89" t="s">
        <v>1292</v>
      </c>
      <c r="P2902" t="str">
        <f>VLOOKUP(B2902,PTN!A:B,2,FALSE)</f>
        <v>UNIVERSITAS NEGERI GORONTALO</v>
      </c>
      <c r="Q2902" t="str">
        <f t="shared" si="45"/>
        <v>UNIVERSITAS NEGERI GORONTALOPENDIDIKAN BIOLOGI</v>
      </c>
    </row>
    <row r="2903" spans="1:17" ht="15.75" thickBot="1" x14ac:dyDescent="0.3">
      <c r="A2903" s="7">
        <v>2902</v>
      </c>
      <c r="B2903" s="6">
        <v>78</v>
      </c>
      <c r="C2903" s="13">
        <v>7521021</v>
      </c>
      <c r="D2903" t="s">
        <v>42</v>
      </c>
      <c r="E2903" s="13">
        <v>15</v>
      </c>
      <c r="F2903" s="10" t="s">
        <v>20</v>
      </c>
      <c r="J2903" s="138" t="s">
        <v>1292</v>
      </c>
      <c r="K2903" s="138" t="s">
        <v>1292</v>
      </c>
      <c r="L2903" s="138" t="s">
        <v>1292</v>
      </c>
      <c r="M2903" s="12"/>
      <c r="N2903" s="88" t="s">
        <v>1292</v>
      </c>
      <c r="P2903" t="str">
        <f>VLOOKUP(B2903,PTN!A:B,2,FALSE)</f>
        <v>UNIVERSITAS NEGERI GORONTALO</v>
      </c>
      <c r="Q2903" t="str">
        <f t="shared" si="45"/>
        <v>UNIVERSITAS NEGERI GORONTALOPENDIDIKAN FISIKA</v>
      </c>
    </row>
    <row r="2904" spans="1:17" ht="15.75" thickBot="1" x14ac:dyDescent="0.3">
      <c r="A2904" s="7">
        <v>2903</v>
      </c>
      <c r="B2904" s="6">
        <v>78</v>
      </c>
      <c r="C2904" s="12">
        <v>7521052</v>
      </c>
      <c r="D2904" t="s">
        <v>72</v>
      </c>
      <c r="E2904" s="12">
        <v>30</v>
      </c>
      <c r="F2904" s="10" t="s">
        <v>20</v>
      </c>
      <c r="J2904" s="138" t="s">
        <v>1292</v>
      </c>
      <c r="K2904" s="138" t="s">
        <v>1292</v>
      </c>
      <c r="L2904" s="138" t="s">
        <v>1292</v>
      </c>
      <c r="M2904" s="13"/>
      <c r="N2904" s="89" t="s">
        <v>1292</v>
      </c>
      <c r="P2904" t="str">
        <f>VLOOKUP(B2904,PTN!A:B,2,FALSE)</f>
        <v>UNIVERSITAS NEGERI GORONTALO</v>
      </c>
      <c r="Q2904" t="str">
        <f t="shared" si="45"/>
        <v>UNIVERSITAS NEGERI GORONTALOPENDIDIKAN GEOGRAFI</v>
      </c>
    </row>
    <row r="2905" spans="1:17" ht="15.75" thickBot="1" x14ac:dyDescent="0.3">
      <c r="A2905" s="7">
        <v>2904</v>
      </c>
      <c r="B2905" s="6">
        <v>78</v>
      </c>
      <c r="C2905" s="13">
        <v>7521334</v>
      </c>
      <c r="D2905" t="s">
        <v>176</v>
      </c>
      <c r="E2905" s="13">
        <v>15</v>
      </c>
      <c r="F2905" s="10" t="s">
        <v>20</v>
      </c>
      <c r="J2905" s="138" t="s">
        <v>1292</v>
      </c>
      <c r="K2905" s="138" t="s">
        <v>1292</v>
      </c>
      <c r="L2905" s="138" t="s">
        <v>1292</v>
      </c>
      <c r="M2905" s="12"/>
      <c r="N2905" s="88" t="s">
        <v>1292</v>
      </c>
      <c r="P2905" t="str">
        <f>VLOOKUP(B2905,PTN!A:B,2,FALSE)</f>
        <v>UNIVERSITAS NEGERI GORONTALO</v>
      </c>
      <c r="Q2905" t="str">
        <f t="shared" si="45"/>
        <v>UNIVERSITAS NEGERI GORONTALOPENDIDIKAN ILMU PENGETAHUAN ALAM</v>
      </c>
    </row>
    <row r="2906" spans="1:17" ht="15.75" thickBot="1" x14ac:dyDescent="0.3">
      <c r="A2906" s="7">
        <v>2905</v>
      </c>
      <c r="B2906" s="6">
        <v>78</v>
      </c>
      <c r="C2906" s="12">
        <v>7521044</v>
      </c>
      <c r="D2906" t="s">
        <v>43</v>
      </c>
      <c r="E2906" s="12">
        <v>24</v>
      </c>
      <c r="F2906" s="10" t="s">
        <v>20</v>
      </c>
      <c r="J2906" s="138" t="s">
        <v>1292</v>
      </c>
      <c r="K2906" s="138" t="s">
        <v>1292</v>
      </c>
      <c r="L2906" s="138" t="s">
        <v>1292</v>
      </c>
      <c r="M2906" s="13"/>
      <c r="N2906" s="89" t="s">
        <v>1292</v>
      </c>
      <c r="P2906" t="str">
        <f>VLOOKUP(B2906,PTN!A:B,2,FALSE)</f>
        <v>UNIVERSITAS NEGERI GORONTALO</v>
      </c>
      <c r="Q2906" t="str">
        <f t="shared" si="45"/>
        <v>UNIVERSITAS NEGERI GORONTALOPENDIDIKAN KIMIA</v>
      </c>
    </row>
    <row r="2907" spans="1:17" ht="15.75" thickBot="1" x14ac:dyDescent="0.3">
      <c r="A2907" s="7">
        <v>2906</v>
      </c>
      <c r="B2907" s="6">
        <v>78</v>
      </c>
      <c r="C2907" s="13">
        <v>7521013</v>
      </c>
      <c r="D2907" t="s">
        <v>44</v>
      </c>
      <c r="E2907" s="13">
        <v>40</v>
      </c>
      <c r="F2907" s="10" t="s">
        <v>20</v>
      </c>
      <c r="J2907" s="138" t="s">
        <v>1292</v>
      </c>
      <c r="K2907" s="138" t="s">
        <v>1292</v>
      </c>
      <c r="L2907" s="138" t="s">
        <v>1292</v>
      </c>
      <c r="M2907" s="12"/>
      <c r="N2907" s="88" t="s">
        <v>1292</v>
      </c>
      <c r="P2907" t="str">
        <f>VLOOKUP(B2907,PTN!A:B,2,FALSE)</f>
        <v>UNIVERSITAS NEGERI GORONTALO</v>
      </c>
      <c r="Q2907" t="str">
        <f t="shared" si="45"/>
        <v>UNIVERSITAS NEGERI GORONTALOPENDIDIKAN MATEMATIKA</v>
      </c>
    </row>
    <row r="2908" spans="1:17" ht="15.75" thickBot="1" x14ac:dyDescent="0.3">
      <c r="A2908" s="7">
        <v>2907</v>
      </c>
      <c r="B2908" s="6">
        <v>78</v>
      </c>
      <c r="C2908" s="12">
        <v>7521067</v>
      </c>
      <c r="D2908" t="s">
        <v>131</v>
      </c>
      <c r="E2908" s="12">
        <v>20</v>
      </c>
      <c r="F2908" s="10" t="s">
        <v>20</v>
      </c>
      <c r="J2908" s="138" t="s">
        <v>1292</v>
      </c>
      <c r="K2908" s="138" t="s">
        <v>1292</v>
      </c>
      <c r="L2908" s="138" t="s">
        <v>1292</v>
      </c>
      <c r="M2908" s="13"/>
      <c r="N2908" s="89" t="s">
        <v>1292</v>
      </c>
      <c r="P2908" t="str">
        <f>VLOOKUP(B2908,PTN!A:B,2,FALSE)</f>
        <v>UNIVERSITAS NEGERI GORONTALO</v>
      </c>
      <c r="Q2908" t="str">
        <f t="shared" si="45"/>
        <v>UNIVERSITAS NEGERI GORONTALOPENDIDIKAN SENI RUPA</v>
      </c>
    </row>
    <row r="2909" spans="1:17" ht="15.75" thickBot="1" x14ac:dyDescent="0.3">
      <c r="A2909" s="7">
        <v>2908</v>
      </c>
      <c r="B2909" s="6">
        <v>78</v>
      </c>
      <c r="C2909" s="13">
        <v>7521222</v>
      </c>
      <c r="D2909" t="s">
        <v>116</v>
      </c>
      <c r="E2909" s="13">
        <v>10</v>
      </c>
      <c r="F2909" s="10" t="s">
        <v>20</v>
      </c>
      <c r="J2909" s="138" t="s">
        <v>1292</v>
      </c>
      <c r="K2909" s="138" t="s">
        <v>1292</v>
      </c>
      <c r="L2909" s="138" t="s">
        <v>1292</v>
      </c>
      <c r="M2909" s="12"/>
      <c r="N2909" s="88" t="s">
        <v>1292</v>
      </c>
      <c r="P2909" t="str">
        <f>VLOOKUP(B2909,PTN!A:B,2,FALSE)</f>
        <v>UNIVERSITAS NEGERI GORONTALO</v>
      </c>
      <c r="Q2909" t="str">
        <f t="shared" si="45"/>
        <v>UNIVERSITAS NEGERI GORONTALOPENDIDIKAN TEKNIK BANGUNAN</v>
      </c>
    </row>
    <row r="2910" spans="1:17" ht="15.75" thickBot="1" x14ac:dyDescent="0.3">
      <c r="A2910" s="7">
        <v>2909</v>
      </c>
      <c r="B2910" s="6">
        <v>78</v>
      </c>
      <c r="C2910" s="12">
        <v>7521276</v>
      </c>
      <c r="D2910" t="s">
        <v>45</v>
      </c>
      <c r="E2910" s="12">
        <v>15</v>
      </c>
      <c r="F2910" s="10" t="s">
        <v>20</v>
      </c>
      <c r="J2910" s="138" t="s">
        <v>1292</v>
      </c>
      <c r="K2910" s="138" t="s">
        <v>1292</v>
      </c>
      <c r="L2910" s="138" t="s">
        <v>1292</v>
      </c>
      <c r="M2910" s="13"/>
      <c r="N2910" s="89" t="s">
        <v>1292</v>
      </c>
      <c r="P2910" t="str">
        <f>VLOOKUP(B2910,PTN!A:B,2,FALSE)</f>
        <v>UNIVERSITAS NEGERI GORONTALO</v>
      </c>
      <c r="Q2910" t="str">
        <f t="shared" si="45"/>
        <v>UNIVERSITAS NEGERI GORONTALOPENDIDIKAN TEKNIK MESIN</v>
      </c>
    </row>
    <row r="2911" spans="1:17" ht="15.75" thickBot="1" x14ac:dyDescent="0.3">
      <c r="A2911" s="7">
        <v>2910</v>
      </c>
      <c r="B2911" s="6">
        <v>78</v>
      </c>
      <c r="C2911" s="13">
        <v>7521237</v>
      </c>
      <c r="D2911" t="s">
        <v>541</v>
      </c>
      <c r="E2911" s="13">
        <v>20</v>
      </c>
      <c r="F2911" s="10" t="s">
        <v>20</v>
      </c>
      <c r="J2911" s="138" t="s">
        <v>1292</v>
      </c>
      <c r="K2911" s="138" t="s">
        <v>1292</v>
      </c>
      <c r="L2911" s="138" t="s">
        <v>1292</v>
      </c>
      <c r="M2911" s="12"/>
      <c r="N2911" s="88" t="s">
        <v>1292</v>
      </c>
      <c r="P2911" t="str">
        <f>VLOOKUP(B2911,PTN!A:B,2,FALSE)</f>
        <v>UNIVERSITAS NEGERI GORONTALO</v>
      </c>
      <c r="Q2911" t="str">
        <f t="shared" si="45"/>
        <v>UNIVERSITAS NEGERI GORONTALOPENDIDIKAN TEKNOLOGI INFORMASI</v>
      </c>
    </row>
    <row r="2912" spans="1:17" ht="15.75" thickBot="1" x14ac:dyDescent="0.3">
      <c r="A2912" s="7">
        <v>2911</v>
      </c>
      <c r="B2912" s="6">
        <v>78</v>
      </c>
      <c r="C2912" s="12">
        <v>7521133</v>
      </c>
      <c r="D2912" t="s">
        <v>88</v>
      </c>
      <c r="E2912" s="12">
        <v>33</v>
      </c>
      <c r="F2912" s="10" t="s">
        <v>20</v>
      </c>
      <c r="J2912" s="138" t="s">
        <v>1292</v>
      </c>
      <c r="K2912" s="138" t="s">
        <v>1292</v>
      </c>
      <c r="L2912" s="138" t="s">
        <v>1292</v>
      </c>
      <c r="M2912" s="13"/>
      <c r="N2912" s="89" t="s">
        <v>1292</v>
      </c>
      <c r="P2912" t="str">
        <f>VLOOKUP(B2912,PTN!A:B,2,FALSE)</f>
        <v>UNIVERSITAS NEGERI GORONTALO</v>
      </c>
      <c r="Q2912" t="str">
        <f t="shared" si="45"/>
        <v>UNIVERSITAS NEGERI GORONTALOPETERNAKAN</v>
      </c>
    </row>
    <row r="2913" spans="1:17" ht="15.75" thickBot="1" x14ac:dyDescent="0.3">
      <c r="A2913" s="7">
        <v>2912</v>
      </c>
      <c r="B2913" s="6">
        <v>78</v>
      </c>
      <c r="C2913" s="13">
        <v>7521083</v>
      </c>
      <c r="D2913" t="s">
        <v>46</v>
      </c>
      <c r="E2913" s="13">
        <v>23</v>
      </c>
      <c r="F2913" s="10" t="s">
        <v>20</v>
      </c>
      <c r="J2913" s="138" t="s">
        <v>1292</v>
      </c>
      <c r="K2913" s="138" t="s">
        <v>1292</v>
      </c>
      <c r="L2913" s="138" t="s">
        <v>1292</v>
      </c>
      <c r="M2913" s="12"/>
      <c r="N2913" s="88" t="s">
        <v>1292</v>
      </c>
      <c r="P2913" t="str">
        <f>VLOOKUP(B2913,PTN!A:B,2,FALSE)</f>
        <v>UNIVERSITAS NEGERI GORONTALO</v>
      </c>
      <c r="Q2913" t="str">
        <f t="shared" si="45"/>
        <v>UNIVERSITAS NEGERI GORONTALOSISTEM INFORMASI</v>
      </c>
    </row>
    <row r="2914" spans="1:17" ht="15.75" thickBot="1" x14ac:dyDescent="0.3">
      <c r="A2914" s="7">
        <v>2913</v>
      </c>
      <c r="B2914" s="6">
        <v>78</v>
      </c>
      <c r="C2914" s="12">
        <v>7521326</v>
      </c>
      <c r="D2914" t="s">
        <v>90</v>
      </c>
      <c r="E2914" s="12">
        <v>16</v>
      </c>
      <c r="F2914" s="10" t="s">
        <v>20</v>
      </c>
      <c r="J2914" s="138" t="s">
        <v>1292</v>
      </c>
      <c r="K2914" s="138" t="s">
        <v>1292</v>
      </c>
      <c r="L2914" s="138" t="s">
        <v>1292</v>
      </c>
      <c r="M2914" s="13"/>
      <c r="N2914" s="89" t="s">
        <v>1292</v>
      </c>
      <c r="P2914" t="str">
        <f>VLOOKUP(B2914,PTN!A:B,2,FALSE)</f>
        <v>UNIVERSITAS NEGERI GORONTALO</v>
      </c>
      <c r="Q2914" t="str">
        <f t="shared" si="45"/>
        <v>UNIVERSITAS NEGERI GORONTALOSTATISTIKA</v>
      </c>
    </row>
    <row r="2915" spans="1:17" ht="15.75" thickBot="1" x14ac:dyDescent="0.3">
      <c r="A2915" s="7">
        <v>2914</v>
      </c>
      <c r="B2915" s="6">
        <v>78</v>
      </c>
      <c r="C2915" s="13">
        <v>7521195</v>
      </c>
      <c r="D2915" t="s">
        <v>47</v>
      </c>
      <c r="E2915" s="13">
        <v>19</v>
      </c>
      <c r="F2915" s="10" t="s">
        <v>20</v>
      </c>
      <c r="J2915" s="138" t="s">
        <v>1292</v>
      </c>
      <c r="K2915" s="138" t="s">
        <v>1292</v>
      </c>
      <c r="L2915" s="138" t="s">
        <v>1292</v>
      </c>
      <c r="M2915" s="12"/>
      <c r="N2915" s="88" t="s">
        <v>1292</v>
      </c>
      <c r="P2915" t="str">
        <f>VLOOKUP(B2915,PTN!A:B,2,FALSE)</f>
        <v>UNIVERSITAS NEGERI GORONTALO</v>
      </c>
      <c r="Q2915" t="str">
        <f t="shared" si="45"/>
        <v>UNIVERSITAS NEGERI GORONTALOTEKNIK ARSITEKTUR</v>
      </c>
    </row>
    <row r="2916" spans="1:17" ht="15.75" thickBot="1" x14ac:dyDescent="0.3">
      <c r="A2916" s="7">
        <v>2915</v>
      </c>
      <c r="B2916" s="6">
        <v>78</v>
      </c>
      <c r="C2916" s="12">
        <v>7521091</v>
      </c>
      <c r="D2916" t="s">
        <v>48</v>
      </c>
      <c r="E2916" s="12">
        <v>20</v>
      </c>
      <c r="F2916" s="10" t="s">
        <v>20</v>
      </c>
      <c r="J2916" s="138" t="s">
        <v>1292</v>
      </c>
      <c r="K2916" s="138" t="s">
        <v>1292</v>
      </c>
      <c r="L2916" s="138" t="s">
        <v>1292</v>
      </c>
      <c r="M2916" s="13"/>
      <c r="N2916" s="89" t="s">
        <v>1292</v>
      </c>
      <c r="P2916" t="str">
        <f>VLOOKUP(B2916,PTN!A:B,2,FALSE)</f>
        <v>UNIVERSITAS NEGERI GORONTALO</v>
      </c>
      <c r="Q2916" t="str">
        <f t="shared" si="45"/>
        <v>UNIVERSITAS NEGERI GORONTALOTEKNIK ELEKTRO</v>
      </c>
    </row>
    <row r="2917" spans="1:17" ht="15.75" thickBot="1" x14ac:dyDescent="0.3">
      <c r="A2917" s="7">
        <v>2916</v>
      </c>
      <c r="B2917" s="6">
        <v>78</v>
      </c>
      <c r="C2917" s="13">
        <v>7521214</v>
      </c>
      <c r="D2917" t="s">
        <v>92</v>
      </c>
      <c r="E2917" s="13">
        <v>10</v>
      </c>
      <c r="F2917" s="10" t="s">
        <v>20</v>
      </c>
      <c r="J2917" s="138" t="s">
        <v>1292</v>
      </c>
      <c r="K2917" s="138" t="s">
        <v>1292</v>
      </c>
      <c r="L2917" s="138" t="s">
        <v>1292</v>
      </c>
      <c r="M2917" s="12"/>
      <c r="N2917" s="88" t="s">
        <v>1292</v>
      </c>
      <c r="P2917" t="str">
        <f>VLOOKUP(B2917,PTN!A:B,2,FALSE)</f>
        <v>UNIVERSITAS NEGERI GORONTALO</v>
      </c>
      <c r="Q2917" t="str">
        <f t="shared" si="45"/>
        <v>UNIVERSITAS NEGERI GORONTALOTEKNIK GEOLOGI</v>
      </c>
    </row>
    <row r="2918" spans="1:17" ht="15.75" thickBot="1" x14ac:dyDescent="0.3">
      <c r="A2918" s="7">
        <v>2917</v>
      </c>
      <c r="B2918" s="6">
        <v>78</v>
      </c>
      <c r="C2918" s="12">
        <v>7521245</v>
      </c>
      <c r="D2918" t="s">
        <v>49</v>
      </c>
      <c r="E2918" s="12">
        <v>15</v>
      </c>
      <c r="F2918" s="10" t="s">
        <v>20</v>
      </c>
      <c r="J2918" s="138" t="s">
        <v>1292</v>
      </c>
      <c r="K2918" s="138" t="s">
        <v>1292</v>
      </c>
      <c r="L2918" s="138" t="s">
        <v>1292</v>
      </c>
      <c r="M2918" s="13"/>
      <c r="N2918" s="89" t="s">
        <v>1292</v>
      </c>
      <c r="P2918" t="str">
        <f>VLOOKUP(B2918,PTN!A:B,2,FALSE)</f>
        <v>UNIVERSITAS NEGERI GORONTALO</v>
      </c>
      <c r="Q2918" t="str">
        <f t="shared" si="45"/>
        <v>UNIVERSITAS NEGERI GORONTALOTEKNIK INDUSTRI</v>
      </c>
    </row>
    <row r="2919" spans="1:17" ht="15.75" thickBot="1" x14ac:dyDescent="0.3">
      <c r="A2919" s="7">
        <v>2918</v>
      </c>
      <c r="B2919" s="6">
        <v>78</v>
      </c>
      <c r="C2919" s="13">
        <v>7521187</v>
      </c>
      <c r="D2919" t="s">
        <v>54</v>
      </c>
      <c r="E2919" s="13">
        <v>23</v>
      </c>
      <c r="F2919" s="10" t="s">
        <v>20</v>
      </c>
      <c r="J2919" s="138" t="s">
        <v>1292</v>
      </c>
      <c r="K2919" s="138" t="s">
        <v>1292</v>
      </c>
      <c r="L2919" s="138" t="s">
        <v>1292</v>
      </c>
      <c r="M2919" s="12"/>
      <c r="N2919" s="88" t="s">
        <v>1292</v>
      </c>
      <c r="P2919" t="str">
        <f>VLOOKUP(B2919,PTN!A:B,2,FALSE)</f>
        <v>UNIVERSITAS NEGERI GORONTALO</v>
      </c>
      <c r="Q2919" t="str">
        <f t="shared" si="45"/>
        <v>UNIVERSITAS NEGERI GORONTALOTEKNIK SIPIL</v>
      </c>
    </row>
    <row r="2920" spans="1:17" ht="15.75" thickBot="1" x14ac:dyDescent="0.3">
      <c r="A2920" s="7">
        <v>2919</v>
      </c>
      <c r="B2920" s="6">
        <v>78</v>
      </c>
      <c r="C2920" s="14">
        <v>7521172</v>
      </c>
      <c r="D2920" t="s">
        <v>222</v>
      </c>
      <c r="E2920" s="14">
        <v>50</v>
      </c>
      <c r="F2920" s="10" t="s">
        <v>20</v>
      </c>
      <c r="J2920" s="138" t="s">
        <v>1292</v>
      </c>
      <c r="K2920" s="138" t="s">
        <v>1292</v>
      </c>
      <c r="L2920" s="138" t="s">
        <v>1292</v>
      </c>
      <c r="M2920" s="13"/>
      <c r="N2920" s="89" t="s">
        <v>1292</v>
      </c>
      <c r="P2920" t="str">
        <f>VLOOKUP(B2920,PTN!A:B,2,FALSE)</f>
        <v>UNIVERSITAS NEGERI GORONTALO</v>
      </c>
      <c r="Q2920" t="str">
        <f t="shared" si="45"/>
        <v>UNIVERSITAS NEGERI GORONTALOTEKNOLOGI HASIL PERIKANAN</v>
      </c>
    </row>
    <row r="2921" spans="1:17" ht="16.5" thickTop="1" thickBot="1" x14ac:dyDescent="0.3">
      <c r="A2921" s="7">
        <v>2920</v>
      </c>
      <c r="B2921" s="6">
        <v>78</v>
      </c>
      <c r="C2921" s="12">
        <v>7522202</v>
      </c>
      <c r="D2921" t="s">
        <v>385</v>
      </c>
      <c r="E2921" s="12">
        <v>38</v>
      </c>
      <c r="F2921" s="10" t="s">
        <v>13</v>
      </c>
      <c r="J2921" s="138" t="s">
        <v>1292</v>
      </c>
      <c r="K2921" s="138" t="s">
        <v>1292</v>
      </c>
      <c r="L2921" s="138" t="s">
        <v>1292</v>
      </c>
      <c r="M2921" s="21"/>
      <c r="N2921" s="83" t="s">
        <v>1292</v>
      </c>
      <c r="P2921" t="str">
        <f>VLOOKUP(B2921,PTN!A:B,2,FALSE)</f>
        <v>UNIVERSITAS NEGERI GORONTALO</v>
      </c>
      <c r="Q2921" t="str">
        <f t="shared" si="45"/>
        <v>UNIVERSITAS NEGERI GORONTALOADMINISTRASI PUBLIK</v>
      </c>
    </row>
    <row r="2922" spans="1:17" ht="15.75" thickBot="1" x14ac:dyDescent="0.3">
      <c r="A2922" s="7">
        <v>2921</v>
      </c>
      <c r="B2922" s="6">
        <v>78</v>
      </c>
      <c r="C2922" s="13">
        <v>7522144</v>
      </c>
      <c r="D2922" t="s">
        <v>55</v>
      </c>
      <c r="E2922" s="13">
        <v>63</v>
      </c>
      <c r="F2922" s="10" t="s">
        <v>13</v>
      </c>
      <c r="J2922" s="138" t="s">
        <v>1292</v>
      </c>
      <c r="K2922" s="138" t="s">
        <v>1292</v>
      </c>
      <c r="L2922" s="138" t="s">
        <v>1292</v>
      </c>
      <c r="M2922" s="21"/>
      <c r="N2922" s="83" t="s">
        <v>1292</v>
      </c>
      <c r="P2922" t="str">
        <f>VLOOKUP(B2922,PTN!A:B,2,FALSE)</f>
        <v>UNIVERSITAS NEGERI GORONTALO</v>
      </c>
      <c r="Q2922" t="str">
        <f t="shared" si="45"/>
        <v>UNIVERSITAS NEGERI GORONTALOAKUNTANSI</v>
      </c>
    </row>
    <row r="2923" spans="1:17" ht="16.5" thickTop="1" thickBot="1" x14ac:dyDescent="0.3">
      <c r="A2923" s="7">
        <v>2922</v>
      </c>
      <c r="B2923" s="6">
        <v>78</v>
      </c>
      <c r="C2923" s="12">
        <v>7522105</v>
      </c>
      <c r="D2923" t="s">
        <v>187</v>
      </c>
      <c r="E2923" s="12">
        <v>15</v>
      </c>
      <c r="F2923" s="10" t="s">
        <v>13</v>
      </c>
      <c r="J2923" s="138" t="s">
        <v>1292</v>
      </c>
      <c r="K2923" s="138" t="s">
        <v>1292</v>
      </c>
      <c r="L2923" s="138" t="s">
        <v>1292</v>
      </c>
      <c r="M2923" s="24"/>
      <c r="N2923" s="84" t="s">
        <v>1292</v>
      </c>
      <c r="P2923" t="str">
        <f>VLOOKUP(B2923,PTN!A:B,2,FALSE)</f>
        <v>UNIVERSITAS NEGERI GORONTALO</v>
      </c>
      <c r="Q2923" t="str">
        <f t="shared" si="45"/>
        <v>UNIVERSITAS NEGERI GORONTALOBIMBINGAN DAN KONSELING</v>
      </c>
    </row>
    <row r="2924" spans="1:17" ht="16.5" thickTop="1" thickBot="1" x14ac:dyDescent="0.3">
      <c r="A2924" s="7">
        <v>2923</v>
      </c>
      <c r="B2924" s="6">
        <v>78</v>
      </c>
      <c r="C2924" s="13">
        <v>7522191</v>
      </c>
      <c r="D2924" t="s">
        <v>69</v>
      </c>
      <c r="E2924" s="13">
        <v>29</v>
      </c>
      <c r="F2924" s="10" t="s">
        <v>13</v>
      </c>
      <c r="J2924" s="138" t="s">
        <v>1292</v>
      </c>
      <c r="K2924" s="138" t="s">
        <v>1292</v>
      </c>
      <c r="L2924" s="138" t="s">
        <v>1292</v>
      </c>
      <c r="M2924" s="12"/>
      <c r="N2924" s="88" t="s">
        <v>1292</v>
      </c>
      <c r="P2924" t="str">
        <f>VLOOKUP(B2924,PTN!A:B,2,FALSE)</f>
        <v>UNIVERSITAS NEGERI GORONTALO</v>
      </c>
      <c r="Q2924" t="str">
        <f t="shared" si="45"/>
        <v>UNIVERSITAS NEGERI GORONTALOEKONOMI PEMBANGUNAN</v>
      </c>
    </row>
    <row r="2925" spans="1:17" ht="15.75" thickBot="1" x14ac:dyDescent="0.3">
      <c r="A2925" s="7">
        <v>2924</v>
      </c>
      <c r="B2925" s="6">
        <v>78</v>
      </c>
      <c r="C2925" s="12">
        <v>7522136</v>
      </c>
      <c r="D2925" t="s">
        <v>31</v>
      </c>
      <c r="E2925" s="12">
        <v>88</v>
      </c>
      <c r="F2925" s="10" t="s">
        <v>13</v>
      </c>
      <c r="J2925" s="138" t="s">
        <v>1292</v>
      </c>
      <c r="K2925" s="138" t="s">
        <v>1292</v>
      </c>
      <c r="L2925" s="138" t="s">
        <v>1292</v>
      </c>
      <c r="M2925" s="13"/>
      <c r="N2925" s="89" t="s">
        <v>1292</v>
      </c>
      <c r="P2925" t="str">
        <f>VLOOKUP(B2925,PTN!A:B,2,FALSE)</f>
        <v>UNIVERSITAS NEGERI GORONTALO</v>
      </c>
      <c r="Q2925" t="str">
        <f t="shared" si="45"/>
        <v>UNIVERSITAS NEGERI GORONTALOILMU HUKUM</v>
      </c>
    </row>
    <row r="2926" spans="1:17" ht="15.75" thickBot="1" x14ac:dyDescent="0.3">
      <c r="A2926" s="7">
        <v>2925</v>
      </c>
      <c r="B2926" s="6">
        <v>78</v>
      </c>
      <c r="C2926" s="13">
        <v>7522183</v>
      </c>
      <c r="D2926" t="s">
        <v>60</v>
      </c>
      <c r="E2926" s="13">
        <v>29</v>
      </c>
      <c r="F2926" s="10" t="s">
        <v>13</v>
      </c>
      <c r="J2926" s="138" t="s">
        <v>1292</v>
      </c>
      <c r="K2926" s="138" t="s">
        <v>1292</v>
      </c>
      <c r="L2926" s="138" t="s">
        <v>1292</v>
      </c>
      <c r="M2926" s="12"/>
      <c r="N2926" s="88" t="s">
        <v>1292</v>
      </c>
      <c r="P2926" t="str">
        <f>VLOOKUP(B2926,PTN!A:B,2,FALSE)</f>
        <v>UNIVERSITAS NEGERI GORONTALO</v>
      </c>
      <c r="Q2926" t="str">
        <f t="shared" si="45"/>
        <v>UNIVERSITAS NEGERI GORONTALOILMU KOMUNIKASI</v>
      </c>
    </row>
    <row r="2927" spans="1:17" ht="15.75" thickBot="1" x14ac:dyDescent="0.3">
      <c r="A2927" s="7">
        <v>2926</v>
      </c>
      <c r="B2927" s="6">
        <v>78</v>
      </c>
      <c r="C2927" s="12">
        <v>7522152</v>
      </c>
      <c r="D2927" t="s">
        <v>61</v>
      </c>
      <c r="E2927" s="12">
        <v>69</v>
      </c>
      <c r="F2927" s="10" t="s">
        <v>13</v>
      </c>
      <c r="J2927" s="138" t="s">
        <v>1292</v>
      </c>
      <c r="K2927" s="138" t="s">
        <v>1292</v>
      </c>
      <c r="L2927" s="138" t="s">
        <v>1292</v>
      </c>
      <c r="M2927" s="13"/>
      <c r="N2927" s="89" t="s">
        <v>1292</v>
      </c>
      <c r="P2927" t="str">
        <f>VLOOKUP(B2927,PTN!A:B,2,FALSE)</f>
        <v>UNIVERSITAS NEGERI GORONTALO</v>
      </c>
      <c r="Q2927" t="str">
        <f t="shared" si="45"/>
        <v>UNIVERSITAS NEGERI GORONTALOMANAJEMEN</v>
      </c>
    </row>
    <row r="2928" spans="1:17" ht="15.75" thickBot="1" x14ac:dyDescent="0.3">
      <c r="A2928" s="7">
        <v>2927</v>
      </c>
      <c r="B2928" s="6">
        <v>78</v>
      </c>
      <c r="C2928" s="13">
        <v>7522121</v>
      </c>
      <c r="D2928" t="s">
        <v>321</v>
      </c>
      <c r="E2928" s="13">
        <v>36</v>
      </c>
      <c r="F2928" s="10" t="s">
        <v>13</v>
      </c>
      <c r="J2928" s="138" t="s">
        <v>1292</v>
      </c>
      <c r="K2928" s="138" t="s">
        <v>1292</v>
      </c>
      <c r="L2928" s="138" t="s">
        <v>1292</v>
      </c>
      <c r="M2928" s="12"/>
      <c r="N2928" s="88" t="s">
        <v>1292</v>
      </c>
      <c r="P2928" t="str">
        <f>VLOOKUP(B2928,PTN!A:B,2,FALSE)</f>
        <v>UNIVERSITAS NEGERI GORONTALO</v>
      </c>
      <c r="Q2928" t="str">
        <f t="shared" si="45"/>
        <v>UNIVERSITAS NEGERI GORONTALOMANAJEMEN PENDIDIKAN</v>
      </c>
    </row>
    <row r="2929" spans="1:17" ht="15.75" thickBot="1" x14ac:dyDescent="0.3">
      <c r="A2929" s="7">
        <v>2928</v>
      </c>
      <c r="B2929" s="6">
        <v>78</v>
      </c>
      <c r="C2929" s="12">
        <v>7522086</v>
      </c>
      <c r="D2929" t="s">
        <v>596</v>
      </c>
      <c r="E2929" s="12">
        <v>40</v>
      </c>
      <c r="F2929" s="10" t="s">
        <v>13</v>
      </c>
      <c r="J2929" s="138" t="s">
        <v>1292</v>
      </c>
      <c r="K2929" s="138" t="s">
        <v>1292</v>
      </c>
      <c r="L2929" s="138" t="s">
        <v>1292</v>
      </c>
      <c r="M2929" s="13"/>
      <c r="N2929" s="89" t="s">
        <v>1292</v>
      </c>
      <c r="P2929" t="str">
        <f>VLOOKUP(B2929,PTN!A:B,2,FALSE)</f>
        <v>UNIVERSITAS NEGERI GORONTALO</v>
      </c>
      <c r="Q2929" t="str">
        <f t="shared" si="45"/>
        <v>UNIVERSITAS NEGERI GORONTALOPENDIDIKAN ANAK USIA DINI</v>
      </c>
    </row>
    <row r="2930" spans="1:17" ht="15.75" thickBot="1" x14ac:dyDescent="0.3">
      <c r="A2930" s="7">
        <v>2929</v>
      </c>
      <c r="B2930" s="6">
        <v>78</v>
      </c>
      <c r="C2930" s="13">
        <v>7522055</v>
      </c>
      <c r="D2930" t="s">
        <v>99</v>
      </c>
      <c r="E2930" s="13">
        <v>38</v>
      </c>
      <c r="F2930" s="10" t="s">
        <v>13</v>
      </c>
      <c r="J2930" s="138" t="s">
        <v>1292</v>
      </c>
      <c r="K2930" s="138" t="s">
        <v>1292</v>
      </c>
      <c r="L2930" s="138" t="s">
        <v>1292</v>
      </c>
      <c r="M2930" s="12"/>
      <c r="N2930" s="88" t="s">
        <v>1292</v>
      </c>
      <c r="P2930" t="str">
        <f>VLOOKUP(B2930,PTN!A:B,2,FALSE)</f>
        <v>UNIVERSITAS NEGERI GORONTALO</v>
      </c>
      <c r="Q2930" t="str">
        <f t="shared" si="45"/>
        <v>UNIVERSITAS NEGERI GORONTALOPENDIDIKAN BAHASA DAN SASTRA INDONESIA</v>
      </c>
    </row>
    <row r="2931" spans="1:17" ht="15.75" thickBot="1" x14ac:dyDescent="0.3">
      <c r="A2931" s="7">
        <v>2930</v>
      </c>
      <c r="B2931" s="6">
        <v>78</v>
      </c>
      <c r="C2931" s="12">
        <v>7522063</v>
      </c>
      <c r="D2931" t="s">
        <v>71</v>
      </c>
      <c r="E2931" s="12">
        <v>38</v>
      </c>
      <c r="F2931" s="10" t="s">
        <v>13</v>
      </c>
      <c r="J2931" s="138" t="s">
        <v>1292</v>
      </c>
      <c r="K2931" s="138" t="s">
        <v>1292</v>
      </c>
      <c r="L2931" s="138" t="s">
        <v>1292</v>
      </c>
      <c r="M2931" s="13"/>
      <c r="N2931" s="89" t="s">
        <v>1292</v>
      </c>
      <c r="P2931" t="str">
        <f>VLOOKUP(B2931,PTN!A:B,2,FALSE)</f>
        <v>UNIVERSITAS NEGERI GORONTALO</v>
      </c>
      <c r="Q2931" t="str">
        <f t="shared" si="45"/>
        <v>UNIVERSITAS NEGERI GORONTALOPENDIDIKAN BAHASA INGGRIS</v>
      </c>
    </row>
    <row r="2932" spans="1:17" ht="15.75" thickBot="1" x14ac:dyDescent="0.3">
      <c r="A2932" s="7">
        <v>2931</v>
      </c>
      <c r="B2932" s="6">
        <v>78</v>
      </c>
      <c r="C2932" s="13">
        <v>7522032</v>
      </c>
      <c r="D2932" t="s">
        <v>100</v>
      </c>
      <c r="E2932" s="13">
        <v>73</v>
      </c>
      <c r="F2932" s="10" t="s">
        <v>13</v>
      </c>
      <c r="J2932" s="138" t="s">
        <v>1292</v>
      </c>
      <c r="K2932" s="138" t="s">
        <v>1292</v>
      </c>
      <c r="L2932" s="138" t="s">
        <v>1292</v>
      </c>
      <c r="M2932" s="12"/>
      <c r="N2932" s="88" t="s">
        <v>1292</v>
      </c>
      <c r="P2932" t="str">
        <f>VLOOKUP(B2932,PTN!A:B,2,FALSE)</f>
        <v>UNIVERSITAS NEGERI GORONTALO</v>
      </c>
      <c r="Q2932" t="str">
        <f t="shared" si="45"/>
        <v>UNIVERSITAS NEGERI GORONTALOPENDIDIKAN EKONOMI</v>
      </c>
    </row>
    <row r="2933" spans="1:17" ht="15.75" thickBot="1" x14ac:dyDescent="0.3">
      <c r="A2933" s="7">
        <v>2932</v>
      </c>
      <c r="B2933" s="6">
        <v>78</v>
      </c>
      <c r="C2933" s="12">
        <v>7522071</v>
      </c>
      <c r="D2933" t="s">
        <v>711</v>
      </c>
      <c r="E2933" s="12">
        <v>50</v>
      </c>
      <c r="F2933" s="10" t="s">
        <v>13</v>
      </c>
      <c r="J2933" s="138" t="s">
        <v>1292</v>
      </c>
      <c r="K2933" s="138" t="s">
        <v>1292</v>
      </c>
      <c r="L2933" s="138" t="s">
        <v>1292</v>
      </c>
      <c r="M2933" s="13"/>
      <c r="N2933" s="89" t="s">
        <v>1292</v>
      </c>
      <c r="P2933" t="str">
        <f>VLOOKUP(B2933,PTN!A:B,2,FALSE)</f>
        <v>UNIVERSITAS NEGERI GORONTALO</v>
      </c>
      <c r="Q2933" t="str">
        <f t="shared" si="45"/>
        <v>UNIVERSITAS NEGERI GORONTALOPENDIDIKAN GURU SD</v>
      </c>
    </row>
    <row r="2934" spans="1:17" ht="15.75" thickBot="1" x14ac:dyDescent="0.3">
      <c r="A2934" s="7">
        <v>2933</v>
      </c>
      <c r="B2934" s="6">
        <v>78</v>
      </c>
      <c r="C2934" s="13">
        <v>7522047</v>
      </c>
      <c r="D2934" t="s">
        <v>442</v>
      </c>
      <c r="E2934" s="13">
        <v>50</v>
      </c>
      <c r="F2934" s="10" t="s">
        <v>13</v>
      </c>
      <c r="J2934" s="138" t="s">
        <v>1292</v>
      </c>
      <c r="K2934" s="138" t="s">
        <v>1292</v>
      </c>
      <c r="L2934" s="138" t="s">
        <v>1292</v>
      </c>
      <c r="M2934" s="12"/>
      <c r="N2934" s="88" t="s">
        <v>1292</v>
      </c>
      <c r="P2934" t="str">
        <f>VLOOKUP(B2934,PTN!A:B,2,FALSE)</f>
        <v>UNIVERSITAS NEGERI GORONTALO</v>
      </c>
      <c r="Q2934" t="str">
        <f t="shared" si="45"/>
        <v>UNIVERSITAS NEGERI GORONTALOPENDIDIKAN JASMANI KESEHATAN DAN REKREASI</v>
      </c>
    </row>
    <row r="2935" spans="1:17" ht="15.75" thickBot="1" x14ac:dyDescent="0.3">
      <c r="A2935" s="7">
        <v>2934</v>
      </c>
      <c r="B2935" s="6">
        <v>78</v>
      </c>
      <c r="C2935" s="12">
        <v>7522167</v>
      </c>
      <c r="D2935" t="s">
        <v>712</v>
      </c>
      <c r="E2935" s="12">
        <v>30</v>
      </c>
      <c r="F2935" s="10" t="s">
        <v>13</v>
      </c>
      <c r="J2935" s="138" t="s">
        <v>1292</v>
      </c>
      <c r="K2935" s="138" t="s">
        <v>1292</v>
      </c>
      <c r="L2935" s="138" t="s">
        <v>1292</v>
      </c>
      <c r="M2935" s="13"/>
      <c r="N2935" s="89" t="s">
        <v>1292</v>
      </c>
      <c r="P2935" t="str">
        <f>VLOOKUP(B2935,PTN!A:B,2,FALSE)</f>
        <v>UNIVERSITAS NEGERI GORONTALO</v>
      </c>
      <c r="Q2935" t="str">
        <f t="shared" si="45"/>
        <v>UNIVERSITAS NEGERI GORONTALOPENDIDIKAN KEPELATIHAN</v>
      </c>
    </row>
    <row r="2936" spans="1:17" ht="15.75" thickBot="1" x14ac:dyDescent="0.3">
      <c r="A2936" s="7">
        <v>2935</v>
      </c>
      <c r="B2936" s="6">
        <v>78</v>
      </c>
      <c r="C2936" s="13">
        <v>7522113</v>
      </c>
      <c r="D2936" t="s">
        <v>201</v>
      </c>
      <c r="E2936" s="13">
        <v>37</v>
      </c>
      <c r="F2936" s="10" t="s">
        <v>13</v>
      </c>
      <c r="J2936" s="138" t="s">
        <v>1292</v>
      </c>
      <c r="K2936" s="138" t="s">
        <v>1292</v>
      </c>
      <c r="L2936" s="138" t="s">
        <v>1292</v>
      </c>
      <c r="M2936" s="12"/>
      <c r="N2936" s="88" t="s">
        <v>1292</v>
      </c>
      <c r="P2936" t="str">
        <f>VLOOKUP(B2936,PTN!A:B,2,FALSE)</f>
        <v>UNIVERSITAS NEGERI GORONTALO</v>
      </c>
      <c r="Q2936" t="str">
        <f t="shared" si="45"/>
        <v>UNIVERSITAS NEGERI GORONTALOPENDIDIKAN LUAR SEKOLAH</v>
      </c>
    </row>
    <row r="2937" spans="1:17" ht="15.75" thickBot="1" x14ac:dyDescent="0.3">
      <c r="A2937" s="7">
        <v>2936</v>
      </c>
      <c r="B2937" s="6">
        <v>78</v>
      </c>
      <c r="C2937" s="12">
        <v>7522024</v>
      </c>
      <c r="D2937" t="s">
        <v>713</v>
      </c>
      <c r="E2937" s="12">
        <v>30</v>
      </c>
      <c r="F2937" s="10" t="s">
        <v>13</v>
      </c>
      <c r="J2937" s="138" t="s">
        <v>1292</v>
      </c>
      <c r="K2937" s="138" t="s">
        <v>1292</v>
      </c>
      <c r="L2937" s="138" t="s">
        <v>1292</v>
      </c>
      <c r="M2937" s="13"/>
      <c r="N2937" s="89" t="s">
        <v>1292</v>
      </c>
      <c r="P2937" t="str">
        <f>VLOOKUP(B2937,PTN!A:B,2,FALSE)</f>
        <v>UNIVERSITAS NEGERI GORONTALO</v>
      </c>
      <c r="Q2937" t="str">
        <f t="shared" si="45"/>
        <v>UNIVERSITAS NEGERI GORONTALOPENDIDIKAN PANCASLA DAN KEWARGANEGARAAN</v>
      </c>
    </row>
    <row r="2938" spans="1:17" ht="15.75" thickBot="1" x14ac:dyDescent="0.3">
      <c r="A2938" s="7">
        <v>2937</v>
      </c>
      <c r="B2938" s="6">
        <v>78</v>
      </c>
      <c r="C2938" s="13">
        <v>7522016</v>
      </c>
      <c r="D2938" t="s">
        <v>75</v>
      </c>
      <c r="E2938" s="13">
        <v>30</v>
      </c>
      <c r="F2938" s="10" t="s">
        <v>13</v>
      </c>
      <c r="J2938" s="138" t="s">
        <v>1292</v>
      </c>
      <c r="K2938" s="138" t="s">
        <v>1292</v>
      </c>
      <c r="L2938" s="138" t="s">
        <v>1292</v>
      </c>
      <c r="M2938" s="12"/>
      <c r="N2938" s="88" t="s">
        <v>1292</v>
      </c>
      <c r="P2938" t="str">
        <f>VLOOKUP(B2938,PTN!A:B,2,FALSE)</f>
        <v>UNIVERSITAS NEGERI GORONTALO</v>
      </c>
      <c r="Q2938" t="str">
        <f t="shared" si="45"/>
        <v>UNIVERSITAS NEGERI GORONTALOPENDIDIKAN SEJARAH</v>
      </c>
    </row>
    <row r="2939" spans="1:17" ht="15.75" thickBot="1" x14ac:dyDescent="0.3">
      <c r="A2939" s="7">
        <v>2938</v>
      </c>
      <c r="B2939" s="6">
        <v>78</v>
      </c>
      <c r="C2939" s="12">
        <v>7522094</v>
      </c>
      <c r="D2939" t="s">
        <v>203</v>
      </c>
      <c r="E2939" s="12">
        <v>8</v>
      </c>
      <c r="F2939" s="10" t="s">
        <v>13</v>
      </c>
      <c r="J2939" s="138" t="s">
        <v>1292</v>
      </c>
      <c r="K2939" s="138" t="s">
        <v>1292</v>
      </c>
      <c r="L2939" s="138" t="s">
        <v>1292</v>
      </c>
      <c r="M2939" s="13"/>
      <c r="N2939" s="89" t="s">
        <v>1292</v>
      </c>
      <c r="P2939" t="str">
        <f>VLOOKUP(B2939,PTN!A:B,2,FALSE)</f>
        <v>UNIVERSITAS NEGERI GORONTALO</v>
      </c>
      <c r="Q2939" t="str">
        <f t="shared" si="45"/>
        <v>UNIVERSITAS NEGERI GORONTALOPENDIDIKAN SENDRATASIK</v>
      </c>
    </row>
    <row r="2940" spans="1:17" ht="15.75" thickBot="1" x14ac:dyDescent="0.3">
      <c r="A2940" s="7">
        <v>2939</v>
      </c>
      <c r="B2940" s="6">
        <v>78</v>
      </c>
      <c r="C2940" s="16">
        <v>7522175</v>
      </c>
      <c r="D2940" t="s">
        <v>63</v>
      </c>
      <c r="E2940" s="16">
        <v>32</v>
      </c>
      <c r="F2940" s="10" t="s">
        <v>13</v>
      </c>
      <c r="J2940" s="138" t="s">
        <v>1292</v>
      </c>
      <c r="K2940" s="138" t="s">
        <v>1292</v>
      </c>
      <c r="L2940" s="138" t="s">
        <v>1292</v>
      </c>
      <c r="M2940" s="21"/>
      <c r="N2940" s="83" t="s">
        <v>1292</v>
      </c>
      <c r="P2940" t="str">
        <f>VLOOKUP(B2940,PTN!A:B,2,FALSE)</f>
        <v>UNIVERSITAS NEGERI GORONTALO</v>
      </c>
      <c r="Q2940" t="str">
        <f t="shared" si="45"/>
        <v>UNIVERSITAS NEGERI GORONTALOSOSIOLOGI</v>
      </c>
    </row>
    <row r="2941" spans="1:17" ht="16.5" thickTop="1" thickBot="1" x14ac:dyDescent="0.3">
      <c r="A2941" s="7">
        <v>2940</v>
      </c>
      <c r="B2941" s="6">
        <v>76</v>
      </c>
      <c r="C2941" s="12">
        <v>7411017</v>
      </c>
      <c r="D2941" t="s">
        <v>37</v>
      </c>
      <c r="E2941" s="12">
        <v>28</v>
      </c>
      <c r="F2941" s="10" t="s">
        <v>20</v>
      </c>
      <c r="J2941" s="138" t="s">
        <v>1292</v>
      </c>
      <c r="K2941" s="138" t="s">
        <v>1292</v>
      </c>
      <c r="L2941" s="138" t="s">
        <v>1292</v>
      </c>
      <c r="M2941" s="21"/>
      <c r="N2941" s="83" t="s">
        <v>1292</v>
      </c>
      <c r="P2941" t="str">
        <f>VLOOKUP(B2941,PTN!A:B,2,FALSE)</f>
        <v>UNIVERSITAS SULAWESI BARAT</v>
      </c>
      <c r="Q2941" t="str">
        <f t="shared" si="45"/>
        <v>UNIVERSITAS SULAWESI BARATAGRIBISNIS</v>
      </c>
    </row>
    <row r="2942" spans="1:17" ht="16.5" thickTop="1" thickBot="1" x14ac:dyDescent="0.3">
      <c r="A2942" s="7">
        <v>2941</v>
      </c>
      <c r="B2942" s="6">
        <v>76</v>
      </c>
      <c r="C2942" s="13">
        <v>7411114</v>
      </c>
      <c r="D2942" t="s">
        <v>39</v>
      </c>
      <c r="E2942" s="13">
        <v>32</v>
      </c>
      <c r="F2942" s="10" t="s">
        <v>20</v>
      </c>
      <c r="J2942" s="138" t="s">
        <v>1292</v>
      </c>
      <c r="K2942" s="138" t="s">
        <v>1292</v>
      </c>
      <c r="L2942" s="138" t="s">
        <v>1292</v>
      </c>
      <c r="M2942" s="24"/>
      <c r="N2942" s="84" t="s">
        <v>1292</v>
      </c>
      <c r="P2942" t="str">
        <f>VLOOKUP(B2942,PTN!A:B,2,FALSE)</f>
        <v>UNIVERSITAS SULAWESI BARAT</v>
      </c>
      <c r="Q2942" t="str">
        <f t="shared" si="45"/>
        <v>UNIVERSITAS SULAWESI BARATBUDIDAYA PERAIRAN</v>
      </c>
    </row>
    <row r="2943" spans="1:17" ht="16.5" thickTop="1" thickBot="1" x14ac:dyDescent="0.3">
      <c r="A2943" s="7">
        <v>2942</v>
      </c>
      <c r="B2943" s="6">
        <v>76</v>
      </c>
      <c r="C2943" s="12">
        <v>7411025</v>
      </c>
      <c r="D2943" t="s">
        <v>81</v>
      </c>
      <c r="E2943" s="12">
        <v>24</v>
      </c>
      <c r="F2943" s="10" t="s">
        <v>20</v>
      </c>
      <c r="J2943" s="138" t="s">
        <v>1292</v>
      </c>
      <c r="K2943" s="138" t="s">
        <v>1292</v>
      </c>
      <c r="L2943" s="138" t="s">
        <v>1292</v>
      </c>
      <c r="M2943" s="12"/>
      <c r="N2943" s="88" t="s">
        <v>1292</v>
      </c>
      <c r="P2943" t="str">
        <f>VLOOKUP(B2943,PTN!A:B,2,FALSE)</f>
        <v>UNIVERSITAS SULAWESI BARAT</v>
      </c>
      <c r="Q2943" t="str">
        <f t="shared" si="45"/>
        <v>UNIVERSITAS SULAWESI BARATKEHUTANAN</v>
      </c>
    </row>
    <row r="2944" spans="1:17" ht="15.75" thickBot="1" x14ac:dyDescent="0.3">
      <c r="A2944" s="7">
        <v>2943</v>
      </c>
      <c r="B2944" s="6">
        <v>76</v>
      </c>
      <c r="C2944" s="13">
        <v>7411033</v>
      </c>
      <c r="D2944" t="s">
        <v>339</v>
      </c>
      <c r="E2944" s="13">
        <v>32</v>
      </c>
      <c r="F2944" s="10" t="s">
        <v>20</v>
      </c>
      <c r="J2944" s="138" t="s">
        <v>1292</v>
      </c>
      <c r="K2944" s="138" t="s">
        <v>1292</v>
      </c>
      <c r="L2944" s="138" t="s">
        <v>1292</v>
      </c>
      <c r="M2944" s="13"/>
      <c r="N2944" s="89" t="s">
        <v>1292</v>
      </c>
      <c r="P2944" t="str">
        <f>VLOOKUP(B2944,PTN!A:B,2,FALSE)</f>
        <v>UNIVERSITAS SULAWESI BARAT</v>
      </c>
      <c r="Q2944" t="str">
        <f t="shared" si="45"/>
        <v>UNIVERSITAS SULAWESI BARATKEPERAWATAN</v>
      </c>
    </row>
    <row r="2945" spans="1:17" ht="15.75" thickBot="1" x14ac:dyDescent="0.3">
      <c r="A2945" s="7">
        <v>2944</v>
      </c>
      <c r="B2945" s="6">
        <v>76</v>
      </c>
      <c r="C2945" s="12">
        <v>7411064</v>
      </c>
      <c r="D2945" t="s">
        <v>66</v>
      </c>
      <c r="E2945" s="12">
        <v>40</v>
      </c>
      <c r="F2945" s="10" t="s">
        <v>20</v>
      </c>
      <c r="J2945" s="138" t="s">
        <v>1292</v>
      </c>
      <c r="K2945" s="138" t="s">
        <v>1292</v>
      </c>
      <c r="L2945" s="138" t="s">
        <v>1292</v>
      </c>
      <c r="M2945" s="12"/>
      <c r="N2945" s="88" t="s">
        <v>1292</v>
      </c>
      <c r="P2945" t="str">
        <f>VLOOKUP(B2945,PTN!A:B,2,FALSE)</f>
        <v>UNIVERSITAS SULAWESI BARAT</v>
      </c>
      <c r="Q2945" t="str">
        <f t="shared" si="45"/>
        <v>UNIVERSITAS SULAWESI BARATMATEMATIKA</v>
      </c>
    </row>
    <row r="2946" spans="1:17" ht="15.75" thickBot="1" x14ac:dyDescent="0.3">
      <c r="A2946" s="7">
        <v>2945</v>
      </c>
      <c r="B2946" s="6">
        <v>76</v>
      </c>
      <c r="C2946" s="13">
        <v>7411087</v>
      </c>
      <c r="D2946" t="s">
        <v>214</v>
      </c>
      <c r="E2946" s="13">
        <v>48</v>
      </c>
      <c r="F2946" s="10" t="s">
        <v>20</v>
      </c>
      <c r="J2946" s="138" t="s">
        <v>1292</v>
      </c>
      <c r="K2946" s="138" t="s">
        <v>1292</v>
      </c>
      <c r="L2946" s="138" t="s">
        <v>1292</v>
      </c>
      <c r="M2946" s="13"/>
      <c r="N2946" s="89" t="s">
        <v>1292</v>
      </c>
      <c r="P2946" t="str">
        <f>VLOOKUP(B2946,PTN!A:B,2,FALSE)</f>
        <v>UNIVERSITAS SULAWESI BARAT</v>
      </c>
      <c r="Q2946" t="str">
        <f t="shared" si="45"/>
        <v>UNIVERSITAS SULAWESI BARATPEND. BIOLOGI</v>
      </c>
    </row>
    <row r="2947" spans="1:17" ht="15.75" thickBot="1" x14ac:dyDescent="0.3">
      <c r="A2947" s="7">
        <v>2946</v>
      </c>
      <c r="B2947" s="6">
        <v>76</v>
      </c>
      <c r="C2947" s="12">
        <v>7411095</v>
      </c>
      <c r="D2947" t="s">
        <v>216</v>
      </c>
      <c r="E2947" s="12">
        <v>40</v>
      </c>
      <c r="F2947" s="10" t="s">
        <v>20</v>
      </c>
      <c r="J2947" s="138" t="s">
        <v>1292</v>
      </c>
      <c r="K2947" s="138" t="s">
        <v>1292</v>
      </c>
      <c r="L2947" s="138" t="s">
        <v>1292</v>
      </c>
      <c r="M2947" s="12"/>
      <c r="N2947" s="88" t="s">
        <v>1292</v>
      </c>
      <c r="P2947" t="str">
        <f>VLOOKUP(B2947,PTN!A:B,2,FALSE)</f>
        <v>UNIVERSITAS SULAWESI BARAT</v>
      </c>
      <c r="Q2947" t="str">
        <f t="shared" ref="Q2947:Q3010" si="46">P2947&amp;D2947</f>
        <v>UNIVERSITAS SULAWESI BARATPEND. FISIKA</v>
      </c>
    </row>
    <row r="2948" spans="1:17" ht="15.75" thickBot="1" x14ac:dyDescent="0.3">
      <c r="A2948" s="7">
        <v>2947</v>
      </c>
      <c r="B2948" s="6">
        <v>76</v>
      </c>
      <c r="C2948" s="13">
        <v>7411072</v>
      </c>
      <c r="D2948" t="s">
        <v>218</v>
      </c>
      <c r="E2948" s="13">
        <v>40</v>
      </c>
      <c r="F2948" s="10" t="s">
        <v>20</v>
      </c>
      <c r="J2948" s="138" t="s">
        <v>1292</v>
      </c>
      <c r="K2948" s="138" t="s">
        <v>1292</v>
      </c>
      <c r="L2948" s="138" t="s">
        <v>1292</v>
      </c>
      <c r="M2948" s="13"/>
      <c r="N2948" s="89" t="s">
        <v>1292</v>
      </c>
      <c r="P2948" t="str">
        <f>VLOOKUP(B2948,PTN!A:B,2,FALSE)</f>
        <v>UNIVERSITAS SULAWESI BARAT</v>
      </c>
      <c r="Q2948" t="str">
        <f t="shared" si="46"/>
        <v>UNIVERSITAS SULAWESI BARATPEND. MATEMATIKA</v>
      </c>
    </row>
    <row r="2949" spans="1:17" ht="15.75" thickBot="1" x14ac:dyDescent="0.3">
      <c r="A2949" s="7">
        <v>2948</v>
      </c>
      <c r="B2949" s="6">
        <v>76</v>
      </c>
      <c r="C2949" s="12">
        <v>7411122</v>
      </c>
      <c r="D2949" t="s">
        <v>438</v>
      </c>
      <c r="E2949" s="12">
        <v>20</v>
      </c>
      <c r="F2949" s="10" t="s">
        <v>20</v>
      </c>
      <c r="J2949" s="138" t="s">
        <v>1292</v>
      </c>
      <c r="K2949" s="138" t="s">
        <v>1292</v>
      </c>
      <c r="L2949" s="138" t="s">
        <v>1292</v>
      </c>
      <c r="M2949" s="12"/>
      <c r="N2949" s="88" t="s">
        <v>1292</v>
      </c>
      <c r="P2949" t="str">
        <f>VLOOKUP(B2949,PTN!A:B,2,FALSE)</f>
        <v>UNIVERSITAS SULAWESI BARAT</v>
      </c>
      <c r="Q2949" t="str">
        <f t="shared" si="46"/>
        <v>UNIVERSITAS SULAWESI BARATPERIKANAN TANGKAP</v>
      </c>
    </row>
    <row r="2950" spans="1:17" ht="15.75" thickBot="1" x14ac:dyDescent="0.3">
      <c r="A2950" s="7">
        <v>2949</v>
      </c>
      <c r="B2950" s="6">
        <v>76</v>
      </c>
      <c r="C2950" s="13">
        <v>7411106</v>
      </c>
      <c r="D2950" t="s">
        <v>88</v>
      </c>
      <c r="E2950" s="13">
        <v>24</v>
      </c>
      <c r="F2950" s="10" t="s">
        <v>20</v>
      </c>
      <c r="J2950" s="138" t="s">
        <v>1292</v>
      </c>
      <c r="K2950" s="138" t="s">
        <v>1292</v>
      </c>
      <c r="L2950" s="138" t="s">
        <v>1292</v>
      </c>
      <c r="M2950" s="13"/>
      <c r="N2950" s="89" t="s">
        <v>1292</v>
      </c>
      <c r="P2950" t="str">
        <f>VLOOKUP(B2950,PTN!A:B,2,FALSE)</f>
        <v>UNIVERSITAS SULAWESI BARAT</v>
      </c>
      <c r="Q2950" t="str">
        <f t="shared" si="46"/>
        <v>UNIVERSITAS SULAWESI BARATPETERNAKAN</v>
      </c>
    </row>
    <row r="2951" spans="1:17" ht="15.75" thickBot="1" x14ac:dyDescent="0.3">
      <c r="A2951" s="7">
        <v>2950</v>
      </c>
      <c r="B2951" s="6">
        <v>76</v>
      </c>
      <c r="C2951" s="12">
        <v>7411056</v>
      </c>
      <c r="D2951" t="s">
        <v>50</v>
      </c>
      <c r="E2951" s="12">
        <v>57</v>
      </c>
      <c r="F2951" s="10" t="s">
        <v>20</v>
      </c>
      <c r="J2951" s="138" t="s">
        <v>1292</v>
      </c>
      <c r="K2951" s="138" t="s">
        <v>1292</v>
      </c>
      <c r="L2951" s="138" t="s">
        <v>1292</v>
      </c>
      <c r="M2951" s="12"/>
      <c r="N2951" s="88" t="s">
        <v>1292</v>
      </c>
      <c r="P2951" t="str">
        <f>VLOOKUP(B2951,PTN!A:B,2,FALSE)</f>
        <v>UNIVERSITAS SULAWESI BARAT</v>
      </c>
      <c r="Q2951" t="str">
        <f t="shared" si="46"/>
        <v>UNIVERSITAS SULAWESI BARATTEKNIK INFORMATIKA</v>
      </c>
    </row>
    <row r="2952" spans="1:17" ht="15.75" thickBot="1" x14ac:dyDescent="0.3">
      <c r="A2952" s="7">
        <v>2951</v>
      </c>
      <c r="B2952" s="6">
        <v>76</v>
      </c>
      <c r="C2952" s="16">
        <v>7411041</v>
      </c>
      <c r="D2952" t="s">
        <v>54</v>
      </c>
      <c r="E2952" s="16">
        <v>57</v>
      </c>
      <c r="F2952" s="10" t="s">
        <v>20</v>
      </c>
      <c r="J2952" s="138" t="s">
        <v>1292</v>
      </c>
      <c r="K2952" s="138" t="s">
        <v>1292</v>
      </c>
      <c r="L2952" s="138" t="s">
        <v>1292</v>
      </c>
      <c r="M2952" s="21"/>
      <c r="N2952" s="83" t="s">
        <v>1292</v>
      </c>
      <c r="P2952" t="str">
        <f>VLOOKUP(B2952,PTN!A:B,2,FALSE)</f>
        <v>UNIVERSITAS SULAWESI BARAT</v>
      </c>
      <c r="Q2952" t="str">
        <f t="shared" si="46"/>
        <v>UNIVERSITAS SULAWESI BARATTEKNIK SIPIL</v>
      </c>
    </row>
    <row r="2953" spans="1:17" ht="16.5" thickTop="1" thickBot="1" x14ac:dyDescent="0.3">
      <c r="A2953" s="7">
        <v>2952</v>
      </c>
      <c r="B2953" s="6">
        <v>76</v>
      </c>
      <c r="C2953" s="12">
        <v>7412021</v>
      </c>
      <c r="D2953" t="s">
        <v>55</v>
      </c>
      <c r="E2953" s="12">
        <v>42</v>
      </c>
      <c r="F2953" s="10" t="s">
        <v>13</v>
      </c>
      <c r="J2953" s="138" t="s">
        <v>1292</v>
      </c>
      <c r="K2953" s="138" t="s">
        <v>1292</v>
      </c>
      <c r="L2953" s="138" t="s">
        <v>1292</v>
      </c>
      <c r="M2953" s="21"/>
      <c r="N2953" s="83" t="s">
        <v>1292</v>
      </c>
      <c r="P2953" t="str">
        <f>VLOOKUP(B2953,PTN!A:B,2,FALSE)</f>
        <v>UNIVERSITAS SULAWESI BARAT</v>
      </c>
      <c r="Q2953" t="str">
        <f t="shared" si="46"/>
        <v>UNIVERSITAS SULAWESI BARATAKUNTANSI</v>
      </c>
    </row>
    <row r="2954" spans="1:17" ht="16.5" thickTop="1" thickBot="1" x14ac:dyDescent="0.3">
      <c r="A2954" s="7">
        <v>2953</v>
      </c>
      <c r="B2954" s="6">
        <v>76</v>
      </c>
      <c r="C2954" s="13">
        <v>7412044</v>
      </c>
      <c r="D2954" t="s">
        <v>168</v>
      </c>
      <c r="E2954" s="13">
        <v>16</v>
      </c>
      <c r="F2954" s="10" t="s">
        <v>13</v>
      </c>
      <c r="J2954" s="138" t="s">
        <v>1292</v>
      </c>
      <c r="K2954" s="138" t="s">
        <v>1292</v>
      </c>
      <c r="L2954" s="138" t="s">
        <v>1292</v>
      </c>
      <c r="M2954" s="24"/>
      <c r="N2954" s="84" t="s">
        <v>1292</v>
      </c>
      <c r="P2954" t="str">
        <f>VLOOKUP(B2954,PTN!A:B,2,FALSE)</f>
        <v>UNIVERSITAS SULAWESI BARAT</v>
      </c>
      <c r="Q2954" t="str">
        <f t="shared" si="46"/>
        <v>UNIVERSITAS SULAWESI BARATILMU HUBUNGAN INTERNASIONAL</v>
      </c>
    </row>
    <row r="2955" spans="1:17" ht="16.5" thickTop="1" thickBot="1" x14ac:dyDescent="0.3">
      <c r="A2955" s="7">
        <v>2954</v>
      </c>
      <c r="B2955" s="6">
        <v>76</v>
      </c>
      <c r="C2955" s="12">
        <v>7412052</v>
      </c>
      <c r="D2955" t="s">
        <v>31</v>
      </c>
      <c r="E2955" s="12">
        <v>30</v>
      </c>
      <c r="F2955" s="10" t="s">
        <v>13</v>
      </c>
      <c r="J2955" s="138" t="s">
        <v>1292</v>
      </c>
      <c r="K2955" s="138" t="s">
        <v>1292</v>
      </c>
      <c r="L2955" s="138" t="s">
        <v>1292</v>
      </c>
      <c r="M2955" s="12"/>
      <c r="N2955" s="88" t="s">
        <v>1292</v>
      </c>
      <c r="P2955" t="str">
        <f>VLOOKUP(B2955,PTN!A:B,2,FALSE)</f>
        <v>UNIVERSITAS SULAWESI BARAT</v>
      </c>
      <c r="Q2955" t="str">
        <f t="shared" si="46"/>
        <v>UNIVERSITAS SULAWESI BARATILMU HUKUM</v>
      </c>
    </row>
    <row r="2956" spans="1:17" ht="15.75" thickBot="1" x14ac:dyDescent="0.3">
      <c r="A2956" s="7">
        <v>2955</v>
      </c>
      <c r="B2956" s="6">
        <v>76</v>
      </c>
      <c r="C2956" s="13">
        <v>7412036</v>
      </c>
      <c r="D2956" t="s">
        <v>33</v>
      </c>
      <c r="E2956" s="13">
        <v>20</v>
      </c>
      <c r="F2956" s="10" t="s">
        <v>13</v>
      </c>
      <c r="J2956" s="138" t="s">
        <v>1292</v>
      </c>
      <c r="K2956" s="138" t="s">
        <v>1292</v>
      </c>
      <c r="L2956" s="138" t="s">
        <v>1292</v>
      </c>
      <c r="M2956" s="13"/>
      <c r="N2956" s="89" t="s">
        <v>1292</v>
      </c>
      <c r="P2956" t="str">
        <f>VLOOKUP(B2956,PTN!A:B,2,FALSE)</f>
        <v>UNIVERSITAS SULAWESI BARAT</v>
      </c>
      <c r="Q2956" t="str">
        <f t="shared" si="46"/>
        <v>UNIVERSITAS SULAWESI BARATILMU POLITIK</v>
      </c>
    </row>
    <row r="2957" spans="1:17" ht="15.75" thickBot="1" x14ac:dyDescent="0.3">
      <c r="A2957" s="7">
        <v>2956</v>
      </c>
      <c r="B2957" s="6">
        <v>76</v>
      </c>
      <c r="C2957" s="12">
        <v>7412013</v>
      </c>
      <c r="D2957" t="s">
        <v>61</v>
      </c>
      <c r="E2957" s="12">
        <v>48</v>
      </c>
      <c r="F2957" s="10" t="s">
        <v>13</v>
      </c>
      <c r="J2957" s="138" t="s">
        <v>1292</v>
      </c>
      <c r="K2957" s="138" t="s">
        <v>1292</v>
      </c>
      <c r="L2957" s="138" t="s">
        <v>1292</v>
      </c>
      <c r="M2957" s="12"/>
      <c r="N2957" s="88" t="s">
        <v>1292</v>
      </c>
      <c r="P2957" t="str">
        <f>VLOOKUP(B2957,PTN!A:B,2,FALSE)</f>
        <v>UNIVERSITAS SULAWESI BARAT</v>
      </c>
      <c r="Q2957" t="str">
        <f t="shared" si="46"/>
        <v>UNIVERSITAS SULAWESI BARATMANAJEMEN</v>
      </c>
    </row>
    <row r="2958" spans="1:17" ht="15.75" thickBot="1" x14ac:dyDescent="0.3">
      <c r="A2958" s="7">
        <v>2957</v>
      </c>
      <c r="B2958" s="6">
        <v>76</v>
      </c>
      <c r="C2958" s="16">
        <v>7412067</v>
      </c>
      <c r="D2958" t="s">
        <v>228</v>
      </c>
      <c r="E2958" s="16">
        <v>66</v>
      </c>
      <c r="F2958" s="10" t="s">
        <v>13</v>
      </c>
      <c r="J2958" s="138" t="s">
        <v>1292</v>
      </c>
      <c r="K2958" s="138" t="s">
        <v>1292</v>
      </c>
      <c r="L2958" s="138" t="s">
        <v>1292</v>
      </c>
      <c r="M2958" s="13"/>
      <c r="N2958" s="89" t="s">
        <v>1292</v>
      </c>
      <c r="P2958" t="str">
        <f>VLOOKUP(B2958,PTN!A:B,2,FALSE)</f>
        <v>UNIVERSITAS SULAWESI BARAT</v>
      </c>
      <c r="Q2958" t="str">
        <f t="shared" si="46"/>
        <v>UNIVERSITAS SULAWESI BARATPEND. BHS. INGGRIS</v>
      </c>
    </row>
    <row r="2959" spans="1:17" ht="16.5" thickTop="1" thickBot="1" x14ac:dyDescent="0.3">
      <c r="A2959" s="7">
        <v>2958</v>
      </c>
      <c r="B2959" s="6">
        <v>80</v>
      </c>
      <c r="C2959" s="12">
        <v>8111053</v>
      </c>
      <c r="D2959" t="s">
        <v>37</v>
      </c>
      <c r="E2959" s="12">
        <v>20</v>
      </c>
      <c r="F2959" s="10" t="s">
        <v>20</v>
      </c>
      <c r="J2959" s="138" t="s">
        <v>1292</v>
      </c>
      <c r="K2959" s="138" t="s">
        <v>1292</v>
      </c>
      <c r="L2959" s="138" t="s">
        <v>1292</v>
      </c>
      <c r="M2959" s="21"/>
      <c r="N2959" s="83" t="s">
        <v>1292</v>
      </c>
      <c r="P2959" t="str">
        <f>VLOOKUP(B2959,PTN!A:B,2,FALSE)</f>
        <v>UNIVERSITAS PATTIMURA</v>
      </c>
      <c r="Q2959" t="str">
        <f t="shared" si="46"/>
        <v>UNIVERSITAS PATTIMURAAGRIBISNIS</v>
      </c>
    </row>
    <row r="2960" spans="1:17" ht="15.75" thickBot="1" x14ac:dyDescent="0.3">
      <c r="A2960" s="7">
        <v>2959</v>
      </c>
      <c r="B2960" s="6">
        <v>80</v>
      </c>
      <c r="C2960" s="13">
        <v>8111196</v>
      </c>
      <c r="D2960" t="s">
        <v>536</v>
      </c>
      <c r="E2960" s="13">
        <v>24</v>
      </c>
      <c r="F2960" s="10" t="s">
        <v>20</v>
      </c>
      <c r="J2960" s="138" t="s">
        <v>1292</v>
      </c>
      <c r="K2960" s="138" t="s">
        <v>1292</v>
      </c>
      <c r="L2960" s="138" t="s">
        <v>1292</v>
      </c>
      <c r="M2960" s="21"/>
      <c r="N2960" s="83" t="s">
        <v>1292</v>
      </c>
      <c r="P2960" t="str">
        <f>VLOOKUP(B2960,PTN!A:B,2,FALSE)</f>
        <v>UNIVERSITAS PATTIMURA</v>
      </c>
      <c r="Q2960" t="str">
        <f t="shared" si="46"/>
        <v>UNIVERSITAS PATTIMURAAGROBISNIS PERIKANAN</v>
      </c>
    </row>
    <row r="2961" spans="1:17" ht="16.5" thickTop="1" thickBot="1" x14ac:dyDescent="0.3">
      <c r="A2961" s="7">
        <v>2960</v>
      </c>
      <c r="B2961" s="6">
        <v>80</v>
      </c>
      <c r="C2961" s="12">
        <v>8111061</v>
      </c>
      <c r="D2961" t="s">
        <v>64</v>
      </c>
      <c r="E2961" s="12">
        <v>14</v>
      </c>
      <c r="F2961" s="10" t="s">
        <v>20</v>
      </c>
      <c r="J2961" s="138" t="s">
        <v>1292</v>
      </c>
      <c r="K2961" s="138" t="s">
        <v>1292</v>
      </c>
      <c r="L2961" s="138" t="s">
        <v>1292</v>
      </c>
      <c r="M2961" s="24"/>
      <c r="N2961" s="84" t="s">
        <v>1292</v>
      </c>
      <c r="P2961" t="str">
        <f>VLOOKUP(B2961,PTN!A:B,2,FALSE)</f>
        <v>UNIVERSITAS PATTIMURA</v>
      </c>
      <c r="Q2961" t="str">
        <f t="shared" si="46"/>
        <v>UNIVERSITAS PATTIMURAAGROTEKNOLOGI</v>
      </c>
    </row>
    <row r="2962" spans="1:17" ht="16.5" thickTop="1" thickBot="1" x14ac:dyDescent="0.3">
      <c r="A2962" s="7">
        <v>2961</v>
      </c>
      <c r="B2962" s="6">
        <v>80</v>
      </c>
      <c r="C2962" s="13">
        <v>8111231</v>
      </c>
      <c r="D2962" t="s">
        <v>21</v>
      </c>
      <c r="E2962" s="13">
        <v>25</v>
      </c>
      <c r="F2962" s="10" t="s">
        <v>20</v>
      </c>
      <c r="J2962" s="138" t="s">
        <v>1292</v>
      </c>
      <c r="K2962" s="138" t="s">
        <v>1292</v>
      </c>
      <c r="L2962" s="138" t="s">
        <v>1292</v>
      </c>
      <c r="M2962" s="12"/>
      <c r="N2962" s="88" t="s">
        <v>1292</v>
      </c>
      <c r="P2962" t="str">
        <f>VLOOKUP(B2962,PTN!A:B,2,FALSE)</f>
        <v>UNIVERSITAS PATTIMURA</v>
      </c>
      <c r="Q2962" t="str">
        <f t="shared" si="46"/>
        <v>UNIVERSITAS PATTIMURABIOLOGI</v>
      </c>
    </row>
    <row r="2963" spans="1:17" ht="15.75" thickBot="1" x14ac:dyDescent="0.3">
      <c r="A2963" s="7">
        <v>2962</v>
      </c>
      <c r="B2963" s="6">
        <v>80</v>
      </c>
      <c r="C2963" s="12">
        <v>8111165</v>
      </c>
      <c r="D2963" t="s">
        <v>39</v>
      </c>
      <c r="E2963" s="12">
        <v>16</v>
      </c>
      <c r="F2963" s="10" t="s">
        <v>20</v>
      </c>
      <c r="J2963" s="138" t="s">
        <v>1292</v>
      </c>
      <c r="K2963" s="138" t="s">
        <v>1292</v>
      </c>
      <c r="L2963" s="138" t="s">
        <v>1292</v>
      </c>
      <c r="M2963" s="13"/>
      <c r="N2963" s="89" t="s">
        <v>1292</v>
      </c>
      <c r="P2963" t="str">
        <f>VLOOKUP(B2963,PTN!A:B,2,FALSE)</f>
        <v>UNIVERSITAS PATTIMURA</v>
      </c>
      <c r="Q2963" t="str">
        <f t="shared" si="46"/>
        <v>UNIVERSITAS PATTIMURABUDIDAYA PERAIRAN</v>
      </c>
    </row>
    <row r="2964" spans="1:17" ht="15.75" thickBot="1" x14ac:dyDescent="0.3">
      <c r="A2964" s="7">
        <v>2963</v>
      </c>
      <c r="B2964" s="6">
        <v>80</v>
      </c>
      <c r="C2964" s="13">
        <v>8111215</v>
      </c>
      <c r="D2964" t="s">
        <v>65</v>
      </c>
      <c r="E2964" s="13">
        <v>20</v>
      </c>
      <c r="F2964" s="10" t="s">
        <v>20</v>
      </c>
      <c r="J2964" s="138" t="s">
        <v>1292</v>
      </c>
      <c r="K2964" s="138" t="s">
        <v>1292</v>
      </c>
      <c r="L2964" s="138" t="s">
        <v>1292</v>
      </c>
      <c r="M2964" s="12"/>
      <c r="N2964" s="88" t="s">
        <v>1292</v>
      </c>
      <c r="P2964" t="str">
        <f>VLOOKUP(B2964,PTN!A:B,2,FALSE)</f>
        <v>UNIVERSITAS PATTIMURA</v>
      </c>
      <c r="Q2964" t="str">
        <f t="shared" si="46"/>
        <v>UNIVERSITAS PATTIMURAFISIKA</v>
      </c>
    </row>
    <row r="2965" spans="1:17" ht="15.75" thickBot="1" x14ac:dyDescent="0.3">
      <c r="A2965" s="7">
        <v>2964</v>
      </c>
      <c r="B2965" s="6">
        <v>80</v>
      </c>
      <c r="C2965" s="12">
        <v>8111157</v>
      </c>
      <c r="D2965" t="s">
        <v>714</v>
      </c>
      <c r="E2965" s="12">
        <v>20</v>
      </c>
      <c r="F2965" s="10" t="s">
        <v>20</v>
      </c>
      <c r="J2965" s="138" t="s">
        <v>1292</v>
      </c>
      <c r="K2965" s="138" t="s">
        <v>1292</v>
      </c>
      <c r="L2965" s="138" t="s">
        <v>1292</v>
      </c>
      <c r="M2965" s="13"/>
      <c r="N2965" s="89" t="s">
        <v>1292</v>
      </c>
      <c r="P2965" t="str">
        <f>VLOOKUP(B2965,PTN!A:B,2,FALSE)</f>
        <v>UNIVERSITAS PATTIMURA</v>
      </c>
      <c r="Q2965" t="str">
        <f t="shared" si="46"/>
        <v>UNIVERSITAS PATTIMURAIL. KELAUTAN</v>
      </c>
    </row>
    <row r="2966" spans="1:17" ht="15.75" thickBot="1" x14ac:dyDescent="0.3">
      <c r="A2966" s="7">
        <v>2965</v>
      </c>
      <c r="B2966" s="6">
        <v>80</v>
      </c>
      <c r="C2966" s="13">
        <v>8111285</v>
      </c>
      <c r="D2966" t="s">
        <v>79</v>
      </c>
      <c r="E2966" s="13">
        <v>10</v>
      </c>
      <c r="F2966" s="10" t="s">
        <v>20</v>
      </c>
      <c r="J2966" s="138" t="s">
        <v>1292</v>
      </c>
      <c r="K2966" s="138" t="s">
        <v>1292</v>
      </c>
      <c r="L2966" s="138" t="s">
        <v>1292</v>
      </c>
      <c r="M2966" s="12"/>
      <c r="N2966" s="88" t="s">
        <v>1292</v>
      </c>
      <c r="P2966" t="str">
        <f>VLOOKUP(B2966,PTN!A:B,2,FALSE)</f>
        <v>UNIVERSITAS PATTIMURA</v>
      </c>
      <c r="Q2966" t="str">
        <f t="shared" si="46"/>
        <v>UNIVERSITAS PATTIMURAILMU TANAH</v>
      </c>
    </row>
    <row r="2967" spans="1:17" ht="15.75" thickBot="1" x14ac:dyDescent="0.3">
      <c r="A2967" s="7">
        <v>2966</v>
      </c>
      <c r="B2967" s="6">
        <v>80</v>
      </c>
      <c r="C2967" s="12">
        <v>8111084</v>
      </c>
      <c r="D2967" t="s">
        <v>81</v>
      </c>
      <c r="E2967" s="12">
        <v>24</v>
      </c>
      <c r="F2967" s="10" t="s">
        <v>20</v>
      </c>
      <c r="J2967" s="138" t="s">
        <v>1292</v>
      </c>
      <c r="K2967" s="138" t="s">
        <v>1292</v>
      </c>
      <c r="L2967" s="138" t="s">
        <v>1292</v>
      </c>
      <c r="M2967" s="13"/>
      <c r="N2967" s="89" t="s">
        <v>1292</v>
      </c>
      <c r="P2967" t="str">
        <f>VLOOKUP(B2967,PTN!A:B,2,FALSE)</f>
        <v>UNIVERSITAS PATTIMURA</v>
      </c>
      <c r="Q2967" t="str">
        <f t="shared" si="46"/>
        <v>UNIVERSITAS PATTIMURAKEHUTANAN</v>
      </c>
    </row>
    <row r="2968" spans="1:17" ht="15.75" thickBot="1" x14ac:dyDescent="0.3">
      <c r="A2968" s="7">
        <v>2967</v>
      </c>
      <c r="B2968" s="6">
        <v>80</v>
      </c>
      <c r="C2968" s="13">
        <v>8111223</v>
      </c>
      <c r="D2968" t="s">
        <v>22</v>
      </c>
      <c r="E2968" s="13">
        <v>20</v>
      </c>
      <c r="F2968" s="10" t="s">
        <v>20</v>
      </c>
      <c r="J2968" s="138" t="s">
        <v>1292</v>
      </c>
      <c r="K2968" s="138" t="s">
        <v>1292</v>
      </c>
      <c r="L2968" s="138" t="s">
        <v>1292</v>
      </c>
      <c r="M2968" s="12"/>
      <c r="N2968" s="88" t="s">
        <v>1292</v>
      </c>
      <c r="P2968" t="str">
        <f>VLOOKUP(B2968,PTN!A:B,2,FALSE)</f>
        <v>UNIVERSITAS PATTIMURA</v>
      </c>
      <c r="Q2968" t="str">
        <f t="shared" si="46"/>
        <v>UNIVERSITAS PATTIMURAKIMIA</v>
      </c>
    </row>
    <row r="2969" spans="1:17" ht="15.75" thickBot="1" x14ac:dyDescent="0.3">
      <c r="A2969" s="7">
        <v>2968</v>
      </c>
      <c r="B2969" s="6">
        <v>80</v>
      </c>
      <c r="C2969" s="12">
        <v>8111142</v>
      </c>
      <c r="D2969" t="s">
        <v>715</v>
      </c>
      <c r="E2969" s="12">
        <v>20</v>
      </c>
      <c r="F2969" s="10" t="s">
        <v>20</v>
      </c>
      <c r="J2969" s="138" t="s">
        <v>1292</v>
      </c>
      <c r="K2969" s="138" t="s">
        <v>1292</v>
      </c>
      <c r="L2969" s="138" t="s">
        <v>1292</v>
      </c>
      <c r="M2969" s="13"/>
      <c r="N2969" s="89" t="s">
        <v>1292</v>
      </c>
      <c r="P2969" t="str">
        <f>VLOOKUP(B2969,PTN!A:B,2,FALSE)</f>
        <v>UNIVERSITAS PATTIMURA</v>
      </c>
      <c r="Q2969" t="str">
        <f t="shared" si="46"/>
        <v>UNIVERSITAS PATTIMURAMAJEMEN SUMB.PERAIRAN</v>
      </c>
    </row>
    <row r="2970" spans="1:17" ht="15.75" thickBot="1" x14ac:dyDescent="0.3">
      <c r="A2970" s="7">
        <v>2969</v>
      </c>
      <c r="B2970" s="6">
        <v>80</v>
      </c>
      <c r="C2970" s="13">
        <v>8111207</v>
      </c>
      <c r="D2970" t="s">
        <v>66</v>
      </c>
      <c r="E2970" s="13">
        <v>20</v>
      </c>
      <c r="F2970" s="10" t="s">
        <v>20</v>
      </c>
      <c r="J2970" s="138" t="s">
        <v>1292</v>
      </c>
      <c r="K2970" s="138" t="s">
        <v>1292</v>
      </c>
      <c r="L2970" s="138" t="s">
        <v>1292</v>
      </c>
      <c r="M2970" s="12"/>
      <c r="N2970" s="88" t="s">
        <v>1292</v>
      </c>
      <c r="P2970" t="str">
        <f>VLOOKUP(B2970,PTN!A:B,2,FALSE)</f>
        <v>UNIVERSITAS PATTIMURA</v>
      </c>
      <c r="Q2970" t="str">
        <f t="shared" si="46"/>
        <v>UNIVERSITAS PATTIMURAMATEMATIKA</v>
      </c>
    </row>
    <row r="2971" spans="1:17" ht="15.75" thickBot="1" x14ac:dyDescent="0.3">
      <c r="A2971" s="7">
        <v>2970</v>
      </c>
      <c r="B2971" s="6">
        <v>80</v>
      </c>
      <c r="C2971" s="12">
        <v>8111173</v>
      </c>
      <c r="D2971" t="s">
        <v>634</v>
      </c>
      <c r="E2971" s="12">
        <v>16</v>
      </c>
      <c r="F2971" s="10" t="s">
        <v>20</v>
      </c>
      <c r="J2971" s="138" t="s">
        <v>1292</v>
      </c>
      <c r="K2971" s="138" t="s">
        <v>1292</v>
      </c>
      <c r="L2971" s="138" t="s">
        <v>1292</v>
      </c>
      <c r="M2971" s="13"/>
      <c r="N2971" s="89" t="s">
        <v>1292</v>
      </c>
      <c r="P2971" t="str">
        <f>VLOOKUP(B2971,PTN!A:B,2,FALSE)</f>
        <v>UNIVERSITAS PATTIMURA</v>
      </c>
      <c r="Q2971" t="str">
        <f t="shared" si="46"/>
        <v>UNIVERSITAS PATTIMURAPEMANFAATAN SD PERIKANAN</v>
      </c>
    </row>
    <row r="2972" spans="1:17" ht="15.75" thickBot="1" x14ac:dyDescent="0.3">
      <c r="A2972" s="7">
        <v>2971</v>
      </c>
      <c r="B2972" s="6">
        <v>80</v>
      </c>
      <c r="C2972" s="13">
        <v>8111277</v>
      </c>
      <c r="D2972" t="s">
        <v>716</v>
      </c>
      <c r="E2972" s="13">
        <v>8</v>
      </c>
      <c r="F2972" s="10" t="s">
        <v>20</v>
      </c>
      <c r="J2972" s="138" t="s">
        <v>1292</v>
      </c>
      <c r="K2972" s="138" t="s">
        <v>1292</v>
      </c>
      <c r="L2972" s="138" t="s">
        <v>1292</v>
      </c>
      <c r="M2972" s="12"/>
      <c r="N2972" s="88" t="s">
        <v>1292</v>
      </c>
      <c r="P2972" t="str">
        <f>VLOOKUP(B2972,PTN!A:B,2,FALSE)</f>
        <v>UNIVERSITAS PATTIMURA</v>
      </c>
      <c r="Q2972" t="str">
        <f t="shared" si="46"/>
        <v>UNIVERSITAS PATTIMURAPEMULIAAN TANAMAN</v>
      </c>
    </row>
    <row r="2973" spans="1:17" ht="15.75" thickBot="1" x14ac:dyDescent="0.3">
      <c r="A2973" s="7">
        <v>2972</v>
      </c>
      <c r="B2973" s="6">
        <v>80</v>
      </c>
      <c r="C2973" s="12">
        <v>8111014</v>
      </c>
      <c r="D2973" t="s">
        <v>214</v>
      </c>
      <c r="E2973" s="12">
        <v>16</v>
      </c>
      <c r="F2973" s="10" t="s">
        <v>20</v>
      </c>
      <c r="J2973" s="138" t="s">
        <v>1292</v>
      </c>
      <c r="K2973" s="138" t="s">
        <v>1292</v>
      </c>
      <c r="L2973" s="138" t="s">
        <v>1292</v>
      </c>
      <c r="M2973" s="13"/>
      <c r="N2973" s="89" t="s">
        <v>1292</v>
      </c>
      <c r="P2973" t="str">
        <f>VLOOKUP(B2973,PTN!A:B,2,FALSE)</f>
        <v>UNIVERSITAS PATTIMURA</v>
      </c>
      <c r="Q2973" t="str">
        <f t="shared" si="46"/>
        <v>UNIVERSITAS PATTIMURAPEND. BIOLOGI</v>
      </c>
    </row>
    <row r="2974" spans="1:17" ht="15.75" thickBot="1" x14ac:dyDescent="0.3">
      <c r="A2974" s="7">
        <v>2973</v>
      </c>
      <c r="B2974" s="6">
        <v>80</v>
      </c>
      <c r="C2974" s="13">
        <v>8111022</v>
      </c>
      <c r="D2974" t="s">
        <v>216</v>
      </c>
      <c r="E2974" s="13">
        <v>16</v>
      </c>
      <c r="F2974" s="10" t="s">
        <v>20</v>
      </c>
      <c r="J2974" s="138" t="s">
        <v>1292</v>
      </c>
      <c r="K2974" s="138" t="s">
        <v>1292</v>
      </c>
      <c r="L2974" s="138" t="s">
        <v>1292</v>
      </c>
      <c r="M2974" s="12"/>
      <c r="N2974" s="88" t="s">
        <v>1292</v>
      </c>
      <c r="P2974" t="str">
        <f>VLOOKUP(B2974,PTN!A:B,2,FALSE)</f>
        <v>UNIVERSITAS PATTIMURA</v>
      </c>
      <c r="Q2974" t="str">
        <f t="shared" si="46"/>
        <v>UNIVERSITAS PATTIMURAPEND. FISIKA</v>
      </c>
    </row>
    <row r="2975" spans="1:17" ht="15.75" thickBot="1" x14ac:dyDescent="0.3">
      <c r="A2975" s="7">
        <v>2974</v>
      </c>
      <c r="B2975" s="6">
        <v>80</v>
      </c>
      <c r="C2975" s="12">
        <v>8111246</v>
      </c>
      <c r="D2975" t="s">
        <v>41</v>
      </c>
      <c r="E2975" s="12">
        <v>30</v>
      </c>
      <c r="F2975" s="10" t="s">
        <v>20</v>
      </c>
      <c r="J2975" s="138">
        <v>610.80999999999995</v>
      </c>
      <c r="K2975" s="138">
        <v>615.70999999999992</v>
      </c>
      <c r="L2975" s="138">
        <v>605.91</v>
      </c>
      <c r="M2975" s="13"/>
      <c r="N2975" s="89">
        <v>610.80999999999995</v>
      </c>
      <c r="P2975" t="str">
        <f>VLOOKUP(B2975,PTN!A:B,2,FALSE)</f>
        <v>UNIVERSITAS PATTIMURA</v>
      </c>
      <c r="Q2975" t="str">
        <f t="shared" si="46"/>
        <v>UNIVERSITAS PATTIMURAPENDIDIKAN DOKTER</v>
      </c>
    </row>
    <row r="2976" spans="1:17" ht="15.75" thickBot="1" x14ac:dyDescent="0.3">
      <c r="A2976" s="7">
        <v>2975</v>
      </c>
      <c r="B2976" s="6">
        <v>80</v>
      </c>
      <c r="C2976" s="13">
        <v>8111335</v>
      </c>
      <c r="D2976" t="s">
        <v>717</v>
      </c>
      <c r="E2976" s="13">
        <v>8</v>
      </c>
      <c r="F2976" s="10" t="s">
        <v>20</v>
      </c>
      <c r="J2976" s="138" t="s">
        <v>1292</v>
      </c>
      <c r="K2976" s="138" t="s">
        <v>1292</v>
      </c>
      <c r="L2976" s="138" t="s">
        <v>1292</v>
      </c>
      <c r="M2976" s="12"/>
      <c r="N2976" s="88" t="s">
        <v>1292</v>
      </c>
      <c r="P2976" t="str">
        <f>VLOOKUP(B2976,PTN!A:B,2,FALSE)</f>
        <v>UNIVERSITAS PATTIMURA</v>
      </c>
      <c r="Q2976" t="str">
        <f t="shared" si="46"/>
        <v>UNIVERSITAS PATTIMURAPENDIDIKAN MATEMATIKA (PSDKU KAB. ARU)</v>
      </c>
    </row>
    <row r="2977" spans="1:17" ht="15.75" thickBot="1" x14ac:dyDescent="0.3">
      <c r="A2977" s="7">
        <v>2976</v>
      </c>
      <c r="B2977" s="6">
        <v>80</v>
      </c>
      <c r="C2977" s="12">
        <v>8111327</v>
      </c>
      <c r="D2977" t="s">
        <v>718</v>
      </c>
      <c r="E2977" s="12">
        <v>8</v>
      </c>
      <c r="F2977" s="10" t="s">
        <v>20</v>
      </c>
      <c r="J2977" s="138" t="s">
        <v>1292</v>
      </c>
      <c r="K2977" s="138" t="s">
        <v>1292</v>
      </c>
      <c r="L2977" s="138" t="s">
        <v>1292</v>
      </c>
      <c r="M2977" s="13"/>
      <c r="N2977" s="89" t="s">
        <v>1292</v>
      </c>
      <c r="P2977" t="str">
        <f>VLOOKUP(B2977,PTN!A:B,2,FALSE)</f>
        <v>UNIVERSITAS PATTIMURA</v>
      </c>
      <c r="Q2977" t="str">
        <f t="shared" si="46"/>
        <v>UNIVERSITAS PATTIMURAPENDIDIKAN MATEMATIKA (PSDKU KAB. MBD)</v>
      </c>
    </row>
    <row r="2978" spans="1:17" ht="15.75" thickBot="1" x14ac:dyDescent="0.3">
      <c r="A2978" s="7">
        <v>2977</v>
      </c>
      <c r="B2978" s="6">
        <v>80</v>
      </c>
      <c r="C2978" s="13">
        <v>8111045</v>
      </c>
      <c r="D2978" t="s">
        <v>217</v>
      </c>
      <c r="E2978" s="13">
        <v>16</v>
      </c>
      <c r="F2978" s="10" t="s">
        <v>20</v>
      </c>
      <c r="J2978" s="138" t="s">
        <v>1292</v>
      </c>
      <c r="K2978" s="138" t="s">
        <v>1292</v>
      </c>
      <c r="L2978" s="138" t="s">
        <v>1292</v>
      </c>
      <c r="M2978" s="12"/>
      <c r="N2978" s="88" t="s">
        <v>1292</v>
      </c>
      <c r="P2978" t="str">
        <f>VLOOKUP(B2978,PTN!A:B,2,FALSE)</f>
        <v>UNIVERSITAS PATTIMURA</v>
      </c>
      <c r="Q2978" t="str">
        <f t="shared" si="46"/>
        <v>UNIVERSITAS PATTIMURAPEND. KIMIA</v>
      </c>
    </row>
    <row r="2979" spans="1:17" ht="15.75" thickBot="1" x14ac:dyDescent="0.3">
      <c r="A2979" s="7">
        <v>2978</v>
      </c>
      <c r="B2979" s="6">
        <v>80</v>
      </c>
      <c r="C2979" s="12">
        <v>8111037</v>
      </c>
      <c r="D2979" t="s">
        <v>218</v>
      </c>
      <c r="E2979" s="12">
        <v>16</v>
      </c>
      <c r="F2979" s="10" t="s">
        <v>20</v>
      </c>
      <c r="J2979" s="138" t="s">
        <v>1292</v>
      </c>
      <c r="K2979" s="138" t="s">
        <v>1292</v>
      </c>
      <c r="L2979" s="138" t="s">
        <v>1292</v>
      </c>
      <c r="M2979" s="13"/>
      <c r="N2979" s="89" t="s">
        <v>1292</v>
      </c>
      <c r="P2979" t="str">
        <f>VLOOKUP(B2979,PTN!A:B,2,FALSE)</f>
        <v>UNIVERSITAS PATTIMURA</v>
      </c>
      <c r="Q2979" t="str">
        <f t="shared" si="46"/>
        <v>UNIVERSITAS PATTIMURAPEND. MATEMATIKA</v>
      </c>
    </row>
    <row r="2980" spans="1:17" ht="15.75" thickBot="1" x14ac:dyDescent="0.3">
      <c r="A2980" s="7">
        <v>2979</v>
      </c>
      <c r="B2980" s="6">
        <v>80</v>
      </c>
      <c r="C2980" s="13">
        <v>8111254</v>
      </c>
      <c r="D2980" t="s">
        <v>87</v>
      </c>
      <c r="E2980" s="13">
        <v>20</v>
      </c>
      <c r="F2980" s="10" t="s">
        <v>20</v>
      </c>
      <c r="J2980" s="138" t="s">
        <v>1292</v>
      </c>
      <c r="K2980" s="138" t="s">
        <v>1292</v>
      </c>
      <c r="L2980" s="138" t="s">
        <v>1292</v>
      </c>
      <c r="M2980" s="12"/>
      <c r="N2980" s="88" t="s">
        <v>1292</v>
      </c>
      <c r="P2980" t="str">
        <f>VLOOKUP(B2980,PTN!A:B,2,FALSE)</f>
        <v>UNIVERSITAS PATTIMURA</v>
      </c>
      <c r="Q2980" t="str">
        <f t="shared" si="46"/>
        <v>UNIVERSITAS PATTIMURAPERENCANAAN WILAYAH DAN KOTA</v>
      </c>
    </row>
    <row r="2981" spans="1:17" ht="15.75" thickBot="1" x14ac:dyDescent="0.3">
      <c r="A2981" s="7">
        <v>2980</v>
      </c>
      <c r="B2981" s="6">
        <v>80</v>
      </c>
      <c r="C2981" s="12">
        <v>8111092</v>
      </c>
      <c r="D2981" t="s">
        <v>88</v>
      </c>
      <c r="E2981" s="12">
        <v>12</v>
      </c>
      <c r="F2981" s="10" t="s">
        <v>20</v>
      </c>
      <c r="J2981" s="138" t="s">
        <v>1292</v>
      </c>
      <c r="K2981" s="138" t="s">
        <v>1292</v>
      </c>
      <c r="L2981" s="138" t="s">
        <v>1292</v>
      </c>
      <c r="M2981" s="13"/>
      <c r="N2981" s="89" t="s">
        <v>1292</v>
      </c>
      <c r="P2981" t="str">
        <f>VLOOKUP(B2981,PTN!A:B,2,FALSE)</f>
        <v>UNIVERSITAS PATTIMURA</v>
      </c>
      <c r="Q2981" t="str">
        <f t="shared" si="46"/>
        <v>UNIVERSITAS PATTIMURAPETERNAKAN</v>
      </c>
    </row>
    <row r="2982" spans="1:17" ht="15.75" thickBot="1" x14ac:dyDescent="0.3">
      <c r="A2982" s="7">
        <v>2981</v>
      </c>
      <c r="B2982" s="6">
        <v>80</v>
      </c>
      <c r="C2982" s="13">
        <v>8111312</v>
      </c>
      <c r="D2982" t="s">
        <v>719</v>
      </c>
      <c r="E2982" s="13">
        <v>8</v>
      </c>
      <c r="F2982" s="10" t="s">
        <v>20</v>
      </c>
      <c r="J2982" s="138" t="s">
        <v>1292</v>
      </c>
      <c r="K2982" s="138" t="s">
        <v>1292</v>
      </c>
      <c r="L2982" s="138" t="s">
        <v>1292</v>
      </c>
      <c r="M2982" s="12"/>
      <c r="N2982" s="88" t="s">
        <v>1292</v>
      </c>
      <c r="P2982" t="str">
        <f>VLOOKUP(B2982,PTN!A:B,2,FALSE)</f>
        <v>UNIVERSITAS PATTIMURA</v>
      </c>
      <c r="Q2982" t="str">
        <f t="shared" si="46"/>
        <v>UNIVERSITAS PATTIMURAPETERNAKAN (PSDKU KAB. MBD)</v>
      </c>
    </row>
    <row r="2983" spans="1:17" ht="15.75" thickBot="1" x14ac:dyDescent="0.3">
      <c r="A2983" s="7">
        <v>2982</v>
      </c>
      <c r="B2983" s="6">
        <v>80</v>
      </c>
      <c r="C2983" s="12">
        <v>8111304</v>
      </c>
      <c r="D2983" t="s">
        <v>90</v>
      </c>
      <c r="E2983" s="12">
        <v>15</v>
      </c>
      <c r="F2983" s="10" t="s">
        <v>20</v>
      </c>
      <c r="J2983" s="138" t="s">
        <v>1292</v>
      </c>
      <c r="K2983" s="138" t="s">
        <v>1292</v>
      </c>
      <c r="L2983" s="138" t="s">
        <v>1292</v>
      </c>
      <c r="M2983" s="13"/>
      <c r="N2983" s="89" t="s">
        <v>1292</v>
      </c>
      <c r="P2983" t="str">
        <f>VLOOKUP(B2983,PTN!A:B,2,FALSE)</f>
        <v>UNIVERSITAS PATTIMURA</v>
      </c>
      <c r="Q2983" t="str">
        <f t="shared" si="46"/>
        <v>UNIVERSITAS PATTIMURASTATISTIKA</v>
      </c>
    </row>
    <row r="2984" spans="1:17" ht="15.75" thickBot="1" x14ac:dyDescent="0.3">
      <c r="A2984" s="7">
        <v>2983</v>
      </c>
      <c r="B2984" s="6">
        <v>80</v>
      </c>
      <c r="C2984" s="13">
        <v>8111181</v>
      </c>
      <c r="D2984" t="s">
        <v>720</v>
      </c>
      <c r="E2984" s="13">
        <v>20</v>
      </c>
      <c r="F2984" s="10" t="s">
        <v>20</v>
      </c>
      <c r="J2984" s="138" t="s">
        <v>1292</v>
      </c>
      <c r="K2984" s="138" t="s">
        <v>1292</v>
      </c>
      <c r="L2984" s="138" t="s">
        <v>1292</v>
      </c>
      <c r="M2984" s="12"/>
      <c r="N2984" s="88" t="s">
        <v>1292</v>
      </c>
      <c r="P2984" t="str">
        <f>VLOOKUP(B2984,PTN!A:B,2,FALSE)</f>
        <v>UNIVERSITAS PATTIMURA</v>
      </c>
      <c r="Q2984" t="str">
        <f t="shared" si="46"/>
        <v>UNIVERSITAS PATTIMURATEK. HASIL PERIKANAN</v>
      </c>
    </row>
    <row r="2985" spans="1:17" ht="15.75" thickBot="1" x14ac:dyDescent="0.3">
      <c r="A2985" s="7">
        <v>2984</v>
      </c>
      <c r="B2985" s="6">
        <v>80</v>
      </c>
      <c r="C2985" s="12">
        <v>8111076</v>
      </c>
      <c r="D2985" t="s">
        <v>721</v>
      </c>
      <c r="E2985" s="12">
        <v>20</v>
      </c>
      <c r="F2985" s="10" t="s">
        <v>20</v>
      </c>
      <c r="J2985" s="138" t="s">
        <v>1292</v>
      </c>
      <c r="K2985" s="138" t="s">
        <v>1292</v>
      </c>
      <c r="L2985" s="138" t="s">
        <v>1292</v>
      </c>
      <c r="M2985" s="13"/>
      <c r="N2985" s="89" t="s">
        <v>1292</v>
      </c>
      <c r="P2985" t="str">
        <f>VLOOKUP(B2985,PTN!A:B,2,FALSE)</f>
        <v>UNIVERSITAS PATTIMURA</v>
      </c>
      <c r="Q2985" t="str">
        <f t="shared" si="46"/>
        <v>UNIVERSITAS PATTIMURATEK. HASIL PERTANIAN</v>
      </c>
    </row>
    <row r="2986" spans="1:17" ht="15.75" thickBot="1" x14ac:dyDescent="0.3">
      <c r="A2986" s="7">
        <v>2985</v>
      </c>
      <c r="B2986" s="6">
        <v>80</v>
      </c>
      <c r="C2986" s="13">
        <v>8111343</v>
      </c>
      <c r="D2986" t="s">
        <v>91</v>
      </c>
      <c r="E2986" s="13">
        <v>3</v>
      </c>
      <c r="F2986" s="10" t="s">
        <v>20</v>
      </c>
      <c r="J2986" s="138" t="s">
        <v>1292</v>
      </c>
      <c r="K2986" s="138" t="s">
        <v>1292</v>
      </c>
      <c r="L2986" s="138" t="s">
        <v>1292</v>
      </c>
      <c r="M2986" s="12"/>
      <c r="N2986" s="88" t="s">
        <v>1292</v>
      </c>
      <c r="P2986" t="str">
        <f>VLOOKUP(B2986,PTN!A:B,2,FALSE)</f>
        <v>UNIVERSITAS PATTIMURA</v>
      </c>
      <c r="Q2986" t="str">
        <f t="shared" si="46"/>
        <v>UNIVERSITAS PATTIMURATEKNIK GEOFISIKA</v>
      </c>
    </row>
    <row r="2987" spans="1:17" ht="15.75" thickBot="1" x14ac:dyDescent="0.3">
      <c r="A2987" s="7">
        <v>2986</v>
      </c>
      <c r="B2987" s="6">
        <v>80</v>
      </c>
      <c r="C2987" s="12">
        <v>8111293</v>
      </c>
      <c r="D2987" t="s">
        <v>92</v>
      </c>
      <c r="E2987" s="12">
        <v>3</v>
      </c>
      <c r="F2987" s="10" t="s">
        <v>20</v>
      </c>
      <c r="J2987" s="138" t="s">
        <v>1292</v>
      </c>
      <c r="K2987" s="138" t="s">
        <v>1292</v>
      </c>
      <c r="L2987" s="138" t="s">
        <v>1292</v>
      </c>
      <c r="M2987" s="13"/>
      <c r="N2987" s="89" t="s">
        <v>1292</v>
      </c>
      <c r="P2987" t="str">
        <f>VLOOKUP(B2987,PTN!A:B,2,FALSE)</f>
        <v>UNIVERSITAS PATTIMURA</v>
      </c>
      <c r="Q2987" t="str">
        <f t="shared" si="46"/>
        <v>UNIVERSITAS PATTIMURATEKNIK GEOLOGI</v>
      </c>
    </row>
    <row r="2988" spans="1:17" ht="15.75" thickBot="1" x14ac:dyDescent="0.3">
      <c r="A2988" s="7">
        <v>2987</v>
      </c>
      <c r="B2988" s="6">
        <v>80</v>
      </c>
      <c r="C2988" s="13">
        <v>8111134</v>
      </c>
      <c r="D2988" t="s">
        <v>49</v>
      </c>
      <c r="E2988" s="13">
        <v>20</v>
      </c>
      <c r="F2988" s="10" t="s">
        <v>20</v>
      </c>
      <c r="J2988" s="138" t="s">
        <v>1292</v>
      </c>
      <c r="K2988" s="138" t="s">
        <v>1292</v>
      </c>
      <c r="L2988" s="138" t="s">
        <v>1292</v>
      </c>
      <c r="M2988" s="12"/>
      <c r="N2988" s="88" t="s">
        <v>1292</v>
      </c>
      <c r="P2988" t="str">
        <f>VLOOKUP(B2988,PTN!A:B,2,FALSE)</f>
        <v>UNIVERSITAS PATTIMURA</v>
      </c>
      <c r="Q2988" t="str">
        <f t="shared" si="46"/>
        <v>UNIVERSITAS PATTIMURATEKNIK INDUSTRI</v>
      </c>
    </row>
    <row r="2989" spans="1:17" ht="15.75" thickBot="1" x14ac:dyDescent="0.3">
      <c r="A2989" s="7">
        <v>2988</v>
      </c>
      <c r="B2989" s="6">
        <v>80</v>
      </c>
      <c r="C2989" s="12">
        <v>8111126</v>
      </c>
      <c r="D2989" t="s">
        <v>53</v>
      </c>
      <c r="E2989" s="12">
        <v>30</v>
      </c>
      <c r="F2989" s="10" t="s">
        <v>20</v>
      </c>
      <c r="J2989" s="138" t="s">
        <v>1292</v>
      </c>
      <c r="K2989" s="138" t="s">
        <v>1292</v>
      </c>
      <c r="L2989" s="138" t="s">
        <v>1292</v>
      </c>
      <c r="M2989" s="13"/>
      <c r="N2989" s="89" t="s">
        <v>1292</v>
      </c>
      <c r="P2989" t="str">
        <f>VLOOKUP(B2989,PTN!A:B,2,FALSE)</f>
        <v>UNIVERSITAS PATTIMURA</v>
      </c>
      <c r="Q2989" t="str">
        <f t="shared" si="46"/>
        <v>UNIVERSITAS PATTIMURATEKNIK MESIN</v>
      </c>
    </row>
    <row r="2990" spans="1:17" ht="15.75" thickBot="1" x14ac:dyDescent="0.3">
      <c r="A2990" s="7">
        <v>2989</v>
      </c>
      <c r="B2990" s="6">
        <v>80</v>
      </c>
      <c r="C2990" s="13">
        <v>8111103</v>
      </c>
      <c r="D2990" t="s">
        <v>295</v>
      </c>
      <c r="E2990" s="13">
        <v>20</v>
      </c>
      <c r="F2990" s="10" t="s">
        <v>20</v>
      </c>
      <c r="J2990" s="138" t="s">
        <v>1292</v>
      </c>
      <c r="K2990" s="138" t="s">
        <v>1292</v>
      </c>
      <c r="L2990" s="138" t="s">
        <v>1292</v>
      </c>
      <c r="M2990" s="12"/>
      <c r="N2990" s="88" t="s">
        <v>1292</v>
      </c>
      <c r="P2990" t="str">
        <f>VLOOKUP(B2990,PTN!A:B,2,FALSE)</f>
        <v>UNIVERSITAS PATTIMURA</v>
      </c>
      <c r="Q2990" t="str">
        <f t="shared" si="46"/>
        <v>UNIVERSITAS PATTIMURATEKNIK PERKAPALAN</v>
      </c>
    </row>
    <row r="2991" spans="1:17" ht="15.75" thickBot="1" x14ac:dyDescent="0.3">
      <c r="A2991" s="7">
        <v>2990</v>
      </c>
      <c r="B2991" s="6">
        <v>80</v>
      </c>
      <c r="C2991" s="12">
        <v>8111351</v>
      </c>
      <c r="D2991" t="s">
        <v>514</v>
      </c>
      <c r="E2991" s="12">
        <v>3</v>
      </c>
      <c r="F2991" s="10" t="s">
        <v>20</v>
      </c>
      <c r="J2991" s="138" t="s">
        <v>1292</v>
      </c>
      <c r="K2991" s="138" t="s">
        <v>1292</v>
      </c>
      <c r="L2991" s="138" t="s">
        <v>1292</v>
      </c>
      <c r="M2991" s="13"/>
      <c r="N2991" s="89" t="s">
        <v>1292</v>
      </c>
      <c r="P2991" t="str">
        <f>VLOOKUP(B2991,PTN!A:B,2,FALSE)</f>
        <v>UNIVERSITAS PATTIMURA</v>
      </c>
      <c r="Q2991" t="str">
        <f t="shared" si="46"/>
        <v>UNIVERSITAS PATTIMURATEKNIK PERMINYAKAN</v>
      </c>
    </row>
    <row r="2992" spans="1:17" ht="15.75" thickBot="1" x14ac:dyDescent="0.3">
      <c r="A2992" s="7">
        <v>2991</v>
      </c>
      <c r="B2992" s="6">
        <v>80</v>
      </c>
      <c r="C2992" s="13">
        <v>8111262</v>
      </c>
      <c r="D2992" t="s">
        <v>54</v>
      </c>
      <c r="E2992" s="13">
        <v>20</v>
      </c>
      <c r="F2992" s="10" t="s">
        <v>20</v>
      </c>
      <c r="J2992" s="138" t="s">
        <v>1292</v>
      </c>
      <c r="K2992" s="138" t="s">
        <v>1292</v>
      </c>
      <c r="L2992" s="138" t="s">
        <v>1292</v>
      </c>
      <c r="M2992" s="12"/>
      <c r="N2992" s="88" t="s">
        <v>1292</v>
      </c>
      <c r="P2992" t="str">
        <f>VLOOKUP(B2992,PTN!A:B,2,FALSE)</f>
        <v>UNIVERSITAS PATTIMURA</v>
      </c>
      <c r="Q2992" t="str">
        <f t="shared" si="46"/>
        <v>UNIVERSITAS PATTIMURATEKNIK SIPIL</v>
      </c>
    </row>
    <row r="2993" spans="1:17" ht="15.75" thickBot="1" x14ac:dyDescent="0.3">
      <c r="A2993" s="7">
        <v>2992</v>
      </c>
      <c r="B2993" s="6">
        <v>80</v>
      </c>
      <c r="C2993" s="14">
        <v>8111111</v>
      </c>
      <c r="D2993" t="s">
        <v>722</v>
      </c>
      <c r="E2993" s="14">
        <v>20</v>
      </c>
      <c r="F2993" s="10" t="s">
        <v>20</v>
      </c>
      <c r="J2993" s="138" t="s">
        <v>1292</v>
      </c>
      <c r="K2993" s="138" t="s">
        <v>1292</v>
      </c>
      <c r="L2993" s="138" t="s">
        <v>1292</v>
      </c>
      <c r="M2993" s="13"/>
      <c r="N2993" s="89" t="s">
        <v>1292</v>
      </c>
      <c r="P2993" t="str">
        <f>VLOOKUP(B2993,PTN!A:B,2,FALSE)</f>
        <v>UNIVERSITAS PATTIMURA</v>
      </c>
      <c r="Q2993" t="str">
        <f t="shared" si="46"/>
        <v>UNIVERSITAS PATTIMURATEKNIK SISTIM PERKAPALAN</v>
      </c>
    </row>
    <row r="2994" spans="1:17" ht="16.5" thickTop="1" thickBot="1" x14ac:dyDescent="0.3">
      <c r="A2994" s="7">
        <v>2993</v>
      </c>
      <c r="B2994" s="6">
        <v>80</v>
      </c>
      <c r="C2994" s="12">
        <v>8112072</v>
      </c>
      <c r="D2994" t="s">
        <v>55</v>
      </c>
      <c r="E2994" s="12">
        <v>40</v>
      </c>
      <c r="F2994" s="10" t="s">
        <v>13</v>
      </c>
      <c r="J2994" s="138" t="s">
        <v>1292</v>
      </c>
      <c r="K2994" s="138" t="s">
        <v>1292</v>
      </c>
      <c r="L2994" s="138" t="s">
        <v>1292</v>
      </c>
      <c r="M2994" s="21"/>
      <c r="N2994" s="83" t="s">
        <v>1292</v>
      </c>
      <c r="P2994" t="str">
        <f>VLOOKUP(B2994,PTN!A:B,2,FALSE)</f>
        <v>UNIVERSITAS PATTIMURA</v>
      </c>
      <c r="Q2994" t="str">
        <f t="shared" si="46"/>
        <v>UNIVERSITAS PATTIMURAAKUNTANSI</v>
      </c>
    </row>
    <row r="2995" spans="1:17" ht="15.75" thickBot="1" x14ac:dyDescent="0.3">
      <c r="A2995" s="7">
        <v>2994</v>
      </c>
      <c r="B2995" s="6">
        <v>80</v>
      </c>
      <c r="C2995" s="13">
        <v>8112265</v>
      </c>
      <c r="D2995" t="s">
        <v>723</v>
      </c>
      <c r="E2995" s="13">
        <v>20</v>
      </c>
      <c r="F2995" s="10" t="s">
        <v>13</v>
      </c>
      <c r="J2995" s="138" t="s">
        <v>1292</v>
      </c>
      <c r="K2995" s="138" t="s">
        <v>1292</v>
      </c>
      <c r="L2995" s="138" t="s">
        <v>1292</v>
      </c>
      <c r="M2995" s="21"/>
      <c r="N2995" s="83" t="s">
        <v>1292</v>
      </c>
      <c r="P2995" t="str">
        <f>VLOOKUP(B2995,PTN!A:B,2,FALSE)</f>
        <v>UNIVERSITAS PATTIMURA</v>
      </c>
      <c r="Q2995" t="str">
        <f t="shared" si="46"/>
        <v>UNIVERSITAS PATTIMURAAKUNTANSI (PSDKU KAB. ARU)</v>
      </c>
    </row>
    <row r="2996" spans="1:17" ht="16.5" thickTop="1" thickBot="1" x14ac:dyDescent="0.3">
      <c r="A2996" s="7">
        <v>2995</v>
      </c>
      <c r="B2996" s="6">
        <v>80</v>
      </c>
      <c r="C2996" s="12">
        <v>8112226</v>
      </c>
      <c r="D2996" t="s">
        <v>724</v>
      </c>
      <c r="E2996" s="12">
        <v>13</v>
      </c>
      <c r="F2996" s="10" t="s">
        <v>13</v>
      </c>
      <c r="J2996" s="138" t="s">
        <v>1292</v>
      </c>
      <c r="K2996" s="138" t="s">
        <v>1292</v>
      </c>
      <c r="L2996" s="138" t="s">
        <v>1292</v>
      </c>
      <c r="M2996" s="24"/>
      <c r="N2996" s="84" t="s">
        <v>1292</v>
      </c>
      <c r="P2996" t="str">
        <f>VLOOKUP(B2996,PTN!A:B,2,FALSE)</f>
        <v>UNIVERSITAS PATTIMURA</v>
      </c>
      <c r="Q2996" t="str">
        <f t="shared" si="46"/>
        <v>UNIVERSITAS PATTIMURAAKUNTANSI (PSDKU KAB. MBD)</v>
      </c>
    </row>
    <row r="2997" spans="1:17" ht="16.5" thickTop="1" thickBot="1" x14ac:dyDescent="0.3">
      <c r="A2997" s="7">
        <v>2996</v>
      </c>
      <c r="B2997" s="6">
        <v>80</v>
      </c>
      <c r="C2997" s="13">
        <v>8112161</v>
      </c>
      <c r="D2997" t="s">
        <v>27</v>
      </c>
      <c r="E2997" s="13">
        <v>16</v>
      </c>
      <c r="F2997" s="10" t="s">
        <v>13</v>
      </c>
      <c r="J2997" s="138" t="s">
        <v>1292</v>
      </c>
      <c r="K2997" s="138" t="s">
        <v>1292</v>
      </c>
      <c r="L2997" s="138" t="s">
        <v>1292</v>
      </c>
      <c r="M2997" s="12"/>
      <c r="N2997" s="88" t="s">
        <v>1292</v>
      </c>
      <c r="P2997" t="str">
        <f>VLOOKUP(B2997,PTN!A:B,2,FALSE)</f>
        <v>UNIVERSITAS PATTIMURA</v>
      </c>
      <c r="Q2997" t="str">
        <f t="shared" si="46"/>
        <v>UNIVERSITAS PATTIMURABIMBINGAN KONSELING</v>
      </c>
    </row>
    <row r="2998" spans="1:17" ht="15.75" thickBot="1" x14ac:dyDescent="0.3">
      <c r="A2998" s="7">
        <v>2997</v>
      </c>
      <c r="B2998" s="6">
        <v>80</v>
      </c>
      <c r="C2998" s="12">
        <v>8112064</v>
      </c>
      <c r="D2998" t="s">
        <v>69</v>
      </c>
      <c r="E2998" s="12">
        <v>25</v>
      </c>
      <c r="F2998" s="10" t="s">
        <v>13</v>
      </c>
      <c r="J2998" s="138" t="s">
        <v>1292</v>
      </c>
      <c r="K2998" s="138" t="s">
        <v>1292</v>
      </c>
      <c r="L2998" s="138" t="s">
        <v>1292</v>
      </c>
      <c r="M2998" s="13"/>
      <c r="N2998" s="89" t="s">
        <v>1292</v>
      </c>
      <c r="P2998" t="str">
        <f>VLOOKUP(B2998,PTN!A:B,2,FALSE)</f>
        <v>UNIVERSITAS PATTIMURA</v>
      </c>
      <c r="Q2998" t="str">
        <f t="shared" si="46"/>
        <v>UNIVERSITAS PATTIMURAEKONOMI PEMBANGUNAN</v>
      </c>
    </row>
    <row r="2999" spans="1:17" ht="15.75" thickBot="1" x14ac:dyDescent="0.3">
      <c r="A2999" s="7">
        <v>2998</v>
      </c>
      <c r="B2999" s="6">
        <v>80</v>
      </c>
      <c r="C2999" s="13">
        <v>8112025</v>
      </c>
      <c r="D2999" t="s">
        <v>725</v>
      </c>
      <c r="E2999" s="13">
        <v>40</v>
      </c>
      <c r="F2999" s="10" t="s">
        <v>13</v>
      </c>
      <c r="J2999" s="138" t="s">
        <v>1292</v>
      </c>
      <c r="K2999" s="138" t="s">
        <v>1292</v>
      </c>
      <c r="L2999" s="138" t="s">
        <v>1292</v>
      </c>
      <c r="M2999" s="12"/>
      <c r="N2999" s="88" t="s">
        <v>1292</v>
      </c>
      <c r="P2999" t="str">
        <f>VLOOKUP(B2999,PTN!A:B,2,FALSE)</f>
        <v>UNIVERSITAS PATTIMURA</v>
      </c>
      <c r="Q2999" t="str">
        <f t="shared" si="46"/>
        <v>UNIVERSITAS PATTIMURAIL. ADM. NEGARA</v>
      </c>
    </row>
    <row r="3000" spans="1:17" ht="15.75" thickBot="1" x14ac:dyDescent="0.3">
      <c r="A3000" s="7">
        <v>2999</v>
      </c>
      <c r="B3000" s="6">
        <v>80</v>
      </c>
      <c r="C3000" s="12">
        <v>8112017</v>
      </c>
      <c r="D3000" t="s">
        <v>726</v>
      </c>
      <c r="E3000" s="12">
        <v>110</v>
      </c>
      <c r="F3000" s="10" t="s">
        <v>13</v>
      </c>
      <c r="J3000" s="138" t="s">
        <v>1292</v>
      </c>
      <c r="K3000" s="138" t="s">
        <v>1292</v>
      </c>
      <c r="L3000" s="138" t="s">
        <v>1292</v>
      </c>
      <c r="M3000" s="13"/>
      <c r="N3000" s="89" t="s">
        <v>1292</v>
      </c>
      <c r="P3000" t="str">
        <f>VLOOKUP(B3000,PTN!A:B,2,FALSE)</f>
        <v>UNIVERSITAS PATTIMURA</v>
      </c>
      <c r="Q3000" t="str">
        <f t="shared" si="46"/>
        <v>UNIVERSITAS PATTIMURAIL. HUKUM</v>
      </c>
    </row>
    <row r="3001" spans="1:17" ht="15.75" thickBot="1" x14ac:dyDescent="0.3">
      <c r="A3001" s="7">
        <v>3000</v>
      </c>
      <c r="B3001" s="6">
        <v>80</v>
      </c>
      <c r="C3001" s="13">
        <v>8112257</v>
      </c>
      <c r="D3001" t="s">
        <v>727</v>
      </c>
      <c r="E3001" s="13">
        <v>20</v>
      </c>
      <c r="F3001" s="10" t="s">
        <v>13</v>
      </c>
      <c r="J3001" s="138" t="s">
        <v>1292</v>
      </c>
      <c r="K3001" s="138" t="s">
        <v>1292</v>
      </c>
      <c r="L3001" s="138" t="s">
        <v>1292</v>
      </c>
      <c r="M3001" s="12"/>
      <c r="N3001" s="88" t="s">
        <v>1292</v>
      </c>
      <c r="P3001" t="str">
        <f>VLOOKUP(B3001,PTN!A:B,2,FALSE)</f>
        <v>UNIVERSITAS PATTIMURA</v>
      </c>
      <c r="Q3001" t="str">
        <f t="shared" si="46"/>
        <v>UNIVERSITAS PATTIMURAILMU HUKUM (PSDKU KAB. ARU)</v>
      </c>
    </row>
    <row r="3002" spans="1:17" ht="15.75" thickBot="1" x14ac:dyDescent="0.3">
      <c r="A3002" s="7">
        <v>3001</v>
      </c>
      <c r="B3002" s="6">
        <v>80</v>
      </c>
      <c r="C3002" s="12">
        <v>8112211</v>
      </c>
      <c r="D3002" t="s">
        <v>728</v>
      </c>
      <c r="E3002" s="12">
        <v>20</v>
      </c>
      <c r="F3002" s="10" t="s">
        <v>13</v>
      </c>
      <c r="J3002" s="138" t="s">
        <v>1292</v>
      </c>
      <c r="K3002" s="138" t="s">
        <v>1292</v>
      </c>
      <c r="L3002" s="138" t="s">
        <v>1292</v>
      </c>
      <c r="M3002" s="13"/>
      <c r="N3002" s="89" t="s">
        <v>1292</v>
      </c>
      <c r="P3002" t="str">
        <f>VLOOKUP(B3002,PTN!A:B,2,FALSE)</f>
        <v>UNIVERSITAS PATTIMURA</v>
      </c>
      <c r="Q3002" t="str">
        <f t="shared" si="46"/>
        <v>UNIVERSITAS PATTIMURAILMU HUKUM (PSDKU KAB. MBD)</v>
      </c>
    </row>
    <row r="3003" spans="1:17" ht="15.75" thickBot="1" x14ac:dyDescent="0.3">
      <c r="A3003" s="7">
        <v>3002</v>
      </c>
      <c r="B3003" s="6">
        <v>80</v>
      </c>
      <c r="C3003" s="13">
        <v>8112192</v>
      </c>
      <c r="D3003" t="s">
        <v>60</v>
      </c>
      <c r="E3003" s="13">
        <v>20</v>
      </c>
      <c r="F3003" s="10" t="s">
        <v>13</v>
      </c>
      <c r="J3003" s="138" t="s">
        <v>1292</v>
      </c>
      <c r="K3003" s="138" t="s">
        <v>1292</v>
      </c>
      <c r="L3003" s="138" t="s">
        <v>1292</v>
      </c>
      <c r="M3003" s="12"/>
      <c r="N3003" s="88" t="s">
        <v>1292</v>
      </c>
      <c r="P3003" t="str">
        <f>VLOOKUP(B3003,PTN!A:B,2,FALSE)</f>
        <v>UNIVERSITAS PATTIMURA</v>
      </c>
      <c r="Q3003" t="str">
        <f t="shared" si="46"/>
        <v>UNIVERSITAS PATTIMURAILMU KOMUNIKASI</v>
      </c>
    </row>
    <row r="3004" spans="1:17" ht="15.75" thickBot="1" x14ac:dyDescent="0.3">
      <c r="A3004" s="7">
        <v>3003</v>
      </c>
      <c r="B3004" s="6">
        <v>80</v>
      </c>
      <c r="C3004" s="12">
        <v>8112033</v>
      </c>
      <c r="D3004" t="s">
        <v>729</v>
      </c>
      <c r="E3004" s="12">
        <v>40</v>
      </c>
      <c r="F3004" s="10" t="s">
        <v>13</v>
      </c>
      <c r="J3004" s="138" t="s">
        <v>1292</v>
      </c>
      <c r="K3004" s="138" t="s">
        <v>1292</v>
      </c>
      <c r="L3004" s="138" t="s">
        <v>1292</v>
      </c>
      <c r="M3004" s="13"/>
      <c r="N3004" s="89" t="s">
        <v>1292</v>
      </c>
      <c r="P3004" t="str">
        <f>VLOOKUP(B3004,PTN!A:B,2,FALSE)</f>
        <v>UNIVERSITAS PATTIMURA</v>
      </c>
      <c r="Q3004" t="str">
        <f t="shared" si="46"/>
        <v>UNIVERSITAS PATTIMURAIL. PEMERINTAHAN</v>
      </c>
    </row>
    <row r="3005" spans="1:17" ht="15.75" thickBot="1" x14ac:dyDescent="0.3">
      <c r="A3005" s="7">
        <v>3004</v>
      </c>
      <c r="B3005" s="6">
        <v>80</v>
      </c>
      <c r="C3005" s="13">
        <v>8112056</v>
      </c>
      <c r="D3005" t="s">
        <v>61</v>
      </c>
      <c r="E3005" s="13">
        <v>30</v>
      </c>
      <c r="F3005" s="10" t="s">
        <v>13</v>
      </c>
      <c r="J3005" s="138" t="s">
        <v>1292</v>
      </c>
      <c r="K3005" s="138" t="s">
        <v>1292</v>
      </c>
      <c r="L3005" s="138" t="s">
        <v>1292</v>
      </c>
      <c r="M3005" s="12"/>
      <c r="N3005" s="88" t="s">
        <v>1292</v>
      </c>
      <c r="P3005" t="str">
        <f>VLOOKUP(B3005,PTN!A:B,2,FALSE)</f>
        <v>UNIVERSITAS PATTIMURA</v>
      </c>
      <c r="Q3005" t="str">
        <f t="shared" si="46"/>
        <v>UNIVERSITAS PATTIMURAMANAJEMEN</v>
      </c>
    </row>
    <row r="3006" spans="1:17" ht="15.75" thickBot="1" x14ac:dyDescent="0.3">
      <c r="A3006" s="7">
        <v>3005</v>
      </c>
      <c r="B3006" s="6">
        <v>80</v>
      </c>
      <c r="C3006" s="12">
        <v>8112122</v>
      </c>
      <c r="D3006" t="s">
        <v>283</v>
      </c>
      <c r="E3006" s="12">
        <v>16</v>
      </c>
      <c r="F3006" s="10" t="s">
        <v>13</v>
      </c>
      <c r="J3006" s="138" t="s">
        <v>1292</v>
      </c>
      <c r="K3006" s="138" t="s">
        <v>1292</v>
      </c>
      <c r="L3006" s="138" t="s">
        <v>1292</v>
      </c>
      <c r="M3006" s="13"/>
      <c r="N3006" s="89" t="s">
        <v>1292</v>
      </c>
      <c r="P3006" t="str">
        <f>VLOOKUP(B3006,PTN!A:B,2,FALSE)</f>
        <v>UNIVERSITAS PATTIMURA</v>
      </c>
      <c r="Q3006" t="str">
        <f t="shared" si="46"/>
        <v>UNIVERSITAS PATTIMURAPEND. BAHASA INDONESIA</v>
      </c>
    </row>
    <row r="3007" spans="1:17" ht="15.75" thickBot="1" x14ac:dyDescent="0.3">
      <c r="A3007" s="7">
        <v>3006</v>
      </c>
      <c r="B3007" s="6">
        <v>80</v>
      </c>
      <c r="C3007" s="13">
        <v>8112137</v>
      </c>
      <c r="D3007" t="s">
        <v>242</v>
      </c>
      <c r="E3007" s="13">
        <v>16</v>
      </c>
      <c r="F3007" s="10" t="s">
        <v>13</v>
      </c>
      <c r="J3007" s="138" t="s">
        <v>1292</v>
      </c>
      <c r="K3007" s="138" t="s">
        <v>1292</v>
      </c>
      <c r="L3007" s="138" t="s">
        <v>1292</v>
      </c>
      <c r="M3007" s="12"/>
      <c r="N3007" s="88" t="s">
        <v>1292</v>
      </c>
      <c r="P3007" t="str">
        <f>VLOOKUP(B3007,PTN!A:B,2,FALSE)</f>
        <v>UNIVERSITAS PATTIMURA</v>
      </c>
      <c r="Q3007" t="str">
        <f t="shared" si="46"/>
        <v>UNIVERSITAS PATTIMURAPEND. BAHASA INGGRIS</v>
      </c>
    </row>
    <row r="3008" spans="1:17" ht="15.75" thickBot="1" x14ac:dyDescent="0.3">
      <c r="A3008" s="7">
        <v>3007</v>
      </c>
      <c r="B3008" s="6">
        <v>80</v>
      </c>
      <c r="C3008" s="12">
        <v>8112281</v>
      </c>
      <c r="D3008" t="s">
        <v>730</v>
      </c>
      <c r="E3008" s="12">
        <v>8</v>
      </c>
      <c r="F3008" s="10" t="s">
        <v>13</v>
      </c>
      <c r="J3008" s="138" t="s">
        <v>1292</v>
      </c>
      <c r="K3008" s="138" t="s">
        <v>1292</v>
      </c>
      <c r="L3008" s="138" t="s">
        <v>1292</v>
      </c>
      <c r="M3008" s="13"/>
      <c r="N3008" s="89" t="s">
        <v>1292</v>
      </c>
      <c r="P3008" t="str">
        <f>VLOOKUP(B3008,PTN!A:B,2,FALSE)</f>
        <v>UNIVERSITAS PATTIMURA</v>
      </c>
      <c r="Q3008" t="str">
        <f t="shared" si="46"/>
        <v>UNIVERSITAS PATTIMURAPEND. BAHASA INGGRIS (PSDKU KAB. ARU)</v>
      </c>
    </row>
    <row r="3009" spans="1:17" ht="15.75" thickBot="1" x14ac:dyDescent="0.3">
      <c r="A3009" s="7">
        <v>3008</v>
      </c>
      <c r="B3009" s="6">
        <v>80</v>
      </c>
      <c r="C3009" s="13">
        <v>8112242</v>
      </c>
      <c r="D3009" t="s">
        <v>731</v>
      </c>
      <c r="E3009" s="13">
        <v>8</v>
      </c>
      <c r="F3009" s="10" t="s">
        <v>13</v>
      </c>
      <c r="J3009" s="138" t="s">
        <v>1292</v>
      </c>
      <c r="K3009" s="138" t="s">
        <v>1292</v>
      </c>
      <c r="L3009" s="138" t="s">
        <v>1292</v>
      </c>
      <c r="M3009" s="12"/>
      <c r="N3009" s="88" t="s">
        <v>1292</v>
      </c>
      <c r="P3009" t="str">
        <f>VLOOKUP(B3009,PTN!A:B,2,FALSE)</f>
        <v>UNIVERSITAS PATTIMURA</v>
      </c>
      <c r="Q3009" t="str">
        <f t="shared" si="46"/>
        <v>UNIVERSITAS PATTIMURAPEND. BAHASA INGGRIS (PSDKU KAB. MBD)</v>
      </c>
    </row>
    <row r="3010" spans="1:17" ht="15.75" thickBot="1" x14ac:dyDescent="0.3">
      <c r="A3010" s="7">
        <v>3009</v>
      </c>
      <c r="B3010" s="6">
        <v>80</v>
      </c>
      <c r="C3010" s="12">
        <v>8112145</v>
      </c>
      <c r="D3010" t="s">
        <v>732</v>
      </c>
      <c r="E3010" s="12">
        <v>16</v>
      </c>
      <c r="F3010" s="10" t="s">
        <v>13</v>
      </c>
      <c r="J3010" s="138" t="s">
        <v>1292</v>
      </c>
      <c r="K3010" s="138" t="s">
        <v>1292</v>
      </c>
      <c r="L3010" s="138" t="s">
        <v>1292</v>
      </c>
      <c r="M3010" s="13"/>
      <c r="N3010" s="89" t="s">
        <v>1292</v>
      </c>
      <c r="P3010" t="str">
        <f>VLOOKUP(B3010,PTN!A:B,2,FALSE)</f>
        <v>UNIVERSITAS PATTIMURA</v>
      </c>
      <c r="Q3010" t="str">
        <f t="shared" si="46"/>
        <v>UNIVERSITAS PATTIMURAPEND. BAHASA JERMAN</v>
      </c>
    </row>
    <row r="3011" spans="1:17" ht="15.75" thickBot="1" x14ac:dyDescent="0.3">
      <c r="A3011" s="7">
        <v>3010</v>
      </c>
      <c r="B3011" s="6">
        <v>80</v>
      </c>
      <c r="C3011" s="13">
        <v>8112273</v>
      </c>
      <c r="D3011" t="s">
        <v>733</v>
      </c>
      <c r="E3011" s="13">
        <v>20</v>
      </c>
      <c r="F3011" s="10" t="s">
        <v>13</v>
      </c>
      <c r="J3011" s="138" t="s">
        <v>1292</v>
      </c>
      <c r="K3011" s="138" t="s">
        <v>1292</v>
      </c>
      <c r="L3011" s="138" t="s">
        <v>1292</v>
      </c>
      <c r="M3011" s="12"/>
      <c r="N3011" s="88" t="s">
        <v>1292</v>
      </c>
      <c r="P3011" t="str">
        <f>VLOOKUP(B3011,PTN!A:B,2,FALSE)</f>
        <v>UNIVERSITAS PATTIMURA</v>
      </c>
      <c r="Q3011" t="str">
        <f t="shared" ref="Q3011:Q3074" si="47">P3011&amp;D3011</f>
        <v>UNIVERSITAS PATTIMURAPEND. GURU SEKOLAH DASAR (PSDKU KAB. ARU)</v>
      </c>
    </row>
    <row r="3012" spans="1:17" ht="15.75" thickBot="1" x14ac:dyDescent="0.3">
      <c r="A3012" s="7">
        <v>3011</v>
      </c>
      <c r="B3012" s="6">
        <v>80</v>
      </c>
      <c r="C3012" s="12">
        <v>8112234</v>
      </c>
      <c r="D3012" t="s">
        <v>734</v>
      </c>
      <c r="E3012" s="12">
        <v>20</v>
      </c>
      <c r="F3012" s="10" t="s">
        <v>13</v>
      </c>
      <c r="J3012" s="138" t="s">
        <v>1292</v>
      </c>
      <c r="K3012" s="138" t="s">
        <v>1292</v>
      </c>
      <c r="L3012" s="138" t="s">
        <v>1292</v>
      </c>
      <c r="M3012" s="13"/>
      <c r="N3012" s="89" t="s">
        <v>1292</v>
      </c>
      <c r="P3012" t="str">
        <f>VLOOKUP(B3012,PTN!A:B,2,FALSE)</f>
        <v>UNIVERSITAS PATTIMURA</v>
      </c>
      <c r="Q3012" t="str">
        <f t="shared" si="47"/>
        <v>UNIVERSITAS PATTIMURAPEND. GURU SEKOLAH DASAR (PSDKU KAB. MBD)</v>
      </c>
    </row>
    <row r="3013" spans="1:17" ht="15.75" thickBot="1" x14ac:dyDescent="0.3">
      <c r="A3013" s="7">
        <v>3012</v>
      </c>
      <c r="B3013" s="6">
        <v>80</v>
      </c>
      <c r="C3013" s="13">
        <v>8112106</v>
      </c>
      <c r="D3013" t="s">
        <v>100</v>
      </c>
      <c r="E3013" s="13">
        <v>16</v>
      </c>
      <c r="F3013" s="10" t="s">
        <v>13</v>
      </c>
      <c r="J3013" s="138" t="s">
        <v>1292</v>
      </c>
      <c r="K3013" s="138" t="s">
        <v>1292</v>
      </c>
      <c r="L3013" s="138" t="s">
        <v>1292</v>
      </c>
      <c r="M3013" s="12"/>
      <c r="N3013" s="88" t="s">
        <v>1292</v>
      </c>
      <c r="P3013" t="str">
        <f>VLOOKUP(B3013,PTN!A:B,2,FALSE)</f>
        <v>UNIVERSITAS PATTIMURA</v>
      </c>
      <c r="Q3013" t="str">
        <f t="shared" si="47"/>
        <v>UNIVERSITAS PATTIMURAPENDIDIKAN EKONOMI</v>
      </c>
    </row>
    <row r="3014" spans="1:17" ht="15.75" thickBot="1" x14ac:dyDescent="0.3">
      <c r="A3014" s="7">
        <v>3013</v>
      </c>
      <c r="B3014" s="6">
        <v>80</v>
      </c>
      <c r="C3014" s="12">
        <v>8112095</v>
      </c>
      <c r="D3014" t="s">
        <v>72</v>
      </c>
      <c r="E3014" s="12">
        <v>16</v>
      </c>
      <c r="F3014" s="10" t="s">
        <v>13</v>
      </c>
      <c r="J3014" s="138" t="s">
        <v>1292</v>
      </c>
      <c r="K3014" s="138" t="s">
        <v>1292</v>
      </c>
      <c r="L3014" s="138" t="s">
        <v>1292</v>
      </c>
      <c r="M3014" s="13"/>
      <c r="N3014" s="89" t="s">
        <v>1292</v>
      </c>
      <c r="P3014" t="str">
        <f>VLOOKUP(B3014,PTN!A:B,2,FALSE)</f>
        <v>UNIVERSITAS PATTIMURA</v>
      </c>
      <c r="Q3014" t="str">
        <f t="shared" si="47"/>
        <v>UNIVERSITAS PATTIMURAPENDIDIKAN GEOGRAFI</v>
      </c>
    </row>
    <row r="3015" spans="1:17" ht="15.75" thickBot="1" x14ac:dyDescent="0.3">
      <c r="A3015" s="7">
        <v>3014</v>
      </c>
      <c r="B3015" s="6">
        <v>80</v>
      </c>
      <c r="C3015" s="13">
        <v>8112087</v>
      </c>
      <c r="D3015" t="s">
        <v>75</v>
      </c>
      <c r="E3015" s="13">
        <v>16</v>
      </c>
      <c r="F3015" s="10" t="s">
        <v>13</v>
      </c>
      <c r="J3015" s="138" t="s">
        <v>1292</v>
      </c>
      <c r="K3015" s="138" t="s">
        <v>1292</v>
      </c>
      <c r="L3015" s="138" t="s">
        <v>1292</v>
      </c>
      <c r="M3015" s="12"/>
      <c r="N3015" s="88" t="s">
        <v>1292</v>
      </c>
      <c r="P3015" t="str">
        <f>VLOOKUP(B3015,PTN!A:B,2,FALSE)</f>
        <v>UNIVERSITAS PATTIMURA</v>
      </c>
      <c r="Q3015" t="str">
        <f t="shared" si="47"/>
        <v>UNIVERSITAS PATTIMURAPENDIDIKAN SEJARAH</v>
      </c>
    </row>
    <row r="3016" spans="1:17" ht="15.75" thickBot="1" x14ac:dyDescent="0.3">
      <c r="A3016" s="7">
        <v>3015</v>
      </c>
      <c r="B3016" s="6">
        <v>80</v>
      </c>
      <c r="C3016" s="12">
        <v>8112296</v>
      </c>
      <c r="D3016" t="s">
        <v>735</v>
      </c>
      <c r="E3016" s="12">
        <v>12</v>
      </c>
      <c r="F3016" s="10" t="s">
        <v>13</v>
      </c>
      <c r="J3016" s="138" t="s">
        <v>1292</v>
      </c>
      <c r="K3016" s="138" t="s">
        <v>1292</v>
      </c>
      <c r="L3016" s="138" t="s">
        <v>1292</v>
      </c>
      <c r="M3016" s="13"/>
      <c r="N3016" s="89" t="s">
        <v>1292</v>
      </c>
      <c r="P3016" t="str">
        <f>VLOOKUP(B3016,PTN!A:B,2,FALSE)</f>
        <v>UNIVERSITAS PATTIMURA</v>
      </c>
      <c r="Q3016" t="str">
        <f t="shared" si="47"/>
        <v>UNIVERSITAS PATTIMURAPEND. JASMANI, KESEHATAN, DAN REKREASI (PSDKU KAB. ARU)</v>
      </c>
    </row>
    <row r="3017" spans="1:17" ht="15.75" thickBot="1" x14ac:dyDescent="0.3">
      <c r="A3017" s="7">
        <v>3016</v>
      </c>
      <c r="B3017" s="6">
        <v>80</v>
      </c>
      <c r="C3017" s="13">
        <v>8112176</v>
      </c>
      <c r="D3017" t="s">
        <v>232</v>
      </c>
      <c r="E3017" s="13">
        <v>16</v>
      </c>
      <c r="F3017" s="10" t="s">
        <v>13</v>
      </c>
      <c r="J3017" s="138" t="s">
        <v>1292</v>
      </c>
      <c r="K3017" s="138" t="s">
        <v>1292</v>
      </c>
      <c r="L3017" s="138" t="s">
        <v>1292</v>
      </c>
      <c r="M3017" s="12"/>
      <c r="N3017" s="88" t="s">
        <v>1292</v>
      </c>
      <c r="P3017" t="str">
        <f>VLOOKUP(B3017,PTN!A:B,2,FALSE)</f>
        <v>UNIVERSITAS PATTIMURA</v>
      </c>
      <c r="Q3017" t="str">
        <f t="shared" si="47"/>
        <v>UNIVERSITAS PATTIMURAPEND. LUAR SEKOLAH</v>
      </c>
    </row>
    <row r="3018" spans="1:17" ht="15.75" thickBot="1" x14ac:dyDescent="0.3">
      <c r="A3018" s="7">
        <v>3017</v>
      </c>
      <c r="B3018" s="6">
        <v>80</v>
      </c>
      <c r="C3018" s="12">
        <v>8112153</v>
      </c>
      <c r="D3018" t="s">
        <v>206</v>
      </c>
      <c r="E3018" s="12">
        <v>16</v>
      </c>
      <c r="F3018" s="10" t="s">
        <v>13</v>
      </c>
      <c r="J3018" s="138" t="s">
        <v>1292</v>
      </c>
      <c r="K3018" s="138" t="s">
        <v>1292</v>
      </c>
      <c r="L3018" s="138" t="s">
        <v>1292</v>
      </c>
      <c r="M3018" s="13"/>
      <c r="N3018" s="89" t="s">
        <v>1292</v>
      </c>
      <c r="P3018" t="str">
        <f>VLOOKUP(B3018,PTN!A:B,2,FALSE)</f>
        <v>UNIVERSITAS PATTIMURA</v>
      </c>
      <c r="Q3018" t="str">
        <f t="shared" si="47"/>
        <v>UNIVERSITAS PATTIMURAPENJASKESREK</v>
      </c>
    </row>
    <row r="3019" spans="1:17" ht="15.75" thickBot="1" x14ac:dyDescent="0.3">
      <c r="A3019" s="7">
        <v>3018</v>
      </c>
      <c r="B3019" s="6">
        <v>80</v>
      </c>
      <c r="C3019" s="13">
        <v>8112203</v>
      </c>
      <c r="D3019" t="s">
        <v>163</v>
      </c>
      <c r="E3019" s="13">
        <v>8</v>
      </c>
      <c r="F3019" s="10" t="s">
        <v>13</v>
      </c>
      <c r="J3019" s="138" t="s">
        <v>1292</v>
      </c>
      <c r="K3019" s="138" t="s">
        <v>1292</v>
      </c>
      <c r="L3019" s="138" t="s">
        <v>1292</v>
      </c>
      <c r="M3019" s="12"/>
      <c r="N3019" s="88" t="s">
        <v>1292</v>
      </c>
      <c r="P3019" t="str">
        <f>VLOOKUP(B3019,PTN!A:B,2,FALSE)</f>
        <v>UNIVERSITAS PATTIMURA</v>
      </c>
      <c r="Q3019" t="str">
        <f t="shared" si="47"/>
        <v>UNIVERSITAS PATTIMURAPENYULUHAN PERTANIAN</v>
      </c>
    </row>
    <row r="3020" spans="1:17" ht="15.75" thickBot="1" x14ac:dyDescent="0.3">
      <c r="A3020" s="7">
        <v>3019</v>
      </c>
      <c r="B3020" s="6">
        <v>80</v>
      </c>
      <c r="C3020" s="12">
        <v>8112184</v>
      </c>
      <c r="D3020" t="s">
        <v>736</v>
      </c>
      <c r="E3020" s="12">
        <v>20</v>
      </c>
      <c r="F3020" s="10" t="s">
        <v>13</v>
      </c>
      <c r="J3020" s="138" t="s">
        <v>1292</v>
      </c>
      <c r="K3020" s="138" t="s">
        <v>1292</v>
      </c>
      <c r="L3020" s="138" t="s">
        <v>1292</v>
      </c>
      <c r="M3020" s="13"/>
      <c r="N3020" s="89" t="s">
        <v>1292</v>
      </c>
      <c r="P3020" t="str">
        <f>VLOOKUP(B3020,PTN!A:B,2,FALSE)</f>
        <v>UNIVERSITAS PATTIMURA</v>
      </c>
      <c r="Q3020" t="str">
        <f t="shared" si="47"/>
        <v>UNIVERSITAS PATTIMURAPGSD S1</v>
      </c>
    </row>
    <row r="3021" spans="1:17" ht="15.75" thickBot="1" x14ac:dyDescent="0.3">
      <c r="A3021" s="7">
        <v>3020</v>
      </c>
      <c r="B3021" s="6">
        <v>80</v>
      </c>
      <c r="C3021" s="13">
        <v>8112114</v>
      </c>
      <c r="D3021" t="s">
        <v>262</v>
      </c>
      <c r="E3021" s="13">
        <v>16</v>
      </c>
      <c r="F3021" s="10" t="s">
        <v>13</v>
      </c>
      <c r="J3021" s="138" t="s">
        <v>1292</v>
      </c>
      <c r="K3021" s="138" t="s">
        <v>1292</v>
      </c>
      <c r="L3021" s="138" t="s">
        <v>1292</v>
      </c>
      <c r="M3021" s="12"/>
      <c r="N3021" s="88" t="s">
        <v>1292</v>
      </c>
      <c r="P3021" t="str">
        <f>VLOOKUP(B3021,PTN!A:B,2,FALSE)</f>
        <v>UNIVERSITAS PATTIMURA</v>
      </c>
      <c r="Q3021" t="str">
        <f t="shared" si="47"/>
        <v>UNIVERSITAS PATTIMURAPPKN</v>
      </c>
    </row>
    <row r="3022" spans="1:17" ht="15.75" thickBot="1" x14ac:dyDescent="0.3">
      <c r="A3022" s="7">
        <v>3021</v>
      </c>
      <c r="B3022" s="6">
        <v>80</v>
      </c>
      <c r="C3022" s="14">
        <v>8112041</v>
      </c>
      <c r="D3022" t="s">
        <v>63</v>
      </c>
      <c r="E3022" s="14">
        <v>30</v>
      </c>
      <c r="F3022" s="10" t="s">
        <v>13</v>
      </c>
      <c r="J3022" s="138" t="s">
        <v>1292</v>
      </c>
      <c r="K3022" s="138" t="s">
        <v>1292</v>
      </c>
      <c r="L3022" s="138" t="s">
        <v>1292</v>
      </c>
      <c r="M3022" s="13"/>
      <c r="N3022" s="89" t="s">
        <v>1292</v>
      </c>
      <c r="P3022" t="str">
        <f>VLOOKUP(B3022,PTN!A:B,2,FALSE)</f>
        <v>UNIVERSITAS PATTIMURA</v>
      </c>
      <c r="Q3022" t="str">
        <f t="shared" si="47"/>
        <v>UNIVERSITAS PATTIMURASOSIOLOGI</v>
      </c>
    </row>
    <row r="3023" spans="1:17" ht="16.5" thickTop="1" thickBot="1" x14ac:dyDescent="0.3">
      <c r="A3023" s="7">
        <v>3022</v>
      </c>
      <c r="B3023" s="6">
        <v>81</v>
      </c>
      <c r="C3023" s="12">
        <v>8211216</v>
      </c>
      <c r="D3023" t="s">
        <v>37</v>
      </c>
      <c r="E3023" s="12">
        <v>15</v>
      </c>
      <c r="F3023" s="10" t="s">
        <v>20</v>
      </c>
      <c r="J3023" s="138" t="s">
        <v>1292</v>
      </c>
      <c r="K3023" s="138" t="s">
        <v>1292</v>
      </c>
      <c r="L3023" s="138" t="s">
        <v>1292</v>
      </c>
      <c r="M3023" s="12"/>
      <c r="N3023" s="88" t="s">
        <v>1292</v>
      </c>
      <c r="P3023" t="str">
        <f>VLOOKUP(B3023,PTN!A:B,2,FALSE)</f>
        <v>UNIVERSITAS KHAIRUN</v>
      </c>
      <c r="Q3023" t="str">
        <f t="shared" si="47"/>
        <v>UNIVERSITAS KHAIRUNAGRIBISNIS</v>
      </c>
    </row>
    <row r="3024" spans="1:17" ht="15.75" thickBot="1" x14ac:dyDescent="0.3">
      <c r="A3024" s="7">
        <v>3023</v>
      </c>
      <c r="B3024" s="6">
        <v>81</v>
      </c>
      <c r="C3024" s="13">
        <v>8211174</v>
      </c>
      <c r="D3024" t="s">
        <v>64</v>
      </c>
      <c r="E3024" s="13">
        <v>15</v>
      </c>
      <c r="F3024" s="10" t="s">
        <v>20</v>
      </c>
      <c r="J3024" s="138" t="s">
        <v>1292</v>
      </c>
      <c r="K3024" s="138" t="s">
        <v>1292</v>
      </c>
      <c r="L3024" s="138" t="s">
        <v>1292</v>
      </c>
      <c r="M3024" s="21"/>
      <c r="N3024" s="83" t="s">
        <v>1292</v>
      </c>
      <c r="P3024" t="str">
        <f>VLOOKUP(B3024,PTN!A:B,2,FALSE)</f>
        <v>UNIVERSITAS KHAIRUN</v>
      </c>
      <c r="Q3024" t="str">
        <f t="shared" si="47"/>
        <v>UNIVERSITAS KHAIRUNAGROTEKNOLOGI</v>
      </c>
    </row>
    <row r="3025" spans="1:17" ht="15.75" thickBot="1" x14ac:dyDescent="0.3">
      <c r="A3025" s="7">
        <v>3024</v>
      </c>
      <c r="B3025" s="6">
        <v>81</v>
      </c>
      <c r="C3025" s="12">
        <v>8211046</v>
      </c>
      <c r="D3025" t="s">
        <v>19</v>
      </c>
      <c r="E3025" s="12">
        <v>30</v>
      </c>
      <c r="F3025" s="10" t="s">
        <v>20</v>
      </c>
      <c r="J3025" s="138" t="s">
        <v>1292</v>
      </c>
      <c r="K3025" s="138" t="s">
        <v>1292</v>
      </c>
      <c r="L3025" s="138" t="s">
        <v>1292</v>
      </c>
      <c r="M3025" s="21"/>
      <c r="N3025" s="83" t="s">
        <v>1292</v>
      </c>
      <c r="P3025" t="str">
        <f>VLOOKUP(B3025,PTN!A:B,2,FALSE)</f>
        <v>UNIVERSITAS KHAIRUN</v>
      </c>
      <c r="Q3025" t="str">
        <f t="shared" si="47"/>
        <v>UNIVERSITAS KHAIRUNARSITEKTUR</v>
      </c>
    </row>
    <row r="3026" spans="1:17" ht="16.5" thickTop="1" thickBot="1" x14ac:dyDescent="0.3">
      <c r="A3026" s="7">
        <v>3025</v>
      </c>
      <c r="B3026" s="6">
        <v>81</v>
      </c>
      <c r="C3026" s="13">
        <v>8211127</v>
      </c>
      <c r="D3026" t="s">
        <v>39</v>
      </c>
      <c r="E3026" s="13">
        <v>15</v>
      </c>
      <c r="F3026" s="10" t="s">
        <v>20</v>
      </c>
      <c r="J3026" s="138" t="s">
        <v>1292</v>
      </c>
      <c r="K3026" s="138" t="s">
        <v>1292</v>
      </c>
      <c r="L3026" s="138" t="s">
        <v>1292</v>
      </c>
      <c r="M3026" s="24"/>
      <c r="N3026" s="84" t="s">
        <v>1292</v>
      </c>
      <c r="P3026" t="str">
        <f>VLOOKUP(B3026,PTN!A:B,2,FALSE)</f>
        <v>UNIVERSITAS KHAIRUN</v>
      </c>
      <c r="Q3026" t="str">
        <f t="shared" si="47"/>
        <v>UNIVERSITAS KHAIRUNBUDIDAYA PERAIRAN</v>
      </c>
    </row>
    <row r="3027" spans="1:17" ht="16.5" thickTop="1" thickBot="1" x14ac:dyDescent="0.3">
      <c r="A3027" s="7">
        <v>3026</v>
      </c>
      <c r="B3027" s="6">
        <v>81</v>
      </c>
      <c r="C3027" s="12">
        <v>8211104</v>
      </c>
      <c r="D3027" t="s">
        <v>40</v>
      </c>
      <c r="E3027" s="12">
        <v>30</v>
      </c>
      <c r="F3027" s="10" t="s">
        <v>20</v>
      </c>
      <c r="J3027" s="138" t="s">
        <v>1292</v>
      </c>
      <c r="K3027" s="138" t="s">
        <v>1292</v>
      </c>
      <c r="L3027" s="138" t="s">
        <v>1292</v>
      </c>
      <c r="M3027" s="12"/>
      <c r="N3027" s="88" t="s">
        <v>1292</v>
      </c>
      <c r="P3027" t="str">
        <f>VLOOKUP(B3027,PTN!A:B,2,FALSE)</f>
        <v>UNIVERSITAS KHAIRUN</v>
      </c>
      <c r="Q3027" t="str">
        <f t="shared" si="47"/>
        <v>UNIVERSITAS KHAIRUNILMU KELAUTAN</v>
      </c>
    </row>
    <row r="3028" spans="1:17" ht="15.75" thickBot="1" x14ac:dyDescent="0.3">
      <c r="A3028" s="7">
        <v>3027</v>
      </c>
      <c r="B3028" s="6">
        <v>81</v>
      </c>
      <c r="C3028" s="13">
        <v>8211232</v>
      </c>
      <c r="D3028" t="s">
        <v>79</v>
      </c>
      <c r="E3028" s="13">
        <v>24</v>
      </c>
      <c r="F3028" s="10" t="s">
        <v>20</v>
      </c>
      <c r="J3028" s="138" t="s">
        <v>1292</v>
      </c>
      <c r="K3028" s="138" t="s">
        <v>1292</v>
      </c>
      <c r="L3028" s="138" t="s">
        <v>1292</v>
      </c>
      <c r="M3028" s="13"/>
      <c r="N3028" s="89" t="s">
        <v>1292</v>
      </c>
      <c r="P3028" t="str">
        <f>VLOOKUP(B3028,PTN!A:B,2,FALSE)</f>
        <v>UNIVERSITAS KHAIRUN</v>
      </c>
      <c r="Q3028" t="str">
        <f t="shared" si="47"/>
        <v>UNIVERSITAS KHAIRUNILMU TANAH</v>
      </c>
    </row>
    <row r="3029" spans="1:17" ht="15.75" thickBot="1" x14ac:dyDescent="0.3">
      <c r="A3029" s="7">
        <v>3028</v>
      </c>
      <c r="B3029" s="6">
        <v>81</v>
      </c>
      <c r="C3029" s="12">
        <v>8211197</v>
      </c>
      <c r="D3029" t="s">
        <v>81</v>
      </c>
      <c r="E3029" s="12">
        <v>36</v>
      </c>
      <c r="F3029" s="10" t="s">
        <v>20</v>
      </c>
      <c r="J3029" s="138" t="s">
        <v>1292</v>
      </c>
      <c r="K3029" s="138" t="s">
        <v>1292</v>
      </c>
      <c r="L3029" s="138" t="s">
        <v>1292</v>
      </c>
      <c r="M3029" s="12"/>
      <c r="N3029" s="88" t="s">
        <v>1292</v>
      </c>
      <c r="P3029" t="str">
        <f>VLOOKUP(B3029,PTN!A:B,2,FALSE)</f>
        <v>UNIVERSITAS KHAIRUN</v>
      </c>
      <c r="Q3029" t="str">
        <f t="shared" si="47"/>
        <v>UNIVERSITAS KHAIRUNKEHUTANAN</v>
      </c>
    </row>
    <row r="3030" spans="1:17" ht="15.75" thickBot="1" x14ac:dyDescent="0.3">
      <c r="A3030" s="7">
        <v>3029</v>
      </c>
      <c r="B3030" s="6">
        <v>81</v>
      </c>
      <c r="C3030" s="13">
        <v>8211093</v>
      </c>
      <c r="D3030" t="s">
        <v>213</v>
      </c>
      <c r="E3030" s="13">
        <v>24</v>
      </c>
      <c r="F3030" s="10" t="s">
        <v>20</v>
      </c>
      <c r="J3030" s="138" t="s">
        <v>1292</v>
      </c>
      <c r="K3030" s="138" t="s">
        <v>1292</v>
      </c>
      <c r="L3030" s="138" t="s">
        <v>1292</v>
      </c>
      <c r="M3030" s="13"/>
      <c r="N3030" s="89" t="s">
        <v>1292</v>
      </c>
      <c r="P3030" t="str">
        <f>VLOOKUP(B3030,PTN!A:B,2,FALSE)</f>
        <v>UNIVERSITAS KHAIRUN</v>
      </c>
      <c r="Q3030" t="str">
        <f t="shared" si="47"/>
        <v>UNIVERSITAS KHAIRUNMANAJEMEN SUMBERDAYA PERAIRAN</v>
      </c>
    </row>
    <row r="3031" spans="1:17" ht="15.75" thickBot="1" x14ac:dyDescent="0.3">
      <c r="A3031" s="7">
        <v>3030</v>
      </c>
      <c r="B3031" s="6">
        <v>81</v>
      </c>
      <c r="C3031" s="12">
        <v>8211112</v>
      </c>
      <c r="D3031" t="s">
        <v>737</v>
      </c>
      <c r="E3031" s="12">
        <v>15</v>
      </c>
      <c r="F3031" s="10" t="s">
        <v>20</v>
      </c>
      <c r="J3031" s="138" t="s">
        <v>1292</v>
      </c>
      <c r="K3031" s="138" t="s">
        <v>1292</v>
      </c>
      <c r="L3031" s="138" t="s">
        <v>1292</v>
      </c>
      <c r="M3031" s="12"/>
      <c r="N3031" s="88" t="s">
        <v>1292</v>
      </c>
      <c r="P3031" t="str">
        <f>VLOOKUP(B3031,PTN!A:B,2,FALSE)</f>
        <v>UNIVERSITAS KHAIRUN</v>
      </c>
      <c r="Q3031" t="str">
        <f t="shared" si="47"/>
        <v>UNIVERSITAS KHAIRUNPEMANFAATAN SUMBERDAYA PERAIRAN</v>
      </c>
    </row>
    <row r="3032" spans="1:17" ht="15.75" thickBot="1" x14ac:dyDescent="0.3">
      <c r="A3032" s="7">
        <v>3031</v>
      </c>
      <c r="B3032" s="6">
        <v>81</v>
      </c>
      <c r="C3032" s="13">
        <v>8211143</v>
      </c>
      <c r="D3032" t="s">
        <v>214</v>
      </c>
      <c r="E3032" s="13">
        <v>24</v>
      </c>
      <c r="F3032" s="10" t="s">
        <v>20</v>
      </c>
      <c r="J3032" s="138" t="s">
        <v>1292</v>
      </c>
      <c r="K3032" s="138" t="s">
        <v>1292</v>
      </c>
      <c r="L3032" s="138" t="s">
        <v>1292</v>
      </c>
      <c r="M3032" s="13"/>
      <c r="N3032" s="89" t="s">
        <v>1292</v>
      </c>
      <c r="P3032" t="str">
        <f>VLOOKUP(B3032,PTN!A:B,2,FALSE)</f>
        <v>UNIVERSITAS KHAIRUN</v>
      </c>
      <c r="Q3032" t="str">
        <f t="shared" si="47"/>
        <v>UNIVERSITAS KHAIRUNPEND. BIOLOGI</v>
      </c>
    </row>
    <row r="3033" spans="1:17" ht="15.75" thickBot="1" x14ac:dyDescent="0.3">
      <c r="A3033" s="7">
        <v>3032</v>
      </c>
      <c r="B3033" s="6">
        <v>81</v>
      </c>
      <c r="C3033" s="12">
        <v>8211151</v>
      </c>
      <c r="D3033" t="s">
        <v>216</v>
      </c>
      <c r="E3033" s="12">
        <v>24</v>
      </c>
      <c r="F3033" s="10" t="s">
        <v>20</v>
      </c>
      <c r="J3033" s="138" t="s">
        <v>1292</v>
      </c>
      <c r="K3033" s="138" t="s">
        <v>1292</v>
      </c>
      <c r="L3033" s="138" t="s">
        <v>1292</v>
      </c>
      <c r="M3033" s="12"/>
      <c r="N3033" s="88" t="s">
        <v>1292</v>
      </c>
      <c r="P3033" t="str">
        <f>VLOOKUP(B3033,PTN!A:B,2,FALSE)</f>
        <v>UNIVERSITAS KHAIRUN</v>
      </c>
      <c r="Q3033" t="str">
        <f t="shared" si="47"/>
        <v>UNIVERSITAS KHAIRUNPEND. FISIKA</v>
      </c>
    </row>
    <row r="3034" spans="1:17" ht="15.75" thickBot="1" x14ac:dyDescent="0.3">
      <c r="A3034" s="7">
        <v>3033</v>
      </c>
      <c r="B3034" s="6">
        <v>81</v>
      </c>
      <c r="C3034" s="13">
        <v>8211224</v>
      </c>
      <c r="D3034" t="s">
        <v>41</v>
      </c>
      <c r="E3034" s="13">
        <v>15</v>
      </c>
      <c r="F3034" s="10" t="s">
        <v>20</v>
      </c>
      <c r="J3034" s="138" t="s">
        <v>1292</v>
      </c>
      <c r="K3034" s="138" t="s">
        <v>1292</v>
      </c>
      <c r="L3034" s="138" t="s">
        <v>1292</v>
      </c>
      <c r="M3034" s="13"/>
      <c r="N3034" s="89" t="s">
        <v>1292</v>
      </c>
      <c r="P3034" t="str">
        <f>VLOOKUP(B3034,PTN!A:B,2,FALSE)</f>
        <v>UNIVERSITAS KHAIRUN</v>
      </c>
      <c r="Q3034" t="str">
        <f t="shared" si="47"/>
        <v>UNIVERSITAS KHAIRUNPENDIDIKAN DOKTER</v>
      </c>
    </row>
    <row r="3035" spans="1:17" ht="15.75" thickBot="1" x14ac:dyDescent="0.3">
      <c r="A3035" s="7">
        <v>3034</v>
      </c>
      <c r="B3035" s="6">
        <v>81</v>
      </c>
      <c r="C3035" s="12">
        <v>8211166</v>
      </c>
      <c r="D3035" t="s">
        <v>217</v>
      </c>
      <c r="E3035" s="12">
        <v>24</v>
      </c>
      <c r="F3035" s="10" t="s">
        <v>20</v>
      </c>
      <c r="J3035" s="138" t="s">
        <v>1292</v>
      </c>
      <c r="K3035" s="138" t="s">
        <v>1292</v>
      </c>
      <c r="L3035" s="138" t="s">
        <v>1292</v>
      </c>
      <c r="M3035" s="12"/>
      <c r="N3035" s="88" t="s">
        <v>1292</v>
      </c>
      <c r="P3035" t="str">
        <f>VLOOKUP(B3035,PTN!A:B,2,FALSE)</f>
        <v>UNIVERSITAS KHAIRUN</v>
      </c>
      <c r="Q3035" t="str">
        <f t="shared" si="47"/>
        <v>UNIVERSITAS KHAIRUNPEND. KIMIA</v>
      </c>
    </row>
    <row r="3036" spans="1:17" ht="15.75" thickBot="1" x14ac:dyDescent="0.3">
      <c r="A3036" s="7">
        <v>3035</v>
      </c>
      <c r="B3036" s="6">
        <v>81</v>
      </c>
      <c r="C3036" s="13">
        <v>8211135</v>
      </c>
      <c r="D3036" t="s">
        <v>218</v>
      </c>
      <c r="E3036" s="13">
        <v>24</v>
      </c>
      <c r="F3036" s="10" t="s">
        <v>20</v>
      </c>
      <c r="J3036" s="138" t="s">
        <v>1292</v>
      </c>
      <c r="K3036" s="138" t="s">
        <v>1292</v>
      </c>
      <c r="L3036" s="138" t="s">
        <v>1292</v>
      </c>
      <c r="M3036" s="13"/>
      <c r="N3036" s="89" t="s">
        <v>1292</v>
      </c>
      <c r="P3036" t="str">
        <f>VLOOKUP(B3036,PTN!A:B,2,FALSE)</f>
        <v>UNIVERSITAS KHAIRUN</v>
      </c>
      <c r="Q3036" t="str">
        <f t="shared" si="47"/>
        <v>UNIVERSITAS KHAIRUNPEND. MATEMATIKA</v>
      </c>
    </row>
    <row r="3037" spans="1:17" ht="15.75" thickBot="1" x14ac:dyDescent="0.3">
      <c r="A3037" s="7">
        <v>3036</v>
      </c>
      <c r="B3037" s="6">
        <v>81</v>
      </c>
      <c r="C3037" s="12">
        <v>8211085</v>
      </c>
      <c r="D3037" t="s">
        <v>88</v>
      </c>
      <c r="E3037" s="12">
        <v>15</v>
      </c>
      <c r="F3037" s="10" t="s">
        <v>20</v>
      </c>
      <c r="J3037" s="138" t="s">
        <v>1292</v>
      </c>
      <c r="K3037" s="138" t="s">
        <v>1292</v>
      </c>
      <c r="L3037" s="138" t="s">
        <v>1292</v>
      </c>
      <c r="M3037" s="12"/>
      <c r="N3037" s="88" t="s">
        <v>1292</v>
      </c>
      <c r="P3037" t="str">
        <f>VLOOKUP(B3037,PTN!A:B,2,FALSE)</f>
        <v>UNIVERSITAS KHAIRUN</v>
      </c>
      <c r="Q3037" t="str">
        <f t="shared" si="47"/>
        <v>UNIVERSITAS KHAIRUNPETERNAKAN</v>
      </c>
    </row>
    <row r="3038" spans="1:17" ht="15.75" thickBot="1" x14ac:dyDescent="0.3">
      <c r="A3038" s="7">
        <v>3037</v>
      </c>
      <c r="B3038" s="6">
        <v>81</v>
      </c>
      <c r="C3038" s="13">
        <v>8211031</v>
      </c>
      <c r="D3038" t="s">
        <v>48</v>
      </c>
      <c r="E3038" s="13">
        <v>30</v>
      </c>
      <c r="F3038" s="10" t="s">
        <v>20</v>
      </c>
      <c r="J3038" s="138" t="s">
        <v>1292</v>
      </c>
      <c r="K3038" s="138" t="s">
        <v>1292</v>
      </c>
      <c r="L3038" s="138" t="s">
        <v>1292</v>
      </c>
      <c r="M3038" s="13"/>
      <c r="N3038" s="89" t="s">
        <v>1292</v>
      </c>
      <c r="P3038" t="str">
        <f>VLOOKUP(B3038,PTN!A:B,2,FALSE)</f>
        <v>UNIVERSITAS KHAIRUN</v>
      </c>
      <c r="Q3038" t="str">
        <f t="shared" si="47"/>
        <v>UNIVERSITAS KHAIRUNTEKNIK ELEKTRO</v>
      </c>
    </row>
    <row r="3039" spans="1:17" ht="15.75" thickBot="1" x14ac:dyDescent="0.3">
      <c r="A3039" s="7">
        <v>3038</v>
      </c>
      <c r="B3039" s="6">
        <v>81</v>
      </c>
      <c r="C3039" s="12">
        <v>8211182</v>
      </c>
      <c r="D3039" t="s">
        <v>50</v>
      </c>
      <c r="E3039" s="12">
        <v>30</v>
      </c>
      <c r="F3039" s="10" t="s">
        <v>20</v>
      </c>
      <c r="J3039" s="138" t="s">
        <v>1292</v>
      </c>
      <c r="K3039" s="138" t="s">
        <v>1292</v>
      </c>
      <c r="L3039" s="138" t="s">
        <v>1292</v>
      </c>
      <c r="M3039" s="12"/>
      <c r="N3039" s="88" t="s">
        <v>1292</v>
      </c>
      <c r="P3039" t="str">
        <f>VLOOKUP(B3039,PTN!A:B,2,FALSE)</f>
        <v>UNIVERSITAS KHAIRUN</v>
      </c>
      <c r="Q3039" t="str">
        <f t="shared" si="47"/>
        <v>UNIVERSITAS KHAIRUNTEKNIK INFORMATIKA</v>
      </c>
    </row>
    <row r="3040" spans="1:17" ht="15.75" thickBot="1" x14ac:dyDescent="0.3">
      <c r="A3040" s="7">
        <v>3039</v>
      </c>
      <c r="B3040" s="6">
        <v>81</v>
      </c>
      <c r="C3040" s="13">
        <v>8211023</v>
      </c>
      <c r="D3040" t="s">
        <v>53</v>
      </c>
      <c r="E3040" s="13">
        <v>24</v>
      </c>
      <c r="F3040" s="10" t="s">
        <v>20</v>
      </c>
      <c r="J3040" s="138" t="s">
        <v>1292</v>
      </c>
      <c r="K3040" s="138" t="s">
        <v>1292</v>
      </c>
      <c r="L3040" s="138" t="s">
        <v>1292</v>
      </c>
      <c r="M3040" s="13"/>
      <c r="N3040" s="89" t="s">
        <v>1292</v>
      </c>
      <c r="P3040" t="str">
        <f>VLOOKUP(B3040,PTN!A:B,2,FALSE)</f>
        <v>UNIVERSITAS KHAIRUN</v>
      </c>
      <c r="Q3040" t="str">
        <f t="shared" si="47"/>
        <v>UNIVERSITAS KHAIRUNTEKNIK MESIN</v>
      </c>
    </row>
    <row r="3041" spans="1:17" ht="15.75" thickBot="1" x14ac:dyDescent="0.3">
      <c r="A3041" s="7">
        <v>3040</v>
      </c>
      <c r="B3041" s="6">
        <v>81</v>
      </c>
      <c r="C3041" s="12">
        <v>8211201</v>
      </c>
      <c r="D3041" t="s">
        <v>239</v>
      </c>
      <c r="E3041" s="12">
        <v>18</v>
      </c>
      <c r="F3041" s="10" t="s">
        <v>20</v>
      </c>
      <c r="J3041" s="138" t="s">
        <v>1292</v>
      </c>
      <c r="K3041" s="138" t="s">
        <v>1292</v>
      </c>
      <c r="L3041" s="138" t="s">
        <v>1292</v>
      </c>
      <c r="M3041" s="12"/>
      <c r="N3041" s="88" t="s">
        <v>1292</v>
      </c>
      <c r="P3041" t="str">
        <f>VLOOKUP(B3041,PTN!A:B,2,FALSE)</f>
        <v>UNIVERSITAS KHAIRUN</v>
      </c>
      <c r="Q3041" t="str">
        <f t="shared" si="47"/>
        <v>UNIVERSITAS KHAIRUNTEKNIK PERTAMBANGAN</v>
      </c>
    </row>
    <row r="3042" spans="1:17" ht="15.75" thickBot="1" x14ac:dyDescent="0.3">
      <c r="A3042" s="7">
        <v>3041</v>
      </c>
      <c r="B3042" s="6">
        <v>81</v>
      </c>
      <c r="C3042" s="13">
        <v>8211015</v>
      </c>
      <c r="D3042" t="s">
        <v>54</v>
      </c>
      <c r="E3042" s="13">
        <v>45</v>
      </c>
      <c r="F3042" s="10" t="s">
        <v>20</v>
      </c>
      <c r="J3042" s="138" t="s">
        <v>1292</v>
      </c>
      <c r="K3042" s="138" t="s">
        <v>1292</v>
      </c>
      <c r="L3042" s="138" t="s">
        <v>1292</v>
      </c>
      <c r="M3042" s="13"/>
      <c r="N3042" s="89" t="s">
        <v>1292</v>
      </c>
      <c r="P3042" t="str">
        <f>VLOOKUP(B3042,PTN!A:B,2,FALSE)</f>
        <v>UNIVERSITAS KHAIRUN</v>
      </c>
      <c r="Q3042" t="str">
        <f t="shared" si="47"/>
        <v>UNIVERSITAS KHAIRUNTEKNIK SIPIL</v>
      </c>
    </row>
    <row r="3043" spans="1:17" ht="15.75" thickBot="1" x14ac:dyDescent="0.3">
      <c r="A3043" s="7">
        <v>3042</v>
      </c>
      <c r="B3043" s="6">
        <v>81</v>
      </c>
      <c r="C3043" s="14">
        <v>8211062</v>
      </c>
      <c r="D3043" t="s">
        <v>738</v>
      </c>
      <c r="E3043" s="58"/>
      <c r="F3043" s="10" t="s">
        <v>20</v>
      </c>
      <c r="J3043" s="138" t="s">
        <v>1292</v>
      </c>
      <c r="K3043" s="138" t="s">
        <v>1292</v>
      </c>
      <c r="L3043" s="138" t="s">
        <v>1292</v>
      </c>
      <c r="M3043" s="12"/>
      <c r="N3043" s="88" t="s">
        <v>1292</v>
      </c>
      <c r="P3043" t="str">
        <f>VLOOKUP(B3043,PTN!A:B,2,FALSE)</f>
        <v>UNIVERSITAS KHAIRUN</v>
      </c>
      <c r="Q3043" t="str">
        <f t="shared" si="47"/>
        <v>UNIVERSITAS KHAIRUNTEKNOLOGI PERTANIAN</v>
      </c>
    </row>
    <row r="3044" spans="1:17" ht="16.5" thickTop="1" thickBot="1" x14ac:dyDescent="0.3">
      <c r="A3044" s="7">
        <v>3043</v>
      </c>
      <c r="B3044" s="6">
        <v>81</v>
      </c>
      <c r="C3044" s="12">
        <v>8212107</v>
      </c>
      <c r="D3044" t="s">
        <v>55</v>
      </c>
      <c r="E3044" s="12">
        <v>36</v>
      </c>
      <c r="F3044" s="10" t="s">
        <v>13</v>
      </c>
      <c r="J3044" s="138" t="s">
        <v>1292</v>
      </c>
      <c r="K3044" s="138" t="s">
        <v>1292</v>
      </c>
      <c r="L3044" s="138" t="s">
        <v>1292</v>
      </c>
      <c r="M3044" s="21"/>
      <c r="N3044" s="83" t="s">
        <v>1292</v>
      </c>
      <c r="P3044" t="str">
        <f>VLOOKUP(B3044,PTN!A:B,2,FALSE)</f>
        <v>UNIVERSITAS KHAIRUN</v>
      </c>
      <c r="Q3044" t="str">
        <f t="shared" si="47"/>
        <v>UNIVERSITAS KHAIRUNAKUNTANSI</v>
      </c>
    </row>
    <row r="3045" spans="1:17" ht="15.75" thickBot="1" x14ac:dyDescent="0.3">
      <c r="A3045" s="7">
        <v>3044</v>
      </c>
      <c r="B3045" s="6">
        <v>81</v>
      </c>
      <c r="C3045" s="13">
        <v>8212131</v>
      </c>
      <c r="D3045" t="s">
        <v>144</v>
      </c>
      <c r="E3045" s="13">
        <v>12</v>
      </c>
      <c r="F3045" s="10" t="s">
        <v>13</v>
      </c>
      <c r="J3045" s="138" t="s">
        <v>1292</v>
      </c>
      <c r="K3045" s="138" t="s">
        <v>1292</v>
      </c>
      <c r="L3045" s="138" t="s">
        <v>1292</v>
      </c>
      <c r="M3045" s="21"/>
      <c r="N3045" s="83" t="s">
        <v>1292</v>
      </c>
      <c r="P3045" t="str">
        <f>VLOOKUP(B3045,PTN!A:B,2,FALSE)</f>
        <v>UNIVERSITAS KHAIRUN</v>
      </c>
      <c r="Q3045" t="str">
        <f t="shared" si="47"/>
        <v>UNIVERSITAS KHAIRUNANTROPOLOGI SOSIAL</v>
      </c>
    </row>
    <row r="3046" spans="1:17" ht="16.5" thickTop="1" thickBot="1" x14ac:dyDescent="0.3">
      <c r="A3046" s="7">
        <v>3045</v>
      </c>
      <c r="B3046" s="6">
        <v>81</v>
      </c>
      <c r="C3046" s="12">
        <v>8212026</v>
      </c>
      <c r="D3046" t="s">
        <v>69</v>
      </c>
      <c r="E3046" s="12">
        <v>45</v>
      </c>
      <c r="F3046" s="10" t="s">
        <v>13</v>
      </c>
      <c r="J3046" s="138" t="s">
        <v>1292</v>
      </c>
      <c r="K3046" s="138" t="s">
        <v>1292</v>
      </c>
      <c r="L3046" s="138" t="s">
        <v>1292</v>
      </c>
      <c r="M3046" s="24"/>
      <c r="N3046" s="84" t="s">
        <v>1292</v>
      </c>
      <c r="P3046" t="str">
        <f>VLOOKUP(B3046,PTN!A:B,2,FALSE)</f>
        <v>UNIVERSITAS KHAIRUN</v>
      </c>
      <c r="Q3046" t="str">
        <f t="shared" si="47"/>
        <v>UNIVERSITAS KHAIRUNEKONOMI PEMBANGUNAN</v>
      </c>
    </row>
    <row r="3047" spans="1:17" ht="16.5" thickTop="1" thickBot="1" x14ac:dyDescent="0.3">
      <c r="A3047" s="7">
        <v>3046</v>
      </c>
      <c r="B3047" s="6">
        <v>81</v>
      </c>
      <c r="C3047" s="13">
        <v>8212011</v>
      </c>
      <c r="D3047" t="s">
        <v>31</v>
      </c>
      <c r="E3047" s="13">
        <v>75</v>
      </c>
      <c r="F3047" s="10" t="s">
        <v>13</v>
      </c>
      <c r="J3047" s="138" t="s">
        <v>1292</v>
      </c>
      <c r="K3047" s="138" t="s">
        <v>1292</v>
      </c>
      <c r="L3047" s="138" t="s">
        <v>1292</v>
      </c>
      <c r="M3047" s="12"/>
      <c r="N3047" s="88" t="s">
        <v>1292</v>
      </c>
      <c r="P3047" t="str">
        <f>VLOOKUP(B3047,PTN!A:B,2,FALSE)</f>
        <v>UNIVERSITAS KHAIRUN</v>
      </c>
      <c r="Q3047" t="str">
        <f t="shared" si="47"/>
        <v>UNIVERSITAS KHAIRUNILMU HUKUM</v>
      </c>
    </row>
    <row r="3048" spans="1:17" ht="15.75" thickBot="1" x14ac:dyDescent="0.3">
      <c r="A3048" s="7">
        <v>3047</v>
      </c>
      <c r="B3048" s="6">
        <v>81</v>
      </c>
      <c r="C3048" s="12">
        <v>8212042</v>
      </c>
      <c r="D3048" t="s">
        <v>148</v>
      </c>
      <c r="E3048" s="12">
        <v>9</v>
      </c>
      <c r="F3048" s="10" t="s">
        <v>13</v>
      </c>
      <c r="J3048" s="138" t="s">
        <v>1292</v>
      </c>
      <c r="K3048" s="138" t="s">
        <v>1292</v>
      </c>
      <c r="L3048" s="138" t="s">
        <v>1292</v>
      </c>
      <c r="M3048" s="13"/>
      <c r="N3048" s="89" t="s">
        <v>1292</v>
      </c>
      <c r="P3048" t="str">
        <f>VLOOKUP(B3048,PTN!A:B,2,FALSE)</f>
        <v>UNIVERSITAS KHAIRUN</v>
      </c>
      <c r="Q3048" t="str">
        <f t="shared" si="47"/>
        <v>UNIVERSITAS KHAIRUNILMU SEJARAH</v>
      </c>
    </row>
    <row r="3049" spans="1:17" ht="15.75" thickBot="1" x14ac:dyDescent="0.3">
      <c r="A3049" s="7">
        <v>3048</v>
      </c>
      <c r="B3049" s="6">
        <v>81</v>
      </c>
      <c r="C3049" s="13">
        <v>8212034</v>
      </c>
      <c r="D3049" t="s">
        <v>61</v>
      </c>
      <c r="E3049" s="13">
        <v>60</v>
      </c>
      <c r="F3049" s="10" t="s">
        <v>13</v>
      </c>
      <c r="J3049" s="138" t="s">
        <v>1292</v>
      </c>
      <c r="K3049" s="138" t="s">
        <v>1292</v>
      </c>
      <c r="L3049" s="138" t="s">
        <v>1292</v>
      </c>
      <c r="M3049" s="12"/>
      <c r="N3049" s="88" t="s">
        <v>1292</v>
      </c>
      <c r="P3049" t="str">
        <f>VLOOKUP(B3049,PTN!A:B,2,FALSE)</f>
        <v>UNIVERSITAS KHAIRUN</v>
      </c>
      <c r="Q3049" t="str">
        <f t="shared" si="47"/>
        <v>UNIVERSITAS KHAIRUNMANAJEMEN</v>
      </c>
    </row>
    <row r="3050" spans="1:17" ht="15.75" thickBot="1" x14ac:dyDescent="0.3">
      <c r="A3050" s="7">
        <v>3049</v>
      </c>
      <c r="B3050" s="6">
        <v>81</v>
      </c>
      <c r="C3050" s="12">
        <v>8212081</v>
      </c>
      <c r="D3050" t="s">
        <v>283</v>
      </c>
      <c r="E3050" s="12">
        <v>24</v>
      </c>
      <c r="F3050" s="10" t="s">
        <v>13</v>
      </c>
      <c r="J3050" s="138" t="s">
        <v>1292</v>
      </c>
      <c r="K3050" s="138" t="s">
        <v>1292</v>
      </c>
      <c r="L3050" s="138" t="s">
        <v>1292</v>
      </c>
      <c r="M3050" s="13"/>
      <c r="N3050" s="89" t="s">
        <v>1292</v>
      </c>
      <c r="P3050" t="str">
        <f>VLOOKUP(B3050,PTN!A:B,2,FALSE)</f>
        <v>UNIVERSITAS KHAIRUN</v>
      </c>
      <c r="Q3050" t="str">
        <f t="shared" si="47"/>
        <v>UNIVERSITAS KHAIRUNPEND. BAHASA INDONESIA</v>
      </c>
    </row>
    <row r="3051" spans="1:17" ht="15.75" thickBot="1" x14ac:dyDescent="0.3">
      <c r="A3051" s="7">
        <v>3050</v>
      </c>
      <c r="B3051" s="6">
        <v>81</v>
      </c>
      <c r="C3051" s="13">
        <v>8212096</v>
      </c>
      <c r="D3051" t="s">
        <v>242</v>
      </c>
      <c r="E3051" s="13">
        <v>24</v>
      </c>
      <c r="F3051" s="10" t="s">
        <v>13</v>
      </c>
      <c r="J3051" s="138" t="s">
        <v>1292</v>
      </c>
      <c r="K3051" s="138" t="s">
        <v>1292</v>
      </c>
      <c r="L3051" s="138" t="s">
        <v>1292</v>
      </c>
      <c r="M3051" s="12"/>
      <c r="N3051" s="88" t="s">
        <v>1292</v>
      </c>
      <c r="P3051" t="str">
        <f>VLOOKUP(B3051,PTN!A:B,2,FALSE)</f>
        <v>UNIVERSITAS KHAIRUN</v>
      </c>
      <c r="Q3051" t="str">
        <f t="shared" si="47"/>
        <v>UNIVERSITAS KHAIRUNPEND. BAHASA INGGRIS</v>
      </c>
    </row>
    <row r="3052" spans="1:17" ht="15.75" thickBot="1" x14ac:dyDescent="0.3">
      <c r="A3052" s="7">
        <v>3051</v>
      </c>
      <c r="B3052" s="6">
        <v>81</v>
      </c>
      <c r="C3052" s="12">
        <v>8212115</v>
      </c>
      <c r="D3052" t="s">
        <v>285</v>
      </c>
      <c r="E3052" s="12">
        <v>18</v>
      </c>
      <c r="F3052" s="10" t="s">
        <v>13</v>
      </c>
      <c r="J3052" s="138" t="s">
        <v>1292</v>
      </c>
      <c r="K3052" s="138" t="s">
        <v>1292</v>
      </c>
      <c r="L3052" s="138" t="s">
        <v>1292</v>
      </c>
      <c r="M3052" s="13"/>
      <c r="N3052" s="89" t="s">
        <v>1292</v>
      </c>
      <c r="P3052" t="str">
        <f>VLOOKUP(B3052,PTN!A:B,2,FALSE)</f>
        <v>UNIVERSITAS KHAIRUN</v>
      </c>
      <c r="Q3052" t="str">
        <f t="shared" si="47"/>
        <v>UNIVERSITAS KHAIRUNPEND. GEOGRAFI</v>
      </c>
    </row>
    <row r="3053" spans="1:17" ht="15.75" thickBot="1" x14ac:dyDescent="0.3">
      <c r="A3053" s="7">
        <v>3052</v>
      </c>
      <c r="B3053" s="6">
        <v>81</v>
      </c>
      <c r="C3053" s="13">
        <v>8212146</v>
      </c>
      <c r="D3053" t="s">
        <v>559</v>
      </c>
      <c r="E3053" s="13">
        <v>48</v>
      </c>
      <c r="F3053" s="10" t="s">
        <v>13</v>
      </c>
      <c r="J3053" s="138" t="s">
        <v>1292</v>
      </c>
      <c r="K3053" s="138" t="s">
        <v>1292</v>
      </c>
      <c r="L3053" s="138" t="s">
        <v>1292</v>
      </c>
      <c r="M3053" s="12"/>
      <c r="N3053" s="88" t="s">
        <v>1292</v>
      </c>
      <c r="P3053" t="str">
        <f>VLOOKUP(B3053,PTN!A:B,2,FALSE)</f>
        <v>UNIVERSITAS KHAIRUN</v>
      </c>
      <c r="Q3053" t="str">
        <f t="shared" si="47"/>
        <v>UNIVERSITAS KHAIRUNPG PAUD</v>
      </c>
    </row>
    <row r="3054" spans="1:17" ht="15.75" thickBot="1" x14ac:dyDescent="0.3">
      <c r="A3054" s="7">
        <v>3053</v>
      </c>
      <c r="B3054" s="6">
        <v>81</v>
      </c>
      <c r="C3054" s="12">
        <v>8212123</v>
      </c>
      <c r="D3054" t="s">
        <v>736</v>
      </c>
      <c r="E3054" s="12">
        <v>48</v>
      </c>
      <c r="F3054" s="10" t="s">
        <v>13</v>
      </c>
      <c r="J3054" s="138" t="s">
        <v>1292</v>
      </c>
      <c r="K3054" s="138" t="s">
        <v>1292</v>
      </c>
      <c r="L3054" s="138" t="s">
        <v>1292</v>
      </c>
      <c r="M3054" s="13"/>
      <c r="N3054" s="89" t="s">
        <v>1292</v>
      </c>
      <c r="P3054" t="str">
        <f>VLOOKUP(B3054,PTN!A:B,2,FALSE)</f>
        <v>UNIVERSITAS KHAIRUN</v>
      </c>
      <c r="Q3054" t="str">
        <f t="shared" si="47"/>
        <v>UNIVERSITAS KHAIRUNPGSD S1</v>
      </c>
    </row>
    <row r="3055" spans="1:17" ht="15.75" thickBot="1" x14ac:dyDescent="0.3">
      <c r="A3055" s="7">
        <v>3054</v>
      </c>
      <c r="B3055" s="6">
        <v>81</v>
      </c>
      <c r="C3055" s="13">
        <v>8212073</v>
      </c>
      <c r="D3055" t="s">
        <v>262</v>
      </c>
      <c r="E3055" s="13">
        <v>24</v>
      </c>
      <c r="F3055" s="10" t="s">
        <v>13</v>
      </c>
      <c r="J3055" s="138" t="s">
        <v>1292</v>
      </c>
      <c r="K3055" s="138" t="s">
        <v>1292</v>
      </c>
      <c r="L3055" s="138" t="s">
        <v>1292</v>
      </c>
      <c r="M3055" s="12"/>
      <c r="N3055" s="88" t="s">
        <v>1292</v>
      </c>
      <c r="P3055" t="str">
        <f>VLOOKUP(B3055,PTN!A:B,2,FALSE)</f>
        <v>UNIVERSITAS KHAIRUN</v>
      </c>
      <c r="Q3055" t="str">
        <f t="shared" si="47"/>
        <v>UNIVERSITAS KHAIRUNPPKN</v>
      </c>
    </row>
    <row r="3056" spans="1:17" ht="15.75" thickBot="1" x14ac:dyDescent="0.3">
      <c r="A3056" s="7">
        <v>3055</v>
      </c>
      <c r="B3056" s="6">
        <v>81</v>
      </c>
      <c r="C3056" s="12">
        <v>8212057</v>
      </c>
      <c r="D3056" t="s">
        <v>62</v>
      </c>
      <c r="E3056" s="12">
        <v>9</v>
      </c>
      <c r="F3056" s="10" t="s">
        <v>13</v>
      </c>
      <c r="J3056" s="138" t="s">
        <v>1292</v>
      </c>
      <c r="K3056" s="138" t="s">
        <v>1292</v>
      </c>
      <c r="L3056" s="138" t="s">
        <v>1292</v>
      </c>
      <c r="M3056" s="13"/>
      <c r="N3056" s="89" t="s">
        <v>1292</v>
      </c>
      <c r="P3056" t="str">
        <f>VLOOKUP(B3056,PTN!A:B,2,FALSE)</f>
        <v>UNIVERSITAS KHAIRUN</v>
      </c>
      <c r="Q3056" t="str">
        <f t="shared" si="47"/>
        <v>UNIVERSITAS KHAIRUNSASTRA INDONESIA</v>
      </c>
    </row>
    <row r="3057" spans="1:17" ht="15.75" thickBot="1" x14ac:dyDescent="0.3">
      <c r="A3057" s="7">
        <v>3056</v>
      </c>
      <c r="B3057" s="6">
        <v>81</v>
      </c>
      <c r="C3057" s="16">
        <v>8212065</v>
      </c>
      <c r="D3057" t="s">
        <v>139</v>
      </c>
      <c r="E3057" s="16">
        <v>30</v>
      </c>
      <c r="F3057" s="10" t="s">
        <v>13</v>
      </c>
      <c r="J3057" s="138" t="s">
        <v>1292</v>
      </c>
      <c r="K3057" s="138" t="s">
        <v>1292</v>
      </c>
      <c r="L3057" s="138" t="s">
        <v>1292</v>
      </c>
      <c r="M3057" s="12"/>
      <c r="N3057" s="88" t="s">
        <v>1292</v>
      </c>
      <c r="P3057" t="str">
        <f>VLOOKUP(B3057,PTN!A:B,2,FALSE)</f>
        <v>UNIVERSITAS KHAIRUN</v>
      </c>
      <c r="Q3057" t="str">
        <f t="shared" si="47"/>
        <v>UNIVERSITAS KHAIRUNSASTRA INGGRIS</v>
      </c>
    </row>
    <row r="3058" spans="1:17" ht="16.5" thickTop="1" thickBot="1" x14ac:dyDescent="0.3">
      <c r="A3058" s="7">
        <v>3057</v>
      </c>
      <c r="B3058" s="6">
        <v>84</v>
      </c>
      <c r="C3058" s="12">
        <v>9132014</v>
      </c>
      <c r="D3058" t="s">
        <v>12</v>
      </c>
      <c r="E3058" s="12">
        <v>8</v>
      </c>
      <c r="F3058" s="27" t="s">
        <v>13</v>
      </c>
      <c r="J3058" s="138">
        <v>602.63</v>
      </c>
      <c r="K3058" s="138">
        <v>610.76773000000003</v>
      </c>
      <c r="L3058" s="138">
        <v>594.49226999999996</v>
      </c>
      <c r="M3058" s="21"/>
      <c r="N3058" s="83">
        <v>602.63</v>
      </c>
      <c r="P3058" t="str">
        <f>VLOOKUP(B3058,PTN!A:B,2,FALSE)</f>
        <v>ISBI TANAH PAPUA</v>
      </c>
      <c r="Q3058" t="str">
        <f t="shared" si="47"/>
        <v>ISBI TANAH PAPUADESAIN KOMUNIKASI VISUAL</v>
      </c>
    </row>
    <row r="3059" spans="1:17" ht="16.5" thickTop="1" thickBot="1" x14ac:dyDescent="0.3">
      <c r="A3059" s="7">
        <v>3058</v>
      </c>
      <c r="B3059" s="6">
        <v>84</v>
      </c>
      <c r="C3059" s="13">
        <v>9132037</v>
      </c>
      <c r="D3059" t="s">
        <v>158</v>
      </c>
      <c r="E3059" s="13">
        <v>7</v>
      </c>
      <c r="F3059" s="27" t="s">
        <v>13</v>
      </c>
      <c r="J3059" s="138" t="s">
        <v>1292</v>
      </c>
      <c r="K3059" s="138" t="s">
        <v>1292</v>
      </c>
      <c r="L3059" s="138" t="s">
        <v>1292</v>
      </c>
      <c r="M3059" s="24"/>
      <c r="N3059" s="84" t="s">
        <v>1292</v>
      </c>
      <c r="P3059" t="str">
        <f>VLOOKUP(B3059,PTN!A:B,2,FALSE)</f>
        <v>ISBI TANAH PAPUA</v>
      </c>
      <c r="Q3059" t="str">
        <f t="shared" si="47"/>
        <v>ISBI TANAH PAPUASENI KRIYA</v>
      </c>
    </row>
    <row r="3060" spans="1:17" ht="16.5" thickTop="1" thickBot="1" x14ac:dyDescent="0.3">
      <c r="A3060" s="7">
        <v>3059</v>
      </c>
      <c r="B3060" s="6">
        <v>84</v>
      </c>
      <c r="C3060" s="12">
        <v>9132045</v>
      </c>
      <c r="D3060" t="s">
        <v>160</v>
      </c>
      <c r="E3060" s="12">
        <v>7</v>
      </c>
      <c r="F3060" s="27" t="s">
        <v>13</v>
      </c>
      <c r="J3060" s="138" t="s">
        <v>1292</v>
      </c>
      <c r="K3060" s="138" t="s">
        <v>1292</v>
      </c>
      <c r="L3060" s="138" t="s">
        <v>1292</v>
      </c>
      <c r="M3060" s="12"/>
      <c r="N3060" s="88" t="s">
        <v>1292</v>
      </c>
      <c r="P3060" t="str">
        <f>VLOOKUP(B3060,PTN!A:B,2,FALSE)</f>
        <v>ISBI TANAH PAPUA</v>
      </c>
      <c r="Q3060" t="str">
        <f t="shared" si="47"/>
        <v>ISBI TANAH PAPUASENI MUSIK</v>
      </c>
    </row>
    <row r="3061" spans="1:17" ht="15.75" thickBot="1" x14ac:dyDescent="0.3">
      <c r="A3061" s="7">
        <v>3060</v>
      </c>
      <c r="B3061" s="6">
        <v>84</v>
      </c>
      <c r="C3061" s="13">
        <v>9132022</v>
      </c>
      <c r="D3061" t="s">
        <v>16</v>
      </c>
      <c r="E3061" s="13">
        <v>8</v>
      </c>
      <c r="F3061" s="27" t="s">
        <v>13</v>
      </c>
      <c r="J3061" s="138" t="s">
        <v>1292</v>
      </c>
      <c r="K3061" s="138" t="s">
        <v>1292</v>
      </c>
      <c r="L3061" s="138" t="s">
        <v>1292</v>
      </c>
      <c r="M3061" s="13"/>
      <c r="N3061" s="89" t="s">
        <v>1292</v>
      </c>
      <c r="P3061" t="str">
        <f>VLOOKUP(B3061,PTN!A:B,2,FALSE)</f>
        <v>ISBI TANAH PAPUA</v>
      </c>
      <c r="Q3061" t="str">
        <f t="shared" si="47"/>
        <v>ISBI TANAH PAPUASENI RUPA MURNI</v>
      </c>
    </row>
    <row r="3062" spans="1:17" ht="15.75" thickBot="1" x14ac:dyDescent="0.3">
      <c r="A3062" s="7">
        <v>3061</v>
      </c>
      <c r="B3062" s="6">
        <v>84</v>
      </c>
      <c r="C3062" s="14">
        <v>9132053</v>
      </c>
      <c r="D3062" t="s">
        <v>17</v>
      </c>
      <c r="E3062" s="14">
        <v>7</v>
      </c>
      <c r="F3062" s="27" t="s">
        <v>13</v>
      </c>
      <c r="J3062" s="138" t="s">
        <v>1292</v>
      </c>
      <c r="K3062" s="138" t="s">
        <v>1292</v>
      </c>
      <c r="L3062" s="138" t="s">
        <v>1292</v>
      </c>
      <c r="M3062" s="12"/>
      <c r="N3062" s="88" t="s">
        <v>1292</v>
      </c>
      <c r="P3062" t="str">
        <f>VLOOKUP(B3062,PTN!A:B,2,FALSE)</f>
        <v>ISBI TANAH PAPUA</v>
      </c>
      <c r="Q3062" t="str">
        <f t="shared" si="47"/>
        <v>ISBI TANAH PAPUASENI TARI</v>
      </c>
    </row>
    <row r="3063" spans="1:17" ht="16.5" thickTop="1" thickBot="1" x14ac:dyDescent="0.3">
      <c r="A3063" s="7">
        <v>3062</v>
      </c>
      <c r="B3063" s="6">
        <v>82</v>
      </c>
      <c r="C3063" s="12">
        <v>9111022</v>
      </c>
      <c r="D3063" t="s">
        <v>21</v>
      </c>
      <c r="E3063" s="12">
        <v>8</v>
      </c>
      <c r="F3063" s="59" t="s">
        <v>20</v>
      </c>
      <c r="J3063" s="138" t="s">
        <v>1292</v>
      </c>
      <c r="K3063" s="138" t="s">
        <v>1292</v>
      </c>
      <c r="L3063" s="138" t="s">
        <v>1292</v>
      </c>
      <c r="M3063" s="21"/>
      <c r="N3063" s="83" t="s">
        <v>1292</v>
      </c>
      <c r="P3063" t="str">
        <f>VLOOKUP(B3063,PTN!A:B,2,FALSE)</f>
        <v>UNIVERSITAS CENDERAWASIH</v>
      </c>
      <c r="Q3063" t="str">
        <f t="shared" si="47"/>
        <v>UNIVERSITAS CENDERAWASIHBIOLOGI</v>
      </c>
    </row>
    <row r="3064" spans="1:17" ht="15.75" thickBot="1" x14ac:dyDescent="0.3">
      <c r="A3064" s="7">
        <v>3063</v>
      </c>
      <c r="B3064" s="6">
        <v>82</v>
      </c>
      <c r="C3064" s="13">
        <v>9111173</v>
      </c>
      <c r="D3064" t="s">
        <v>77</v>
      </c>
      <c r="E3064" s="13">
        <v>8</v>
      </c>
      <c r="F3064" s="59" t="s">
        <v>20</v>
      </c>
      <c r="J3064" s="138" t="s">
        <v>1292</v>
      </c>
      <c r="K3064" s="138" t="s">
        <v>1292</v>
      </c>
      <c r="L3064" s="138" t="s">
        <v>1292</v>
      </c>
      <c r="M3064" s="21"/>
      <c r="N3064" s="83" t="s">
        <v>1292</v>
      </c>
      <c r="P3064" t="str">
        <f>VLOOKUP(B3064,PTN!A:B,2,FALSE)</f>
        <v>UNIVERSITAS CENDERAWASIH</v>
      </c>
      <c r="Q3064" t="str">
        <f t="shared" si="47"/>
        <v>UNIVERSITAS CENDERAWASIHFARMASI</v>
      </c>
    </row>
    <row r="3065" spans="1:17" ht="16.5" thickTop="1" thickBot="1" x14ac:dyDescent="0.3">
      <c r="A3065" s="7">
        <v>3064</v>
      </c>
      <c r="B3065" s="6">
        <v>82</v>
      </c>
      <c r="C3065" s="12">
        <v>9111045</v>
      </c>
      <c r="D3065" t="s">
        <v>65</v>
      </c>
      <c r="E3065" s="12">
        <v>8</v>
      </c>
      <c r="F3065" s="59" t="s">
        <v>20</v>
      </c>
      <c r="J3065" s="138" t="s">
        <v>1292</v>
      </c>
      <c r="K3065" s="138" t="s">
        <v>1292</v>
      </c>
      <c r="L3065" s="138" t="s">
        <v>1292</v>
      </c>
      <c r="M3065" s="24"/>
      <c r="N3065" s="84" t="s">
        <v>1292</v>
      </c>
      <c r="P3065" t="str">
        <f>VLOOKUP(B3065,PTN!A:B,2,FALSE)</f>
        <v>UNIVERSITAS CENDERAWASIH</v>
      </c>
      <c r="Q3065" t="str">
        <f t="shared" si="47"/>
        <v>UNIVERSITAS CENDERAWASIHFISIKA</v>
      </c>
    </row>
    <row r="3066" spans="1:17" ht="16.5" thickTop="1" thickBot="1" x14ac:dyDescent="0.3">
      <c r="A3066" s="7">
        <v>3065</v>
      </c>
      <c r="B3066" s="6">
        <v>82</v>
      </c>
      <c r="C3066" s="13">
        <v>9111165</v>
      </c>
      <c r="D3066" t="s">
        <v>40</v>
      </c>
      <c r="E3066" s="13">
        <v>8</v>
      </c>
      <c r="F3066" s="59" t="s">
        <v>20</v>
      </c>
      <c r="J3066" s="138" t="s">
        <v>1292</v>
      </c>
      <c r="K3066" s="138" t="s">
        <v>1292</v>
      </c>
      <c r="L3066" s="138" t="s">
        <v>1292</v>
      </c>
      <c r="M3066" s="12"/>
      <c r="N3066" s="88" t="s">
        <v>1292</v>
      </c>
      <c r="P3066" t="str">
        <f>VLOOKUP(B3066,PTN!A:B,2,FALSE)</f>
        <v>UNIVERSITAS CENDERAWASIH</v>
      </c>
      <c r="Q3066" t="str">
        <f t="shared" si="47"/>
        <v>UNIVERSITAS CENDERAWASIHILMU KELAUTAN</v>
      </c>
    </row>
    <row r="3067" spans="1:17" ht="15.75" thickBot="1" x14ac:dyDescent="0.3">
      <c r="A3067" s="7">
        <v>3066</v>
      </c>
      <c r="B3067" s="6">
        <v>82</v>
      </c>
      <c r="C3067" s="12">
        <v>9111215</v>
      </c>
      <c r="D3067" t="s">
        <v>114</v>
      </c>
      <c r="E3067" s="12">
        <v>25</v>
      </c>
      <c r="F3067" s="59" t="s">
        <v>20</v>
      </c>
      <c r="J3067" s="138" t="s">
        <v>1292</v>
      </c>
      <c r="K3067" s="138" t="s">
        <v>1292</v>
      </c>
      <c r="L3067" s="138" t="s">
        <v>1292</v>
      </c>
      <c r="M3067" s="13"/>
      <c r="N3067" s="89" t="s">
        <v>1292</v>
      </c>
      <c r="P3067" t="str">
        <f>VLOOKUP(B3067,PTN!A:B,2,FALSE)</f>
        <v>UNIVERSITAS CENDERAWASIH</v>
      </c>
      <c r="Q3067" t="str">
        <f t="shared" si="47"/>
        <v>UNIVERSITAS CENDERAWASIHILMU KEOLAHRAGAAN</v>
      </c>
    </row>
    <row r="3068" spans="1:17" ht="15.75" thickBot="1" x14ac:dyDescent="0.3">
      <c r="A3068" s="7">
        <v>3067</v>
      </c>
      <c r="B3068" s="6">
        <v>82</v>
      </c>
      <c r="C3068" s="13">
        <v>9111134</v>
      </c>
      <c r="D3068" t="s">
        <v>78</v>
      </c>
      <c r="E3068" s="13">
        <v>8</v>
      </c>
      <c r="F3068" s="59" t="s">
        <v>20</v>
      </c>
      <c r="J3068" s="138" t="s">
        <v>1292</v>
      </c>
      <c r="K3068" s="138" t="s">
        <v>1292</v>
      </c>
      <c r="L3068" s="138" t="s">
        <v>1292</v>
      </c>
      <c r="M3068" s="12"/>
      <c r="N3068" s="88" t="s">
        <v>1292</v>
      </c>
      <c r="P3068" t="str">
        <f>VLOOKUP(B3068,PTN!A:B,2,FALSE)</f>
        <v>UNIVERSITAS CENDERAWASIH</v>
      </c>
      <c r="Q3068" t="str">
        <f t="shared" si="47"/>
        <v>UNIVERSITAS CENDERAWASIHILMU KEPERAWATAN</v>
      </c>
    </row>
    <row r="3069" spans="1:17" ht="15.75" thickBot="1" x14ac:dyDescent="0.3">
      <c r="A3069" s="7">
        <v>3068</v>
      </c>
      <c r="B3069" s="6">
        <v>82</v>
      </c>
      <c r="C3069" s="12">
        <v>9111053</v>
      </c>
      <c r="D3069" t="s">
        <v>110</v>
      </c>
      <c r="E3069" s="12">
        <v>25</v>
      </c>
      <c r="F3069" s="59" t="s">
        <v>20</v>
      </c>
      <c r="J3069" s="138" t="s">
        <v>1292</v>
      </c>
      <c r="K3069" s="138" t="s">
        <v>1292</v>
      </c>
      <c r="L3069" s="138" t="s">
        <v>1292</v>
      </c>
      <c r="M3069" s="13"/>
      <c r="N3069" s="89" t="s">
        <v>1292</v>
      </c>
      <c r="P3069" t="str">
        <f>VLOOKUP(B3069,PTN!A:B,2,FALSE)</f>
        <v>UNIVERSITAS CENDERAWASIH</v>
      </c>
      <c r="Q3069" t="str">
        <f t="shared" si="47"/>
        <v>UNIVERSITAS CENDERAWASIHILMU KESEHATAN MASYARAKAT</v>
      </c>
    </row>
    <row r="3070" spans="1:17" ht="15.75" thickBot="1" x14ac:dyDescent="0.3">
      <c r="A3070" s="7">
        <v>3069</v>
      </c>
      <c r="B3070" s="6">
        <v>82</v>
      </c>
      <c r="C3070" s="13">
        <v>9111223</v>
      </c>
      <c r="D3070" t="s">
        <v>708</v>
      </c>
      <c r="E3070" s="13">
        <v>8</v>
      </c>
      <c r="F3070" s="59" t="s">
        <v>20</v>
      </c>
      <c r="J3070" s="138" t="s">
        <v>1292</v>
      </c>
      <c r="K3070" s="138" t="s">
        <v>1292</v>
      </c>
      <c r="L3070" s="138" t="s">
        <v>1292</v>
      </c>
      <c r="M3070" s="12"/>
      <c r="N3070" s="88" t="s">
        <v>1292</v>
      </c>
      <c r="P3070" t="str">
        <f>VLOOKUP(B3070,PTN!A:B,2,FALSE)</f>
        <v>UNIVERSITAS CENDERAWASIH</v>
      </c>
      <c r="Q3070" t="str">
        <f t="shared" si="47"/>
        <v>UNIVERSITAS CENDERAWASIHILMU PERIKANAN</v>
      </c>
    </row>
    <row r="3071" spans="1:17" ht="15.75" thickBot="1" x14ac:dyDescent="0.3">
      <c r="A3071" s="7">
        <v>3070</v>
      </c>
      <c r="B3071" s="6">
        <v>82</v>
      </c>
      <c r="C3071" s="12">
        <v>9111037</v>
      </c>
      <c r="D3071" t="s">
        <v>22</v>
      </c>
      <c r="E3071" s="12">
        <v>8</v>
      </c>
      <c r="F3071" s="59" t="s">
        <v>20</v>
      </c>
      <c r="J3071" s="138" t="s">
        <v>1292</v>
      </c>
      <c r="K3071" s="138" t="s">
        <v>1292</v>
      </c>
      <c r="L3071" s="138" t="s">
        <v>1292</v>
      </c>
      <c r="M3071" s="13"/>
      <c r="N3071" s="89" t="s">
        <v>1292</v>
      </c>
      <c r="P3071" t="str">
        <f>VLOOKUP(B3071,PTN!A:B,2,FALSE)</f>
        <v>UNIVERSITAS CENDERAWASIH</v>
      </c>
      <c r="Q3071" t="str">
        <f t="shared" si="47"/>
        <v>UNIVERSITAS CENDERAWASIHKIMIA</v>
      </c>
    </row>
    <row r="3072" spans="1:17" ht="15.75" thickBot="1" x14ac:dyDescent="0.3">
      <c r="A3072" s="7">
        <v>3071</v>
      </c>
      <c r="B3072" s="6">
        <v>82</v>
      </c>
      <c r="C3072" s="13">
        <v>9111014</v>
      </c>
      <c r="D3072" t="s">
        <v>66</v>
      </c>
      <c r="E3072" s="13">
        <v>8</v>
      </c>
      <c r="F3072" s="59" t="s">
        <v>20</v>
      </c>
      <c r="J3072" s="138" t="s">
        <v>1292</v>
      </c>
      <c r="K3072" s="138" t="s">
        <v>1292</v>
      </c>
      <c r="L3072" s="138" t="s">
        <v>1292</v>
      </c>
      <c r="M3072" s="12"/>
      <c r="N3072" s="88" t="s">
        <v>1292</v>
      </c>
      <c r="P3072" t="str">
        <f>VLOOKUP(B3072,PTN!A:B,2,FALSE)</f>
        <v>UNIVERSITAS CENDERAWASIH</v>
      </c>
      <c r="Q3072" t="str">
        <f t="shared" si="47"/>
        <v>UNIVERSITAS CENDERAWASIHMATEMATIKA</v>
      </c>
    </row>
    <row r="3073" spans="1:17" ht="15.75" thickBot="1" x14ac:dyDescent="0.3">
      <c r="A3073" s="7">
        <v>3072</v>
      </c>
      <c r="B3073" s="6">
        <v>82</v>
      </c>
      <c r="C3073" s="12">
        <v>9111076</v>
      </c>
      <c r="D3073" t="s">
        <v>214</v>
      </c>
      <c r="E3073" s="12">
        <v>8</v>
      </c>
      <c r="F3073" s="59" t="s">
        <v>20</v>
      </c>
      <c r="J3073" s="138" t="s">
        <v>1292</v>
      </c>
      <c r="K3073" s="138" t="s">
        <v>1292</v>
      </c>
      <c r="L3073" s="138" t="s">
        <v>1292</v>
      </c>
      <c r="M3073" s="13"/>
      <c r="N3073" s="89" t="s">
        <v>1292</v>
      </c>
      <c r="P3073" t="str">
        <f>VLOOKUP(B3073,PTN!A:B,2,FALSE)</f>
        <v>UNIVERSITAS CENDERAWASIH</v>
      </c>
      <c r="Q3073" t="str">
        <f t="shared" si="47"/>
        <v>UNIVERSITAS CENDERAWASIHPEND. BIOLOGI</v>
      </c>
    </row>
    <row r="3074" spans="1:17" ht="15.75" thickBot="1" x14ac:dyDescent="0.3">
      <c r="A3074" s="7">
        <v>3073</v>
      </c>
      <c r="B3074" s="6">
        <v>82</v>
      </c>
      <c r="C3074" s="13">
        <v>9111092</v>
      </c>
      <c r="D3074" t="s">
        <v>216</v>
      </c>
      <c r="E3074" s="13">
        <v>8</v>
      </c>
      <c r="F3074" s="59" t="s">
        <v>20</v>
      </c>
      <c r="J3074" s="138" t="s">
        <v>1292</v>
      </c>
      <c r="K3074" s="138" t="s">
        <v>1292</v>
      </c>
      <c r="L3074" s="138" t="s">
        <v>1292</v>
      </c>
      <c r="M3074" s="12"/>
      <c r="N3074" s="88" t="s">
        <v>1292</v>
      </c>
      <c r="P3074" t="str">
        <f>VLOOKUP(B3074,PTN!A:B,2,FALSE)</f>
        <v>UNIVERSITAS CENDERAWASIH</v>
      </c>
      <c r="Q3074" t="str">
        <f t="shared" si="47"/>
        <v>UNIVERSITAS CENDERAWASIHPEND. FISIKA</v>
      </c>
    </row>
    <row r="3075" spans="1:17" ht="15.75" thickBot="1" x14ac:dyDescent="0.3">
      <c r="A3075" s="7">
        <v>3074</v>
      </c>
      <c r="B3075" s="6">
        <v>82</v>
      </c>
      <c r="C3075" s="12">
        <v>9111126</v>
      </c>
      <c r="D3075" t="s">
        <v>41</v>
      </c>
      <c r="E3075" s="12">
        <v>8</v>
      </c>
      <c r="F3075" s="59" t="s">
        <v>20</v>
      </c>
      <c r="J3075" s="138">
        <v>637.57000000000005</v>
      </c>
      <c r="K3075" s="138">
        <v>643.90500000000009</v>
      </c>
      <c r="L3075" s="138">
        <v>631.23500000000001</v>
      </c>
      <c r="M3075" s="13"/>
      <c r="N3075" s="89">
        <v>637.57000000000005</v>
      </c>
      <c r="P3075" t="str">
        <f>VLOOKUP(B3075,PTN!A:B,2,FALSE)</f>
        <v>UNIVERSITAS CENDERAWASIH</v>
      </c>
      <c r="Q3075" t="str">
        <f t="shared" ref="Q3075:Q3138" si="48">P3075&amp;D3075</f>
        <v>UNIVERSITAS CENDERAWASIHPENDIDIKAN DOKTER</v>
      </c>
    </row>
    <row r="3076" spans="1:17" ht="15.75" thickBot="1" x14ac:dyDescent="0.3">
      <c r="A3076" s="7">
        <v>3075</v>
      </c>
      <c r="B3076" s="6">
        <v>82</v>
      </c>
      <c r="C3076" s="13">
        <v>9111084</v>
      </c>
      <c r="D3076" t="s">
        <v>217</v>
      </c>
      <c r="E3076" s="13">
        <v>8</v>
      </c>
      <c r="F3076" s="59" t="s">
        <v>20</v>
      </c>
      <c r="J3076" s="138" t="s">
        <v>1292</v>
      </c>
      <c r="K3076" s="138" t="s">
        <v>1292</v>
      </c>
      <c r="L3076" s="138" t="s">
        <v>1292</v>
      </c>
      <c r="M3076" s="12"/>
      <c r="N3076" s="88" t="s">
        <v>1292</v>
      </c>
      <c r="P3076" t="str">
        <f>VLOOKUP(B3076,PTN!A:B,2,FALSE)</f>
        <v>UNIVERSITAS CENDERAWASIH</v>
      </c>
      <c r="Q3076" t="str">
        <f t="shared" si="48"/>
        <v>UNIVERSITAS CENDERAWASIHPEND. KIMIA</v>
      </c>
    </row>
    <row r="3077" spans="1:17" ht="15.75" thickBot="1" x14ac:dyDescent="0.3">
      <c r="A3077" s="7">
        <v>3076</v>
      </c>
      <c r="B3077" s="6">
        <v>82</v>
      </c>
      <c r="C3077" s="12">
        <v>9111061</v>
      </c>
      <c r="D3077" t="s">
        <v>218</v>
      </c>
      <c r="E3077" s="12">
        <v>8</v>
      </c>
      <c r="F3077" s="59" t="s">
        <v>20</v>
      </c>
      <c r="J3077" s="138" t="s">
        <v>1292</v>
      </c>
      <c r="K3077" s="138" t="s">
        <v>1292</v>
      </c>
      <c r="L3077" s="138" t="s">
        <v>1292</v>
      </c>
      <c r="M3077" s="13"/>
      <c r="N3077" s="89" t="s">
        <v>1292</v>
      </c>
      <c r="P3077" t="str">
        <f>VLOOKUP(B3077,PTN!A:B,2,FALSE)</f>
        <v>UNIVERSITAS CENDERAWASIH</v>
      </c>
      <c r="Q3077" t="str">
        <f t="shared" si="48"/>
        <v>UNIVERSITAS CENDERAWASIHPEND. MATEMATIKA</v>
      </c>
    </row>
    <row r="3078" spans="1:17" ht="15.75" thickBot="1" x14ac:dyDescent="0.3">
      <c r="A3078" s="7">
        <v>3077</v>
      </c>
      <c r="B3078" s="6">
        <v>82</v>
      </c>
      <c r="C3078" s="13">
        <v>9111207</v>
      </c>
      <c r="D3078" t="s">
        <v>739</v>
      </c>
      <c r="E3078" s="13">
        <v>8</v>
      </c>
      <c r="F3078" s="59" t="s">
        <v>20</v>
      </c>
      <c r="J3078" s="138" t="s">
        <v>1292</v>
      </c>
      <c r="K3078" s="138" t="s">
        <v>1292</v>
      </c>
      <c r="L3078" s="138" t="s">
        <v>1292</v>
      </c>
      <c r="M3078" s="12"/>
      <c r="N3078" s="88" t="s">
        <v>1292</v>
      </c>
      <c r="P3078" t="str">
        <f>VLOOKUP(B3078,PTN!A:B,2,FALSE)</f>
        <v>UNIVERSITAS CENDERAWASIH</v>
      </c>
      <c r="Q3078" t="str">
        <f t="shared" si="48"/>
        <v>UNIVERSITAS CENDERAWASIHPERENCANAAN WILAYAH DAN KOTA/PLANOLOGI</v>
      </c>
    </row>
    <row r="3079" spans="1:17" ht="15.75" thickBot="1" x14ac:dyDescent="0.3">
      <c r="A3079" s="7">
        <v>3078</v>
      </c>
      <c r="B3079" s="6">
        <v>82</v>
      </c>
      <c r="C3079" s="12">
        <v>9111181</v>
      </c>
      <c r="D3079" t="s">
        <v>46</v>
      </c>
      <c r="E3079" s="12">
        <v>8</v>
      </c>
      <c r="F3079" s="59" t="s">
        <v>20</v>
      </c>
      <c r="J3079" s="138" t="s">
        <v>1292</v>
      </c>
      <c r="K3079" s="138" t="s">
        <v>1292</v>
      </c>
      <c r="L3079" s="138" t="s">
        <v>1292</v>
      </c>
      <c r="M3079" s="13"/>
      <c r="N3079" s="89" t="s">
        <v>1292</v>
      </c>
      <c r="P3079" t="str">
        <f>VLOOKUP(B3079,PTN!A:B,2,FALSE)</f>
        <v>UNIVERSITAS CENDERAWASIH</v>
      </c>
      <c r="Q3079" t="str">
        <f t="shared" si="48"/>
        <v>UNIVERSITAS CENDERAWASIHSISTEM INFORMASI</v>
      </c>
    </row>
    <row r="3080" spans="1:17" ht="15.75" thickBot="1" x14ac:dyDescent="0.3">
      <c r="A3080" s="7">
        <v>3079</v>
      </c>
      <c r="B3080" s="6">
        <v>82</v>
      </c>
      <c r="C3080" s="13">
        <v>9111231</v>
      </c>
      <c r="D3080" t="s">
        <v>90</v>
      </c>
      <c r="E3080" s="13">
        <v>8</v>
      </c>
      <c r="F3080" s="59" t="s">
        <v>20</v>
      </c>
      <c r="J3080" s="138" t="s">
        <v>1292</v>
      </c>
      <c r="K3080" s="138" t="s">
        <v>1292</v>
      </c>
      <c r="L3080" s="138" t="s">
        <v>1292</v>
      </c>
      <c r="M3080" s="12"/>
      <c r="N3080" s="88" t="s">
        <v>1292</v>
      </c>
      <c r="P3080" t="str">
        <f>VLOOKUP(B3080,PTN!A:B,2,FALSE)</f>
        <v>UNIVERSITAS CENDERAWASIH</v>
      </c>
      <c r="Q3080" t="str">
        <f t="shared" si="48"/>
        <v>UNIVERSITAS CENDERAWASIHSTATISTIKA</v>
      </c>
    </row>
    <row r="3081" spans="1:17" ht="15.75" thickBot="1" x14ac:dyDescent="0.3">
      <c r="A3081" s="7">
        <v>3080</v>
      </c>
      <c r="B3081" s="6">
        <v>82</v>
      </c>
      <c r="C3081" s="12">
        <v>9111111</v>
      </c>
      <c r="D3081" t="s">
        <v>48</v>
      </c>
      <c r="E3081" s="12">
        <v>10</v>
      </c>
      <c r="F3081" s="59" t="s">
        <v>20</v>
      </c>
      <c r="J3081" s="138" t="s">
        <v>1292</v>
      </c>
      <c r="K3081" s="138" t="s">
        <v>1292</v>
      </c>
      <c r="L3081" s="138" t="s">
        <v>1292</v>
      </c>
      <c r="M3081" s="13"/>
      <c r="N3081" s="89" t="s">
        <v>1292</v>
      </c>
      <c r="P3081" t="str">
        <f>VLOOKUP(B3081,PTN!A:B,2,FALSE)</f>
        <v>UNIVERSITAS CENDERAWASIH</v>
      </c>
      <c r="Q3081" t="str">
        <f t="shared" si="48"/>
        <v>UNIVERSITAS CENDERAWASIHTEKNIK ELEKTRO</v>
      </c>
    </row>
    <row r="3082" spans="1:17" ht="15.75" thickBot="1" x14ac:dyDescent="0.3">
      <c r="A3082" s="7">
        <v>3081</v>
      </c>
      <c r="B3082" s="6">
        <v>82</v>
      </c>
      <c r="C3082" s="13">
        <v>9111196</v>
      </c>
      <c r="D3082" t="s">
        <v>91</v>
      </c>
      <c r="E3082" s="13">
        <v>8</v>
      </c>
      <c r="F3082" s="59" t="s">
        <v>20</v>
      </c>
      <c r="J3082" s="138" t="s">
        <v>1292</v>
      </c>
      <c r="K3082" s="138" t="s">
        <v>1292</v>
      </c>
      <c r="L3082" s="138" t="s">
        <v>1292</v>
      </c>
      <c r="M3082" s="12"/>
      <c r="N3082" s="88" t="s">
        <v>1292</v>
      </c>
      <c r="P3082" t="str">
        <f>VLOOKUP(B3082,PTN!A:B,2,FALSE)</f>
        <v>UNIVERSITAS CENDERAWASIH</v>
      </c>
      <c r="Q3082" t="str">
        <f t="shared" si="48"/>
        <v>UNIVERSITAS CENDERAWASIHTEKNIK GEOFISIKA</v>
      </c>
    </row>
    <row r="3083" spans="1:17" ht="15.75" thickBot="1" x14ac:dyDescent="0.3">
      <c r="A3083" s="7">
        <v>3082</v>
      </c>
      <c r="B3083" s="6">
        <v>82</v>
      </c>
      <c r="C3083" s="12">
        <v>9111142</v>
      </c>
      <c r="D3083" t="s">
        <v>53</v>
      </c>
      <c r="E3083" s="12">
        <v>10</v>
      </c>
      <c r="F3083" s="59" t="s">
        <v>20</v>
      </c>
      <c r="J3083" s="138" t="s">
        <v>1292</v>
      </c>
      <c r="K3083" s="138" t="s">
        <v>1292</v>
      </c>
      <c r="L3083" s="138" t="s">
        <v>1292</v>
      </c>
      <c r="M3083" s="13"/>
      <c r="N3083" s="89" t="s">
        <v>1292</v>
      </c>
      <c r="P3083" t="str">
        <f>VLOOKUP(B3083,PTN!A:B,2,FALSE)</f>
        <v>UNIVERSITAS CENDERAWASIH</v>
      </c>
      <c r="Q3083" t="str">
        <f t="shared" si="48"/>
        <v>UNIVERSITAS CENDERAWASIHTEKNIK MESIN</v>
      </c>
    </row>
    <row r="3084" spans="1:17" ht="15.75" thickBot="1" x14ac:dyDescent="0.3">
      <c r="A3084" s="7">
        <v>3083</v>
      </c>
      <c r="B3084" s="6">
        <v>82</v>
      </c>
      <c r="C3084" s="13">
        <v>9111157</v>
      </c>
      <c r="D3084" t="s">
        <v>239</v>
      </c>
      <c r="E3084" s="13">
        <v>10</v>
      </c>
      <c r="F3084" s="59" t="s">
        <v>20</v>
      </c>
      <c r="J3084" s="138" t="s">
        <v>1292</v>
      </c>
      <c r="K3084" s="138" t="s">
        <v>1292</v>
      </c>
      <c r="L3084" s="138" t="s">
        <v>1292</v>
      </c>
      <c r="M3084" s="12"/>
      <c r="N3084" s="88" t="s">
        <v>1292</v>
      </c>
      <c r="P3084" t="str">
        <f>VLOOKUP(B3084,PTN!A:B,2,FALSE)</f>
        <v>UNIVERSITAS CENDERAWASIH</v>
      </c>
      <c r="Q3084" t="str">
        <f t="shared" si="48"/>
        <v>UNIVERSITAS CENDERAWASIHTEKNIK PERTAMBANGAN</v>
      </c>
    </row>
    <row r="3085" spans="1:17" ht="15.75" thickBot="1" x14ac:dyDescent="0.3">
      <c r="A3085" s="7">
        <v>3084</v>
      </c>
      <c r="B3085" s="6">
        <v>82</v>
      </c>
      <c r="C3085" s="14">
        <v>9111103</v>
      </c>
      <c r="D3085" t="s">
        <v>54</v>
      </c>
      <c r="E3085" s="14">
        <v>8</v>
      </c>
      <c r="F3085" s="59" t="s">
        <v>20</v>
      </c>
      <c r="J3085" s="138" t="s">
        <v>1292</v>
      </c>
      <c r="K3085" s="138" t="s">
        <v>1292</v>
      </c>
      <c r="L3085" s="138" t="s">
        <v>1292</v>
      </c>
      <c r="M3085" s="13"/>
      <c r="N3085" s="89" t="s">
        <v>1292</v>
      </c>
      <c r="P3085" t="str">
        <f>VLOOKUP(B3085,PTN!A:B,2,FALSE)</f>
        <v>UNIVERSITAS CENDERAWASIH</v>
      </c>
      <c r="Q3085" t="str">
        <f t="shared" si="48"/>
        <v>UNIVERSITAS CENDERAWASIHTEKNIK SIPIL</v>
      </c>
    </row>
    <row r="3086" spans="1:17" ht="16.5" thickTop="1" thickBot="1" x14ac:dyDescent="0.3">
      <c r="A3086" s="7">
        <v>3085</v>
      </c>
      <c r="B3086" s="6">
        <v>82</v>
      </c>
      <c r="C3086" s="12">
        <v>9112087</v>
      </c>
      <c r="D3086" t="s">
        <v>55</v>
      </c>
      <c r="E3086" s="12">
        <v>40</v>
      </c>
      <c r="F3086" s="59" t="s">
        <v>13</v>
      </c>
      <c r="J3086" s="138" t="s">
        <v>1292</v>
      </c>
      <c r="K3086" s="138" t="s">
        <v>1292</v>
      </c>
      <c r="L3086" s="138" t="s">
        <v>1292</v>
      </c>
      <c r="M3086" s="21"/>
      <c r="N3086" s="83" t="s">
        <v>1292</v>
      </c>
      <c r="P3086" t="str">
        <f>VLOOKUP(B3086,PTN!A:B,2,FALSE)</f>
        <v>UNIVERSITAS CENDERAWASIH</v>
      </c>
      <c r="Q3086" t="str">
        <f t="shared" si="48"/>
        <v>UNIVERSITAS CENDERAWASIHAKUNTANSI</v>
      </c>
    </row>
    <row r="3087" spans="1:17" ht="15.75" thickBot="1" x14ac:dyDescent="0.3">
      <c r="A3087" s="7">
        <v>3086</v>
      </c>
      <c r="B3087" s="6">
        <v>82</v>
      </c>
      <c r="C3087" s="13">
        <v>9112033</v>
      </c>
      <c r="D3087" t="s">
        <v>144</v>
      </c>
      <c r="E3087" s="13">
        <v>10</v>
      </c>
      <c r="F3087" s="59" t="s">
        <v>13</v>
      </c>
      <c r="J3087" s="138" t="s">
        <v>1292</v>
      </c>
      <c r="K3087" s="138" t="s">
        <v>1292</v>
      </c>
      <c r="L3087" s="138" t="s">
        <v>1292</v>
      </c>
      <c r="M3087" s="21"/>
      <c r="N3087" s="83" t="s">
        <v>1292</v>
      </c>
      <c r="P3087" t="str">
        <f>VLOOKUP(B3087,PTN!A:B,2,FALSE)</f>
        <v>UNIVERSITAS CENDERAWASIH</v>
      </c>
      <c r="Q3087" t="str">
        <f t="shared" si="48"/>
        <v>UNIVERSITAS CENDERAWASIHANTROPOLOGI SOSIAL</v>
      </c>
    </row>
    <row r="3088" spans="1:17" ht="16.5" thickTop="1" thickBot="1" x14ac:dyDescent="0.3">
      <c r="A3088" s="7">
        <v>3087</v>
      </c>
      <c r="B3088" s="6">
        <v>82</v>
      </c>
      <c r="C3088" s="12">
        <v>9112106</v>
      </c>
      <c r="D3088" t="s">
        <v>27</v>
      </c>
      <c r="E3088" s="12">
        <v>8</v>
      </c>
      <c r="F3088" s="59" t="s">
        <v>13</v>
      </c>
      <c r="J3088" s="138" t="s">
        <v>1292</v>
      </c>
      <c r="K3088" s="138" t="s">
        <v>1292</v>
      </c>
      <c r="L3088" s="138" t="s">
        <v>1292</v>
      </c>
      <c r="M3088" s="24"/>
      <c r="N3088" s="84" t="s">
        <v>1292</v>
      </c>
      <c r="P3088" t="str">
        <f>VLOOKUP(B3088,PTN!A:B,2,FALSE)</f>
        <v>UNIVERSITAS CENDERAWASIH</v>
      </c>
      <c r="Q3088" t="str">
        <f t="shared" si="48"/>
        <v>UNIVERSITAS CENDERAWASIHBIMBINGAN KONSELING</v>
      </c>
    </row>
    <row r="3089" spans="1:17" ht="16.5" thickTop="1" thickBot="1" x14ac:dyDescent="0.3">
      <c r="A3089" s="7">
        <v>3088</v>
      </c>
      <c r="B3089" s="6">
        <v>82</v>
      </c>
      <c r="C3089" s="13">
        <v>9112161</v>
      </c>
      <c r="D3089" t="s">
        <v>223</v>
      </c>
      <c r="E3089" s="13">
        <v>10</v>
      </c>
      <c r="F3089" s="59" t="s">
        <v>13</v>
      </c>
      <c r="J3089" s="138" t="s">
        <v>1292</v>
      </c>
      <c r="K3089" s="138" t="s">
        <v>1292</v>
      </c>
      <c r="L3089" s="138" t="s">
        <v>1292</v>
      </c>
      <c r="M3089" s="12"/>
      <c r="N3089" s="88" t="s">
        <v>1292</v>
      </c>
      <c r="P3089" t="str">
        <f>VLOOKUP(B3089,PTN!A:B,2,FALSE)</f>
        <v>UNIVERSITAS CENDERAWASIH</v>
      </c>
      <c r="Q3089" t="str">
        <f t="shared" si="48"/>
        <v>UNIVERSITAS CENDERAWASIHHUBUNGAN INTERNASIONAL</v>
      </c>
    </row>
    <row r="3090" spans="1:17" ht="15.75" thickBot="1" x14ac:dyDescent="0.3">
      <c r="A3090" s="7">
        <v>3089</v>
      </c>
      <c r="B3090" s="6">
        <v>82</v>
      </c>
      <c r="C3090" s="12">
        <v>9112025</v>
      </c>
      <c r="D3090" t="s">
        <v>29</v>
      </c>
      <c r="E3090" s="12">
        <v>10</v>
      </c>
      <c r="F3090" s="59" t="s">
        <v>13</v>
      </c>
      <c r="J3090" s="138" t="s">
        <v>1292</v>
      </c>
      <c r="K3090" s="138" t="s">
        <v>1292</v>
      </c>
      <c r="L3090" s="138" t="s">
        <v>1292</v>
      </c>
      <c r="M3090" s="13"/>
      <c r="N3090" s="89" t="s">
        <v>1292</v>
      </c>
      <c r="P3090" t="str">
        <f>VLOOKUP(B3090,PTN!A:B,2,FALSE)</f>
        <v>UNIVERSITAS CENDERAWASIH</v>
      </c>
      <c r="Q3090" t="str">
        <f t="shared" si="48"/>
        <v>UNIVERSITAS CENDERAWASIHILMU ADMINISTRASI NEGARA</v>
      </c>
    </row>
    <row r="3091" spans="1:17" ht="15.75" thickBot="1" x14ac:dyDescent="0.3">
      <c r="A3091" s="7">
        <v>3090</v>
      </c>
      <c r="B3091" s="6">
        <v>82</v>
      </c>
      <c r="C3091" s="13">
        <v>9112017</v>
      </c>
      <c r="D3091" t="s">
        <v>30</v>
      </c>
      <c r="E3091" s="13">
        <v>40</v>
      </c>
      <c r="F3091" s="59" t="s">
        <v>13</v>
      </c>
      <c r="J3091" s="138" t="s">
        <v>1292</v>
      </c>
      <c r="K3091" s="138" t="s">
        <v>1292</v>
      </c>
      <c r="L3091" s="138" t="s">
        <v>1292</v>
      </c>
      <c r="M3091" s="12"/>
      <c r="N3091" s="88" t="s">
        <v>1292</v>
      </c>
      <c r="P3091" t="str">
        <f>VLOOKUP(B3091,PTN!A:B,2,FALSE)</f>
        <v>UNIVERSITAS CENDERAWASIH</v>
      </c>
      <c r="Q3091" t="str">
        <f t="shared" si="48"/>
        <v>UNIVERSITAS CENDERAWASIHILMU EKONOMI</v>
      </c>
    </row>
    <row r="3092" spans="1:17" ht="15.75" thickBot="1" x14ac:dyDescent="0.3">
      <c r="A3092" s="7">
        <v>3091</v>
      </c>
      <c r="B3092" s="6">
        <v>82</v>
      </c>
      <c r="C3092" s="12">
        <v>9112041</v>
      </c>
      <c r="D3092" t="s">
        <v>31</v>
      </c>
      <c r="E3092" s="12">
        <v>40</v>
      </c>
      <c r="F3092" s="59" t="s">
        <v>13</v>
      </c>
      <c r="J3092" s="138" t="s">
        <v>1292</v>
      </c>
      <c r="K3092" s="138" t="s">
        <v>1292</v>
      </c>
      <c r="L3092" s="138" t="s">
        <v>1292</v>
      </c>
      <c r="M3092" s="13"/>
      <c r="N3092" s="89" t="s">
        <v>1292</v>
      </c>
      <c r="P3092" t="str">
        <f>VLOOKUP(B3092,PTN!A:B,2,FALSE)</f>
        <v>UNIVERSITAS CENDERAWASIH</v>
      </c>
      <c r="Q3092" t="str">
        <f t="shared" si="48"/>
        <v>UNIVERSITAS CENDERAWASIHILMU HUKUM</v>
      </c>
    </row>
    <row r="3093" spans="1:17" ht="15.75" thickBot="1" x14ac:dyDescent="0.3">
      <c r="A3093" s="7">
        <v>3092</v>
      </c>
      <c r="B3093" s="6">
        <v>82</v>
      </c>
      <c r="C3093" s="13">
        <v>9112064</v>
      </c>
      <c r="D3093" t="s">
        <v>147</v>
      </c>
      <c r="E3093" s="13">
        <v>10</v>
      </c>
      <c r="F3093" s="59" t="s">
        <v>13</v>
      </c>
      <c r="J3093" s="138" t="s">
        <v>1292</v>
      </c>
      <c r="K3093" s="138" t="s">
        <v>1292</v>
      </c>
      <c r="L3093" s="138" t="s">
        <v>1292</v>
      </c>
      <c r="M3093" s="12"/>
      <c r="N3093" s="88" t="s">
        <v>1292</v>
      </c>
      <c r="P3093" t="str">
        <f>VLOOKUP(B3093,PTN!A:B,2,FALSE)</f>
        <v>UNIVERSITAS CENDERAWASIH</v>
      </c>
      <c r="Q3093" t="str">
        <f t="shared" si="48"/>
        <v>UNIVERSITAS CENDERAWASIHILMU KESEJAHTERAAN SOSIAL</v>
      </c>
    </row>
    <row r="3094" spans="1:17" ht="15.75" thickBot="1" x14ac:dyDescent="0.3">
      <c r="A3094" s="7">
        <v>3093</v>
      </c>
      <c r="B3094" s="6">
        <v>82</v>
      </c>
      <c r="C3094" s="12">
        <v>9112095</v>
      </c>
      <c r="D3094" t="s">
        <v>97</v>
      </c>
      <c r="E3094" s="12">
        <v>10</v>
      </c>
      <c r="F3094" s="59" t="s">
        <v>13</v>
      </c>
      <c r="J3094" s="138" t="s">
        <v>1292</v>
      </c>
      <c r="K3094" s="138" t="s">
        <v>1292</v>
      </c>
      <c r="L3094" s="138" t="s">
        <v>1292</v>
      </c>
      <c r="M3094" s="13"/>
      <c r="N3094" s="89" t="s">
        <v>1292</v>
      </c>
      <c r="P3094" t="str">
        <f>VLOOKUP(B3094,PTN!A:B,2,FALSE)</f>
        <v>UNIVERSITAS CENDERAWASIH</v>
      </c>
      <c r="Q3094" t="str">
        <f t="shared" si="48"/>
        <v>UNIVERSITAS CENDERAWASIHILMU PEMERINTAHAN</v>
      </c>
    </row>
    <row r="3095" spans="1:17" ht="15.75" thickBot="1" x14ac:dyDescent="0.3">
      <c r="A3095" s="7">
        <v>3094</v>
      </c>
      <c r="B3095" s="6">
        <v>82</v>
      </c>
      <c r="C3095" s="13">
        <v>9112203</v>
      </c>
      <c r="D3095" t="s">
        <v>32</v>
      </c>
      <c r="E3095" s="13">
        <v>10</v>
      </c>
      <c r="F3095" s="59" t="s">
        <v>13</v>
      </c>
      <c r="J3095" s="138" t="s">
        <v>1292</v>
      </c>
      <c r="K3095" s="138" t="s">
        <v>1292</v>
      </c>
      <c r="L3095" s="138" t="s">
        <v>1292</v>
      </c>
      <c r="M3095" s="12"/>
      <c r="N3095" s="88" t="s">
        <v>1292</v>
      </c>
      <c r="P3095" t="str">
        <f>VLOOKUP(B3095,PTN!A:B,2,FALSE)</f>
        <v>UNIVERSITAS CENDERAWASIH</v>
      </c>
      <c r="Q3095" t="str">
        <f t="shared" si="48"/>
        <v>UNIVERSITAS CENDERAWASIHILMU PERPUSTAKAAN</v>
      </c>
    </row>
    <row r="3096" spans="1:17" ht="15.75" thickBot="1" x14ac:dyDescent="0.3">
      <c r="A3096" s="7">
        <v>3095</v>
      </c>
      <c r="B3096" s="6">
        <v>82</v>
      </c>
      <c r="C3096" s="12">
        <v>9112056</v>
      </c>
      <c r="D3096" t="s">
        <v>61</v>
      </c>
      <c r="E3096" s="12">
        <v>40</v>
      </c>
      <c r="F3096" s="59" t="s">
        <v>13</v>
      </c>
      <c r="J3096" s="138" t="s">
        <v>1292</v>
      </c>
      <c r="K3096" s="138" t="s">
        <v>1292</v>
      </c>
      <c r="L3096" s="138" t="s">
        <v>1292</v>
      </c>
      <c r="M3096" s="13"/>
      <c r="N3096" s="89" t="s">
        <v>1292</v>
      </c>
      <c r="P3096" t="str">
        <f>VLOOKUP(B3096,PTN!A:B,2,FALSE)</f>
        <v>UNIVERSITAS CENDERAWASIH</v>
      </c>
      <c r="Q3096" t="str">
        <f t="shared" si="48"/>
        <v>UNIVERSITAS CENDERAWASIHMANAJEMEN</v>
      </c>
    </row>
    <row r="3097" spans="1:17" ht="15.75" thickBot="1" x14ac:dyDescent="0.3">
      <c r="A3097" s="7">
        <v>3096</v>
      </c>
      <c r="B3097" s="6">
        <v>82</v>
      </c>
      <c r="C3097" s="13">
        <v>9112211</v>
      </c>
      <c r="D3097" t="s">
        <v>740</v>
      </c>
      <c r="E3097" s="13">
        <v>10</v>
      </c>
      <c r="F3097" s="59" t="s">
        <v>13</v>
      </c>
      <c r="J3097" s="138" t="s">
        <v>1292</v>
      </c>
      <c r="K3097" s="138" t="s">
        <v>1292</v>
      </c>
      <c r="L3097" s="138" t="s">
        <v>1292</v>
      </c>
      <c r="M3097" s="12"/>
      <c r="N3097" s="88" t="s">
        <v>1292</v>
      </c>
      <c r="P3097" t="str">
        <f>VLOOKUP(B3097,PTN!A:B,2,FALSE)</f>
        <v>UNIVERSITAS CENDERAWASIH</v>
      </c>
      <c r="Q3097" t="str">
        <f t="shared" si="48"/>
        <v>UNIVERSITAS CENDERAWASIHMANAJEMEN ADMINISTRASI PERKANTORAN</v>
      </c>
    </row>
    <row r="3098" spans="1:17" ht="15.75" thickBot="1" x14ac:dyDescent="0.3">
      <c r="A3098" s="7">
        <v>3097</v>
      </c>
      <c r="B3098" s="6">
        <v>82</v>
      </c>
      <c r="C3098" s="12">
        <v>9112226</v>
      </c>
      <c r="D3098" t="s">
        <v>321</v>
      </c>
      <c r="E3098" s="12">
        <v>8</v>
      </c>
      <c r="F3098" s="59" t="s">
        <v>13</v>
      </c>
      <c r="J3098" s="138" t="s">
        <v>1292</v>
      </c>
      <c r="K3098" s="138" t="s">
        <v>1292</v>
      </c>
      <c r="L3098" s="138" t="s">
        <v>1292</v>
      </c>
      <c r="M3098" s="13"/>
      <c r="N3098" s="89" t="s">
        <v>1292</v>
      </c>
      <c r="P3098" t="str">
        <f>VLOOKUP(B3098,PTN!A:B,2,FALSE)</f>
        <v>UNIVERSITAS CENDERAWASIH</v>
      </c>
      <c r="Q3098" t="str">
        <f t="shared" si="48"/>
        <v>UNIVERSITAS CENDERAWASIHMANAJEMEN PENDIDIKAN</v>
      </c>
    </row>
    <row r="3099" spans="1:17" ht="15.75" thickBot="1" x14ac:dyDescent="0.3">
      <c r="A3099" s="7">
        <v>3098</v>
      </c>
      <c r="B3099" s="6">
        <v>82</v>
      </c>
      <c r="C3099" s="13">
        <v>9112153</v>
      </c>
      <c r="D3099" t="s">
        <v>242</v>
      </c>
      <c r="E3099" s="13">
        <v>8</v>
      </c>
      <c r="F3099" s="59" t="s">
        <v>13</v>
      </c>
      <c r="J3099" s="138" t="s">
        <v>1292</v>
      </c>
      <c r="K3099" s="138" t="s">
        <v>1292</v>
      </c>
      <c r="L3099" s="138" t="s">
        <v>1292</v>
      </c>
      <c r="M3099" s="12"/>
      <c r="N3099" s="88" t="s">
        <v>1292</v>
      </c>
      <c r="P3099" t="str">
        <f>VLOOKUP(B3099,PTN!A:B,2,FALSE)</f>
        <v>UNIVERSITAS CENDERAWASIH</v>
      </c>
      <c r="Q3099" t="str">
        <f t="shared" si="48"/>
        <v>UNIVERSITAS CENDERAWASIHPEND. BAHASA INGGRIS</v>
      </c>
    </row>
    <row r="3100" spans="1:17" ht="15.75" thickBot="1" x14ac:dyDescent="0.3">
      <c r="A3100" s="7">
        <v>3099</v>
      </c>
      <c r="B3100" s="6">
        <v>82</v>
      </c>
      <c r="C3100" s="12">
        <v>9112145</v>
      </c>
      <c r="D3100" t="s">
        <v>741</v>
      </c>
      <c r="E3100" s="12">
        <v>8</v>
      </c>
      <c r="F3100" s="59" t="s">
        <v>13</v>
      </c>
      <c r="J3100" s="138" t="s">
        <v>1292</v>
      </c>
      <c r="K3100" s="138" t="s">
        <v>1292</v>
      </c>
      <c r="L3100" s="138" t="s">
        <v>1292</v>
      </c>
      <c r="M3100" s="13"/>
      <c r="N3100" s="89" t="s">
        <v>1292</v>
      </c>
      <c r="P3100" t="str">
        <f>VLOOKUP(B3100,PTN!A:B,2,FALSE)</f>
        <v>UNIVERSITAS CENDERAWASIH</v>
      </c>
      <c r="Q3100" t="str">
        <f t="shared" si="48"/>
        <v>UNIVERSITAS CENDERAWASIHPEND. BHS. SASTRA IND. &amp; DAERAH</v>
      </c>
    </row>
    <row r="3101" spans="1:17" ht="15.75" thickBot="1" x14ac:dyDescent="0.3">
      <c r="A3101" s="7">
        <v>3100</v>
      </c>
      <c r="B3101" s="6">
        <v>82</v>
      </c>
      <c r="C3101" s="13">
        <v>9112122</v>
      </c>
      <c r="D3101" t="s">
        <v>285</v>
      </c>
      <c r="E3101" s="13">
        <v>8</v>
      </c>
      <c r="F3101" s="59" t="s">
        <v>13</v>
      </c>
      <c r="J3101" s="138" t="s">
        <v>1292</v>
      </c>
      <c r="K3101" s="138" t="s">
        <v>1292</v>
      </c>
      <c r="L3101" s="138" t="s">
        <v>1292</v>
      </c>
      <c r="M3101" s="12"/>
      <c r="N3101" s="88" t="s">
        <v>1292</v>
      </c>
      <c r="P3101" t="str">
        <f>VLOOKUP(B3101,PTN!A:B,2,FALSE)</f>
        <v>UNIVERSITAS CENDERAWASIH</v>
      </c>
      <c r="Q3101" t="str">
        <f t="shared" si="48"/>
        <v>UNIVERSITAS CENDERAWASIHPEND. GEOGRAFI</v>
      </c>
    </row>
    <row r="3102" spans="1:17" ht="15.75" thickBot="1" x14ac:dyDescent="0.3">
      <c r="A3102" s="7">
        <v>3101</v>
      </c>
      <c r="B3102" s="6">
        <v>82</v>
      </c>
      <c r="C3102" s="12">
        <v>9112176</v>
      </c>
      <c r="D3102" t="s">
        <v>73</v>
      </c>
      <c r="E3102" s="12">
        <v>8</v>
      </c>
      <c r="F3102" s="59" t="s">
        <v>13</v>
      </c>
      <c r="J3102" s="138" t="s">
        <v>1292</v>
      </c>
      <c r="K3102" s="138" t="s">
        <v>1292</v>
      </c>
      <c r="L3102" s="138" t="s">
        <v>1292</v>
      </c>
      <c r="M3102" s="13"/>
      <c r="N3102" s="89" t="s">
        <v>1292</v>
      </c>
      <c r="P3102" t="str">
        <f>VLOOKUP(B3102,PTN!A:B,2,FALSE)</f>
        <v>UNIVERSITAS CENDERAWASIH</v>
      </c>
      <c r="Q3102" t="str">
        <f t="shared" si="48"/>
        <v>UNIVERSITAS CENDERAWASIHPENDIDIKAN GURU SEKOLAH DASAR</v>
      </c>
    </row>
    <row r="3103" spans="1:17" ht="15.75" thickBot="1" x14ac:dyDescent="0.3">
      <c r="A3103" s="7">
        <v>3102</v>
      </c>
      <c r="B3103" s="6">
        <v>82</v>
      </c>
      <c r="C3103" s="13">
        <v>9112184</v>
      </c>
      <c r="D3103" t="s">
        <v>742</v>
      </c>
      <c r="E3103" s="13">
        <v>8</v>
      </c>
      <c r="F3103" s="59" t="s">
        <v>13</v>
      </c>
      <c r="J3103" s="138" t="s">
        <v>1292</v>
      </c>
      <c r="K3103" s="138" t="s">
        <v>1292</v>
      </c>
      <c r="L3103" s="138" t="s">
        <v>1292</v>
      </c>
      <c r="M3103" s="12"/>
      <c r="N3103" s="88" t="s">
        <v>1292</v>
      </c>
      <c r="P3103" t="str">
        <f>VLOOKUP(B3103,PTN!A:B,2,FALSE)</f>
        <v>UNIVERSITAS CENDERAWASIH</v>
      </c>
      <c r="Q3103" t="str">
        <f t="shared" si="48"/>
        <v>UNIVERSITAS CENDERAWASIHPENDIDKAN JASMANI KESEHATAN REKREASI</v>
      </c>
    </row>
    <row r="3104" spans="1:17" ht="15.75" thickBot="1" x14ac:dyDescent="0.3">
      <c r="A3104" s="7">
        <v>3103</v>
      </c>
      <c r="B3104" s="6">
        <v>82</v>
      </c>
      <c r="C3104" s="12">
        <v>9112072</v>
      </c>
      <c r="D3104" t="s">
        <v>743</v>
      </c>
      <c r="E3104" s="12">
        <v>8</v>
      </c>
      <c r="F3104" s="59" t="s">
        <v>13</v>
      </c>
      <c r="J3104" s="138" t="s">
        <v>1292</v>
      </c>
      <c r="K3104" s="138" t="s">
        <v>1292</v>
      </c>
      <c r="L3104" s="138" t="s">
        <v>1292</v>
      </c>
      <c r="M3104" s="13"/>
      <c r="N3104" s="89" t="s">
        <v>1292</v>
      </c>
      <c r="P3104" t="str">
        <f>VLOOKUP(B3104,PTN!A:B,2,FALSE)</f>
        <v>UNIVERSITAS CENDERAWASIH</v>
      </c>
      <c r="Q3104" t="str">
        <f t="shared" si="48"/>
        <v>UNIVERSITAS CENDERAWASIHPEND. PANCASILA &amp; KEWARGANEG.</v>
      </c>
    </row>
    <row r="3105" spans="1:17" ht="15.75" thickBot="1" x14ac:dyDescent="0.3">
      <c r="A3105" s="7">
        <v>3104</v>
      </c>
      <c r="B3105" s="6">
        <v>82</v>
      </c>
      <c r="C3105" s="13">
        <v>9112137</v>
      </c>
      <c r="D3105" t="s">
        <v>233</v>
      </c>
      <c r="E3105" s="13">
        <v>8</v>
      </c>
      <c r="F3105" s="59" t="s">
        <v>13</v>
      </c>
      <c r="J3105" s="138" t="s">
        <v>1292</v>
      </c>
      <c r="K3105" s="138" t="s">
        <v>1292</v>
      </c>
      <c r="L3105" s="138" t="s">
        <v>1292</v>
      </c>
      <c r="M3105" s="12"/>
      <c r="N3105" s="88" t="s">
        <v>1292</v>
      </c>
      <c r="P3105" t="str">
        <f>VLOOKUP(B3105,PTN!A:B,2,FALSE)</f>
        <v>UNIVERSITAS CENDERAWASIH</v>
      </c>
      <c r="Q3105" t="str">
        <f t="shared" si="48"/>
        <v>UNIVERSITAS CENDERAWASIHPEND. SEJARAH</v>
      </c>
    </row>
    <row r="3106" spans="1:17" ht="15.75" thickBot="1" x14ac:dyDescent="0.3">
      <c r="A3106" s="7">
        <v>3105</v>
      </c>
      <c r="B3106" s="6">
        <v>82</v>
      </c>
      <c r="C3106" s="14">
        <v>9112192</v>
      </c>
      <c r="D3106" t="s">
        <v>559</v>
      </c>
      <c r="E3106" s="14">
        <v>8</v>
      </c>
      <c r="F3106" s="59" t="s">
        <v>13</v>
      </c>
      <c r="J3106" s="138" t="s">
        <v>1292</v>
      </c>
      <c r="K3106" s="138" t="s">
        <v>1292</v>
      </c>
      <c r="L3106" s="138" t="s">
        <v>1292</v>
      </c>
      <c r="M3106" s="13"/>
      <c r="N3106" s="89" t="s">
        <v>1292</v>
      </c>
      <c r="P3106" t="str">
        <f>VLOOKUP(B3106,PTN!A:B,2,FALSE)</f>
        <v>UNIVERSITAS CENDERAWASIH</v>
      </c>
      <c r="Q3106" t="str">
        <f t="shared" si="48"/>
        <v>UNIVERSITAS CENDERAWASIHPG PAUD</v>
      </c>
    </row>
    <row r="3107" spans="1:17" ht="16.5" thickTop="1" thickBot="1" x14ac:dyDescent="0.3">
      <c r="A3107" s="7">
        <v>3106</v>
      </c>
      <c r="B3107" s="6">
        <v>83</v>
      </c>
      <c r="C3107" s="12">
        <v>9121063</v>
      </c>
      <c r="D3107" t="s">
        <v>37</v>
      </c>
      <c r="E3107" s="12">
        <v>12</v>
      </c>
      <c r="F3107" s="59" t="s">
        <v>20</v>
      </c>
      <c r="J3107" s="138" t="s">
        <v>1292</v>
      </c>
      <c r="K3107" s="138" t="s">
        <v>1292</v>
      </c>
      <c r="L3107" s="138" t="s">
        <v>1292</v>
      </c>
      <c r="M3107" s="21"/>
      <c r="N3107" s="83" t="s">
        <v>1292</v>
      </c>
      <c r="P3107" t="str">
        <f>VLOOKUP(B3107,PTN!A:B,2,FALSE)</f>
        <v>UNIVERSITAS MUSAMUS MERAUKE</v>
      </c>
      <c r="Q3107" t="str">
        <f t="shared" si="48"/>
        <v>UNIVERSITAS MUSAMUS MERAUKEAGRIBISNIS</v>
      </c>
    </row>
    <row r="3108" spans="1:17" ht="15.75" thickBot="1" x14ac:dyDescent="0.3">
      <c r="A3108" s="7">
        <v>3107</v>
      </c>
      <c r="B3108" s="6">
        <v>83</v>
      </c>
      <c r="C3108" s="13">
        <v>9121071</v>
      </c>
      <c r="D3108" t="s">
        <v>64</v>
      </c>
      <c r="E3108" s="13">
        <v>8</v>
      </c>
      <c r="F3108" s="60" t="s">
        <v>20</v>
      </c>
      <c r="J3108" s="138" t="s">
        <v>1292</v>
      </c>
      <c r="K3108" s="138" t="s">
        <v>1292</v>
      </c>
      <c r="L3108" s="138" t="s">
        <v>1292</v>
      </c>
      <c r="M3108" s="21"/>
      <c r="N3108" s="83" t="s">
        <v>1292</v>
      </c>
      <c r="P3108" t="str">
        <f>VLOOKUP(B3108,PTN!A:B,2,FALSE)</f>
        <v>UNIVERSITAS MUSAMUS MERAUKE</v>
      </c>
      <c r="Q3108" t="str">
        <f t="shared" si="48"/>
        <v>UNIVERSITAS MUSAMUS MERAUKEAGROTEKNOLOGI</v>
      </c>
    </row>
    <row r="3109" spans="1:17" ht="16.5" thickTop="1" thickBot="1" x14ac:dyDescent="0.3">
      <c r="A3109" s="7">
        <v>3108</v>
      </c>
      <c r="B3109" s="6">
        <v>83</v>
      </c>
      <c r="C3109" s="12">
        <v>9121047</v>
      </c>
      <c r="D3109" t="s">
        <v>19</v>
      </c>
      <c r="E3109" s="12">
        <v>8</v>
      </c>
      <c r="F3109" s="59" t="s">
        <v>20</v>
      </c>
      <c r="J3109" s="138" t="s">
        <v>1292</v>
      </c>
      <c r="K3109" s="138" t="s">
        <v>1292</v>
      </c>
      <c r="L3109" s="138" t="s">
        <v>1292</v>
      </c>
      <c r="M3109" s="24"/>
      <c r="N3109" s="84" t="s">
        <v>1292</v>
      </c>
      <c r="P3109" t="str">
        <f>VLOOKUP(B3109,PTN!A:B,2,FALSE)</f>
        <v>UNIVERSITAS MUSAMUS MERAUKE</v>
      </c>
      <c r="Q3109" t="str">
        <f t="shared" si="48"/>
        <v>UNIVERSITAS MUSAMUS MERAUKEARSITEKTUR</v>
      </c>
    </row>
    <row r="3110" spans="1:17" ht="16.5" thickTop="1" thickBot="1" x14ac:dyDescent="0.3">
      <c r="A3110" s="7">
        <v>3109</v>
      </c>
      <c r="B3110" s="6">
        <v>83</v>
      </c>
      <c r="C3110" s="13">
        <v>9121055</v>
      </c>
      <c r="D3110" t="s">
        <v>142</v>
      </c>
      <c r="E3110" s="13">
        <v>10</v>
      </c>
      <c r="F3110" s="60" t="s">
        <v>20</v>
      </c>
      <c r="J3110" s="138" t="s">
        <v>1292</v>
      </c>
      <c r="K3110" s="138" t="s">
        <v>1292</v>
      </c>
      <c r="L3110" s="138" t="s">
        <v>1292</v>
      </c>
      <c r="M3110" s="12"/>
      <c r="N3110" s="88" t="s">
        <v>1292</v>
      </c>
      <c r="P3110" t="str">
        <f>VLOOKUP(B3110,PTN!A:B,2,FALSE)</f>
        <v>UNIVERSITAS MUSAMUS MERAUKE</v>
      </c>
      <c r="Q3110" t="str">
        <f t="shared" si="48"/>
        <v>UNIVERSITAS MUSAMUS MERAUKEKETEKNIKAN PERTANIAN</v>
      </c>
    </row>
    <row r="3111" spans="1:17" ht="15.75" thickBot="1" x14ac:dyDescent="0.3">
      <c r="A3111" s="7">
        <v>3110</v>
      </c>
      <c r="B3111" s="6">
        <v>83</v>
      </c>
      <c r="C3111" s="12">
        <v>9121094</v>
      </c>
      <c r="D3111" t="s">
        <v>213</v>
      </c>
      <c r="E3111" s="12">
        <v>12</v>
      </c>
      <c r="F3111" s="59" t="s">
        <v>20</v>
      </c>
      <c r="J3111" s="138" t="s">
        <v>1292</v>
      </c>
      <c r="K3111" s="138" t="s">
        <v>1292</v>
      </c>
      <c r="L3111" s="138" t="s">
        <v>1292</v>
      </c>
      <c r="M3111" s="13"/>
      <c r="N3111" s="89" t="s">
        <v>1292</v>
      </c>
      <c r="P3111" t="str">
        <f>VLOOKUP(B3111,PTN!A:B,2,FALSE)</f>
        <v>UNIVERSITAS MUSAMUS MERAUKE</v>
      </c>
      <c r="Q3111" t="str">
        <f t="shared" si="48"/>
        <v>UNIVERSITAS MUSAMUS MERAUKEMANAJEMEN SUMBERDAYA PERAIRAN</v>
      </c>
    </row>
    <row r="3112" spans="1:17" ht="15.75" thickBot="1" x14ac:dyDescent="0.3">
      <c r="A3112" s="7">
        <v>3111</v>
      </c>
      <c r="B3112" s="6">
        <v>83</v>
      </c>
      <c r="C3112" s="13">
        <v>9121136</v>
      </c>
      <c r="D3112" t="s">
        <v>42</v>
      </c>
      <c r="E3112" s="13">
        <v>4</v>
      </c>
      <c r="F3112" s="60" t="s">
        <v>20</v>
      </c>
      <c r="J3112" s="138" t="s">
        <v>1292</v>
      </c>
      <c r="K3112" s="138" t="s">
        <v>1292</v>
      </c>
      <c r="L3112" s="138" t="s">
        <v>1292</v>
      </c>
      <c r="M3112" s="12"/>
      <c r="N3112" s="88" t="s">
        <v>1292</v>
      </c>
      <c r="P3112" t="str">
        <f>VLOOKUP(B3112,PTN!A:B,2,FALSE)</f>
        <v>UNIVERSITAS MUSAMUS MERAUKE</v>
      </c>
      <c r="Q3112" t="str">
        <f t="shared" si="48"/>
        <v>UNIVERSITAS MUSAMUS MERAUKEPENDIDIKAN FISIKA</v>
      </c>
    </row>
    <row r="3113" spans="1:17" ht="15.75" thickBot="1" x14ac:dyDescent="0.3">
      <c r="A3113" s="7">
        <v>3112</v>
      </c>
      <c r="B3113" s="6">
        <v>83</v>
      </c>
      <c r="C3113" s="12">
        <v>9121144</v>
      </c>
      <c r="D3113" t="s">
        <v>43</v>
      </c>
      <c r="E3113" s="12">
        <v>4</v>
      </c>
      <c r="F3113" s="59" t="s">
        <v>20</v>
      </c>
      <c r="J3113" s="138" t="s">
        <v>1292</v>
      </c>
      <c r="K3113" s="138" t="s">
        <v>1292</v>
      </c>
      <c r="L3113" s="138" t="s">
        <v>1292</v>
      </c>
      <c r="M3113" s="13"/>
      <c r="N3113" s="89" t="s">
        <v>1292</v>
      </c>
      <c r="P3113" t="str">
        <f>VLOOKUP(B3113,PTN!A:B,2,FALSE)</f>
        <v>UNIVERSITAS MUSAMUS MERAUKE</v>
      </c>
      <c r="Q3113" t="str">
        <f t="shared" si="48"/>
        <v>UNIVERSITAS MUSAMUS MERAUKEPENDIDIKAN KIMIA</v>
      </c>
    </row>
    <row r="3114" spans="1:17" ht="15.75" thickBot="1" x14ac:dyDescent="0.3">
      <c r="A3114" s="7">
        <v>3113</v>
      </c>
      <c r="B3114" s="6">
        <v>83</v>
      </c>
      <c r="C3114" s="13">
        <v>9121121</v>
      </c>
      <c r="D3114" t="s">
        <v>44</v>
      </c>
      <c r="E3114" s="13">
        <v>12</v>
      </c>
      <c r="F3114" s="60" t="s">
        <v>20</v>
      </c>
      <c r="J3114" s="138" t="s">
        <v>1292</v>
      </c>
      <c r="K3114" s="138" t="s">
        <v>1292</v>
      </c>
      <c r="L3114" s="138" t="s">
        <v>1292</v>
      </c>
      <c r="M3114" s="12"/>
      <c r="N3114" s="88" t="s">
        <v>1292</v>
      </c>
      <c r="P3114" t="str">
        <f>VLOOKUP(B3114,PTN!A:B,2,FALSE)</f>
        <v>UNIVERSITAS MUSAMUS MERAUKE</v>
      </c>
      <c r="Q3114" t="str">
        <f t="shared" si="48"/>
        <v>UNIVERSITAS MUSAMUS MERAUKEPENDIDIKAN MATEMATIKA</v>
      </c>
    </row>
    <row r="3115" spans="1:17" ht="15.75" thickBot="1" x14ac:dyDescent="0.3">
      <c r="A3115" s="7">
        <v>3114</v>
      </c>
      <c r="B3115" s="6">
        <v>83</v>
      </c>
      <c r="C3115" s="12">
        <v>9121086</v>
      </c>
      <c r="D3115" t="s">
        <v>88</v>
      </c>
      <c r="E3115" s="12">
        <v>8</v>
      </c>
      <c r="F3115" s="59" t="s">
        <v>20</v>
      </c>
      <c r="J3115" s="138" t="s">
        <v>1292</v>
      </c>
      <c r="K3115" s="138" t="s">
        <v>1292</v>
      </c>
      <c r="L3115" s="138" t="s">
        <v>1292</v>
      </c>
      <c r="M3115" s="13"/>
      <c r="N3115" s="89" t="s">
        <v>1292</v>
      </c>
      <c r="P3115" t="str">
        <f>VLOOKUP(B3115,PTN!A:B,2,FALSE)</f>
        <v>UNIVERSITAS MUSAMUS MERAUKE</v>
      </c>
      <c r="Q3115" t="str">
        <f t="shared" si="48"/>
        <v>UNIVERSITAS MUSAMUS MERAUKEPETERNAKAN</v>
      </c>
    </row>
    <row r="3116" spans="1:17" ht="15.75" thickBot="1" x14ac:dyDescent="0.3">
      <c r="A3116" s="7">
        <v>3115</v>
      </c>
      <c r="B3116" s="6">
        <v>83</v>
      </c>
      <c r="C3116" s="13">
        <v>9121113</v>
      </c>
      <c r="D3116" t="s">
        <v>46</v>
      </c>
      <c r="E3116" s="13">
        <v>16</v>
      </c>
      <c r="F3116" s="60" t="s">
        <v>20</v>
      </c>
      <c r="J3116" s="138" t="s">
        <v>1292</v>
      </c>
      <c r="K3116" s="138" t="s">
        <v>1292</v>
      </c>
      <c r="L3116" s="138" t="s">
        <v>1292</v>
      </c>
      <c r="M3116" s="12"/>
      <c r="N3116" s="88" t="s">
        <v>1292</v>
      </c>
      <c r="P3116" t="str">
        <f>VLOOKUP(B3116,PTN!A:B,2,FALSE)</f>
        <v>UNIVERSITAS MUSAMUS MERAUKE</v>
      </c>
      <c r="Q3116" t="str">
        <f t="shared" si="48"/>
        <v>UNIVERSITAS MUSAMUS MERAUKESISTEM INFORMASI</v>
      </c>
    </row>
    <row r="3117" spans="1:17" ht="15.75" thickBot="1" x14ac:dyDescent="0.3">
      <c r="A3117" s="7">
        <v>3116</v>
      </c>
      <c r="B3117" s="6">
        <v>83</v>
      </c>
      <c r="C3117" s="12">
        <v>9121016</v>
      </c>
      <c r="D3117" t="s">
        <v>48</v>
      </c>
      <c r="E3117" s="12">
        <v>10</v>
      </c>
      <c r="F3117" s="59" t="s">
        <v>20</v>
      </c>
      <c r="J3117" s="138" t="s">
        <v>1292</v>
      </c>
      <c r="K3117" s="138" t="s">
        <v>1292</v>
      </c>
      <c r="L3117" s="138" t="s">
        <v>1292</v>
      </c>
      <c r="M3117" s="13"/>
      <c r="N3117" s="89" t="s">
        <v>1292</v>
      </c>
      <c r="P3117" t="str">
        <f>VLOOKUP(B3117,PTN!A:B,2,FALSE)</f>
        <v>UNIVERSITAS MUSAMUS MERAUKE</v>
      </c>
      <c r="Q3117" t="str">
        <f t="shared" si="48"/>
        <v>UNIVERSITAS MUSAMUS MERAUKETEKNIK ELEKTRO</v>
      </c>
    </row>
    <row r="3118" spans="1:17" ht="15.75" thickBot="1" x14ac:dyDescent="0.3">
      <c r="A3118" s="7">
        <v>3117</v>
      </c>
      <c r="B3118" s="6">
        <v>83</v>
      </c>
      <c r="C3118" s="13">
        <v>9121105</v>
      </c>
      <c r="D3118" t="s">
        <v>50</v>
      </c>
      <c r="E3118" s="13">
        <v>30</v>
      </c>
      <c r="F3118" s="60" t="s">
        <v>20</v>
      </c>
      <c r="J3118" s="138" t="s">
        <v>1292</v>
      </c>
      <c r="K3118" s="138" t="s">
        <v>1292</v>
      </c>
      <c r="L3118" s="138" t="s">
        <v>1292</v>
      </c>
      <c r="M3118" s="12"/>
      <c r="N3118" s="88" t="s">
        <v>1292</v>
      </c>
      <c r="P3118" t="str">
        <f>VLOOKUP(B3118,PTN!A:B,2,FALSE)</f>
        <v>UNIVERSITAS MUSAMUS MERAUKE</v>
      </c>
      <c r="Q3118" t="str">
        <f t="shared" si="48"/>
        <v>UNIVERSITAS MUSAMUS MERAUKETEKNIK INFORMATIKA</v>
      </c>
    </row>
    <row r="3119" spans="1:17" ht="15.75" thickBot="1" x14ac:dyDescent="0.3">
      <c r="A3119" s="7">
        <v>3118</v>
      </c>
      <c r="B3119" s="6">
        <v>83</v>
      </c>
      <c r="C3119" s="12">
        <v>9121024</v>
      </c>
      <c r="D3119" t="s">
        <v>53</v>
      </c>
      <c r="E3119" s="12">
        <v>10</v>
      </c>
      <c r="F3119" s="59" t="s">
        <v>20</v>
      </c>
      <c r="J3119" s="138" t="s">
        <v>1292</v>
      </c>
      <c r="K3119" s="138" t="s">
        <v>1292</v>
      </c>
      <c r="L3119" s="138" t="s">
        <v>1292</v>
      </c>
      <c r="M3119" s="13"/>
      <c r="N3119" s="89" t="s">
        <v>1292</v>
      </c>
      <c r="P3119" t="str">
        <f>VLOOKUP(B3119,PTN!A:B,2,FALSE)</f>
        <v>UNIVERSITAS MUSAMUS MERAUKE</v>
      </c>
      <c r="Q3119" t="str">
        <f t="shared" si="48"/>
        <v>UNIVERSITAS MUSAMUS MERAUKETEKNIK MESIN</v>
      </c>
    </row>
    <row r="3120" spans="1:17" ht="15.75" thickBot="1" x14ac:dyDescent="0.3">
      <c r="A3120" s="7">
        <v>3119</v>
      </c>
      <c r="B3120" s="6">
        <v>83</v>
      </c>
      <c r="C3120" s="16">
        <v>9121032</v>
      </c>
      <c r="D3120" t="s">
        <v>54</v>
      </c>
      <c r="E3120" s="16">
        <v>24</v>
      </c>
      <c r="F3120" s="60" t="s">
        <v>20</v>
      </c>
      <c r="J3120" s="138" t="s">
        <v>1292</v>
      </c>
      <c r="K3120" s="138" t="s">
        <v>1292</v>
      </c>
      <c r="L3120" s="138" t="s">
        <v>1292</v>
      </c>
      <c r="M3120" s="12"/>
      <c r="N3120" s="88" t="s">
        <v>1292</v>
      </c>
      <c r="P3120" t="str">
        <f>VLOOKUP(B3120,PTN!A:B,2,FALSE)</f>
        <v>UNIVERSITAS MUSAMUS MERAUKE</v>
      </c>
      <c r="Q3120" t="str">
        <f t="shared" si="48"/>
        <v>UNIVERSITAS MUSAMUS MERAUKETEKNIK SIPIL</v>
      </c>
    </row>
    <row r="3121" spans="1:17" ht="16.5" thickTop="1" thickBot="1" x14ac:dyDescent="0.3">
      <c r="A3121" s="7">
        <v>3120</v>
      </c>
      <c r="B3121" s="6">
        <v>83</v>
      </c>
      <c r="C3121" s="12">
        <v>9122035</v>
      </c>
      <c r="D3121" t="s">
        <v>55</v>
      </c>
      <c r="E3121" s="12">
        <v>32</v>
      </c>
      <c r="F3121" s="60" t="s">
        <v>13</v>
      </c>
      <c r="J3121" s="138" t="s">
        <v>1292</v>
      </c>
      <c r="K3121" s="138" t="s">
        <v>1292</v>
      </c>
      <c r="L3121" s="138" t="s">
        <v>1292</v>
      </c>
      <c r="M3121" s="21"/>
      <c r="N3121" s="83" t="s">
        <v>1292</v>
      </c>
      <c r="P3121" t="str">
        <f>VLOOKUP(B3121,PTN!A:B,2,FALSE)</f>
        <v>UNIVERSITAS MUSAMUS MERAUKE</v>
      </c>
      <c r="Q3121" t="str">
        <f t="shared" si="48"/>
        <v>UNIVERSITAS MUSAMUS MERAUKEAKUNTANSI</v>
      </c>
    </row>
    <row r="3122" spans="1:17" ht="15.75" thickBot="1" x14ac:dyDescent="0.3">
      <c r="A3122" s="7">
        <v>3121</v>
      </c>
      <c r="B3122" s="6">
        <v>83</v>
      </c>
      <c r="C3122" s="13">
        <v>9122012</v>
      </c>
      <c r="D3122" t="s">
        <v>69</v>
      </c>
      <c r="E3122" s="13">
        <v>12</v>
      </c>
      <c r="F3122" s="60" t="s">
        <v>13</v>
      </c>
      <c r="J3122" s="138" t="s">
        <v>1292</v>
      </c>
      <c r="K3122" s="138" t="s">
        <v>1292</v>
      </c>
      <c r="L3122" s="138" t="s">
        <v>1292</v>
      </c>
      <c r="M3122" s="21"/>
      <c r="N3122" s="83" t="s">
        <v>1292</v>
      </c>
      <c r="P3122" t="str">
        <f>VLOOKUP(B3122,PTN!A:B,2,FALSE)</f>
        <v>UNIVERSITAS MUSAMUS MERAUKE</v>
      </c>
      <c r="Q3122" t="str">
        <f t="shared" si="48"/>
        <v>UNIVERSITAS MUSAMUS MERAUKEEKONOMI PEMBANGUNAN</v>
      </c>
    </row>
    <row r="3123" spans="1:17" ht="16.5" thickTop="1" thickBot="1" x14ac:dyDescent="0.3">
      <c r="A3123" s="7">
        <v>3122</v>
      </c>
      <c r="B3123" s="6">
        <v>83</v>
      </c>
      <c r="C3123" s="12">
        <v>9122043</v>
      </c>
      <c r="D3123" t="s">
        <v>29</v>
      </c>
      <c r="E3123" s="12">
        <v>38</v>
      </c>
      <c r="F3123" s="60" t="s">
        <v>13</v>
      </c>
      <c r="J3123" s="138" t="s">
        <v>1292</v>
      </c>
      <c r="K3123" s="138" t="s">
        <v>1292</v>
      </c>
      <c r="L3123" s="138" t="s">
        <v>1292</v>
      </c>
      <c r="M3123" s="24"/>
      <c r="N3123" s="84" t="s">
        <v>1292</v>
      </c>
      <c r="P3123" t="str">
        <f>VLOOKUP(B3123,PTN!A:B,2,FALSE)</f>
        <v>UNIVERSITAS MUSAMUS MERAUKE</v>
      </c>
      <c r="Q3123" t="str">
        <f t="shared" si="48"/>
        <v>UNIVERSITAS MUSAMUS MERAUKEILMU ADMINISTRASI NEGARA</v>
      </c>
    </row>
    <row r="3124" spans="1:17" ht="16.5" thickTop="1" thickBot="1" x14ac:dyDescent="0.3">
      <c r="A3124" s="7">
        <v>3123</v>
      </c>
      <c r="B3124" s="6">
        <v>83</v>
      </c>
      <c r="C3124" s="13">
        <v>9122116</v>
      </c>
      <c r="D3124" t="s">
        <v>31</v>
      </c>
      <c r="E3124" s="13">
        <v>38</v>
      </c>
      <c r="F3124" s="60" t="s">
        <v>13</v>
      </c>
      <c r="J3124" s="138" t="s">
        <v>1292</v>
      </c>
      <c r="K3124" s="138" t="s">
        <v>1292</v>
      </c>
      <c r="L3124" s="138" t="s">
        <v>1292</v>
      </c>
      <c r="M3124" s="12"/>
      <c r="N3124" s="88" t="s">
        <v>1292</v>
      </c>
      <c r="P3124" t="str">
        <f>VLOOKUP(B3124,PTN!A:B,2,FALSE)</f>
        <v>UNIVERSITAS MUSAMUS MERAUKE</v>
      </c>
      <c r="Q3124" t="str">
        <f t="shared" si="48"/>
        <v>UNIVERSITAS MUSAMUS MERAUKEILMU HUKUM</v>
      </c>
    </row>
    <row r="3125" spans="1:17" ht="15.75" thickBot="1" x14ac:dyDescent="0.3">
      <c r="A3125" s="7">
        <v>3124</v>
      </c>
      <c r="B3125" s="6">
        <v>83</v>
      </c>
      <c r="C3125" s="12">
        <v>9122027</v>
      </c>
      <c r="D3125" t="s">
        <v>61</v>
      </c>
      <c r="E3125" s="12">
        <v>38</v>
      </c>
      <c r="F3125" s="60" t="s">
        <v>13</v>
      </c>
      <c r="J3125" s="138" t="s">
        <v>1292</v>
      </c>
      <c r="K3125" s="138" t="s">
        <v>1292</v>
      </c>
      <c r="L3125" s="138" t="s">
        <v>1292</v>
      </c>
      <c r="M3125" s="13"/>
      <c r="N3125" s="89" t="s">
        <v>1292</v>
      </c>
      <c r="P3125" t="str">
        <f>VLOOKUP(B3125,PTN!A:B,2,FALSE)</f>
        <v>UNIVERSITAS MUSAMUS MERAUKE</v>
      </c>
      <c r="Q3125" t="str">
        <f t="shared" si="48"/>
        <v>UNIVERSITAS MUSAMUS MERAUKEMANAJEMEN</v>
      </c>
    </row>
    <row r="3126" spans="1:17" ht="15.75" thickBot="1" x14ac:dyDescent="0.3">
      <c r="A3126" s="7">
        <v>3125</v>
      </c>
      <c r="B3126" s="6">
        <v>83</v>
      </c>
      <c r="C3126" s="13">
        <v>9122074</v>
      </c>
      <c r="D3126" t="s">
        <v>99</v>
      </c>
      <c r="E3126" s="13">
        <v>22</v>
      </c>
      <c r="F3126" s="60" t="s">
        <v>13</v>
      </c>
      <c r="J3126" s="138" t="s">
        <v>1292</v>
      </c>
      <c r="K3126" s="138" t="s">
        <v>1292</v>
      </c>
      <c r="L3126" s="138" t="s">
        <v>1292</v>
      </c>
      <c r="M3126" s="12"/>
      <c r="N3126" s="88" t="s">
        <v>1292</v>
      </c>
      <c r="P3126" t="str">
        <f>VLOOKUP(B3126,PTN!A:B,2,FALSE)</f>
        <v>UNIVERSITAS MUSAMUS MERAUKE</v>
      </c>
      <c r="Q3126" t="str">
        <f t="shared" si="48"/>
        <v>UNIVERSITAS MUSAMUS MERAUKEPENDIDIKAN BAHASA DAN SASTRA INDONESIA</v>
      </c>
    </row>
    <row r="3127" spans="1:17" ht="15.75" thickBot="1" x14ac:dyDescent="0.3">
      <c r="A3127" s="7">
        <v>3126</v>
      </c>
      <c r="B3127" s="6">
        <v>83</v>
      </c>
      <c r="C3127" s="12">
        <v>9122082</v>
      </c>
      <c r="D3127" t="s">
        <v>71</v>
      </c>
      <c r="E3127" s="12">
        <v>14</v>
      </c>
      <c r="F3127" s="60" t="s">
        <v>13</v>
      </c>
      <c r="J3127" s="138" t="s">
        <v>1292</v>
      </c>
      <c r="K3127" s="138" t="s">
        <v>1292</v>
      </c>
      <c r="L3127" s="138" t="s">
        <v>1292</v>
      </c>
      <c r="M3127" s="13"/>
      <c r="N3127" s="89" t="s">
        <v>1292</v>
      </c>
      <c r="P3127" t="str">
        <f>VLOOKUP(B3127,PTN!A:B,2,FALSE)</f>
        <v>UNIVERSITAS MUSAMUS MERAUKE</v>
      </c>
      <c r="Q3127" t="str">
        <f t="shared" si="48"/>
        <v>UNIVERSITAS MUSAMUS MERAUKEPENDIDIKAN BAHASA INGGRIS</v>
      </c>
    </row>
    <row r="3128" spans="1:17" ht="15.75" thickBot="1" x14ac:dyDescent="0.3">
      <c r="A3128" s="7">
        <v>3127</v>
      </c>
      <c r="B3128" s="6">
        <v>83</v>
      </c>
      <c r="C3128" s="13">
        <v>9122101</v>
      </c>
      <c r="D3128" t="s">
        <v>744</v>
      </c>
      <c r="E3128" s="13">
        <v>6</v>
      </c>
      <c r="F3128" s="60" t="s">
        <v>13</v>
      </c>
      <c r="J3128" s="138" t="s">
        <v>1292</v>
      </c>
      <c r="K3128" s="138" t="s">
        <v>1292</v>
      </c>
      <c r="L3128" s="138" t="s">
        <v>1292</v>
      </c>
      <c r="M3128" s="12"/>
      <c r="N3128" s="88" t="s">
        <v>1292</v>
      </c>
      <c r="P3128" t="str">
        <f>VLOOKUP(B3128,PTN!A:B,2,FALSE)</f>
        <v>UNIVERSITAS MUSAMUS MERAUKE</v>
      </c>
      <c r="Q3128" t="str">
        <f t="shared" si="48"/>
        <v>UNIVERSITAS MUSAMUS MERAUKEPendidikan Guru Pendidikan Anak Usia Dini</v>
      </c>
    </row>
    <row r="3129" spans="1:17" ht="15.75" thickBot="1" x14ac:dyDescent="0.3">
      <c r="A3129" s="7">
        <v>3128</v>
      </c>
      <c r="B3129" s="6">
        <v>83</v>
      </c>
      <c r="C3129" s="12">
        <v>9122097</v>
      </c>
      <c r="D3129" t="s">
        <v>745</v>
      </c>
      <c r="E3129" s="12">
        <v>42</v>
      </c>
      <c r="F3129" s="60" t="s">
        <v>13</v>
      </c>
      <c r="J3129" s="138" t="s">
        <v>1292</v>
      </c>
      <c r="K3129" s="138" t="s">
        <v>1292</v>
      </c>
      <c r="L3129" s="138" t="s">
        <v>1292</v>
      </c>
      <c r="M3129" s="13"/>
      <c r="N3129" s="89" t="s">
        <v>1292</v>
      </c>
      <c r="P3129" t="str">
        <f>VLOOKUP(B3129,PTN!A:B,2,FALSE)</f>
        <v>UNIVERSITAS MUSAMUS MERAUKE</v>
      </c>
      <c r="Q3129" t="str">
        <f t="shared" si="48"/>
        <v>UNIVERSITAS MUSAMUS MERAUKEPendidikan Guru Sekolah Dasar</v>
      </c>
    </row>
    <row r="3130" spans="1:17" ht="15.75" thickBot="1" x14ac:dyDescent="0.3">
      <c r="A3130" s="7">
        <v>3129</v>
      </c>
      <c r="B3130" s="6">
        <v>83</v>
      </c>
      <c r="C3130" s="13">
        <v>9122066</v>
      </c>
      <c r="D3130" t="s">
        <v>429</v>
      </c>
      <c r="E3130" s="13">
        <v>32</v>
      </c>
      <c r="F3130" s="60" t="s">
        <v>13</v>
      </c>
      <c r="J3130" s="138" t="s">
        <v>1292</v>
      </c>
      <c r="K3130" s="138" t="s">
        <v>1292</v>
      </c>
      <c r="L3130" s="138" t="s">
        <v>1292</v>
      </c>
      <c r="M3130" s="12"/>
      <c r="N3130" s="88" t="s">
        <v>1292</v>
      </c>
      <c r="P3130" t="str">
        <f>VLOOKUP(B3130,PTN!A:B,2,FALSE)</f>
        <v>UNIVERSITAS MUSAMUS MERAUKE</v>
      </c>
      <c r="Q3130" t="str">
        <f t="shared" si="48"/>
        <v>UNIVERSITAS MUSAMUS MERAUKEPENDIDIKAN JASMANI, KESEHATAN DAN REKREASI</v>
      </c>
    </row>
    <row r="3131" spans="1:17" ht="15.75" thickBot="1" x14ac:dyDescent="0.3">
      <c r="A3131" s="7">
        <v>3130</v>
      </c>
      <c r="B3131" s="6">
        <v>83</v>
      </c>
      <c r="C3131" s="14">
        <v>9122124</v>
      </c>
      <c r="D3131" t="s">
        <v>139</v>
      </c>
      <c r="E3131" s="14">
        <v>10</v>
      </c>
      <c r="F3131" s="60" t="s">
        <v>13</v>
      </c>
      <c r="J3131" s="138" t="s">
        <v>1292</v>
      </c>
      <c r="K3131" s="138" t="s">
        <v>1292</v>
      </c>
      <c r="L3131" s="138" t="s">
        <v>1292</v>
      </c>
      <c r="M3131" s="13"/>
      <c r="N3131" s="89" t="s">
        <v>1292</v>
      </c>
      <c r="P3131" t="str">
        <f>VLOOKUP(B3131,PTN!A:B,2,FALSE)</f>
        <v>UNIVERSITAS MUSAMUS MERAUKE</v>
      </c>
      <c r="Q3131" t="str">
        <f t="shared" si="48"/>
        <v>UNIVERSITAS MUSAMUS MERAUKESASTRA INGGRIS</v>
      </c>
    </row>
    <row r="3132" spans="1:17" ht="16.5" thickTop="1" thickBot="1" x14ac:dyDescent="0.3">
      <c r="A3132" s="7">
        <v>3131</v>
      </c>
      <c r="B3132" s="6">
        <v>85</v>
      </c>
      <c r="C3132" s="12">
        <v>9211201</v>
      </c>
      <c r="D3132" t="s">
        <v>37</v>
      </c>
      <c r="E3132" s="12">
        <v>18</v>
      </c>
      <c r="F3132" s="60" t="s">
        <v>20</v>
      </c>
      <c r="J3132" s="138" t="s">
        <v>1292</v>
      </c>
      <c r="K3132" s="138" t="s">
        <v>1292</v>
      </c>
      <c r="L3132" s="138" t="s">
        <v>1292</v>
      </c>
      <c r="M3132" s="12"/>
      <c r="N3132" s="88" t="s">
        <v>1292</v>
      </c>
      <c r="P3132" t="str">
        <f>VLOOKUP(B3132,PTN!A:B,2,FALSE)</f>
        <v>UNIVERSITAS PAPUA</v>
      </c>
      <c r="Q3132" t="str">
        <f t="shared" si="48"/>
        <v>UNIVERSITAS PAPUAAGRIBISNIS</v>
      </c>
    </row>
    <row r="3133" spans="1:17" ht="15.75" thickBot="1" x14ac:dyDescent="0.3">
      <c r="A3133" s="7">
        <v>3132</v>
      </c>
      <c r="B3133" s="6">
        <v>85</v>
      </c>
      <c r="C3133" s="13">
        <v>9211216</v>
      </c>
      <c r="D3133" t="s">
        <v>64</v>
      </c>
      <c r="E3133" s="13">
        <v>18</v>
      </c>
      <c r="F3133" s="60" t="s">
        <v>20</v>
      </c>
      <c r="J3133" s="138" t="s">
        <v>1292</v>
      </c>
      <c r="K3133" s="138" t="s">
        <v>1292</v>
      </c>
      <c r="L3133" s="138" t="s">
        <v>1292</v>
      </c>
      <c r="M3133" s="21"/>
      <c r="N3133" s="83" t="s">
        <v>1292</v>
      </c>
      <c r="P3133" t="str">
        <f>VLOOKUP(B3133,PTN!A:B,2,FALSE)</f>
        <v>UNIVERSITAS PAPUA</v>
      </c>
      <c r="Q3133" t="str">
        <f t="shared" si="48"/>
        <v>UNIVERSITAS PAPUAAGROTEKNOLOGI</v>
      </c>
    </row>
    <row r="3134" spans="1:17" ht="15.75" thickBot="1" x14ac:dyDescent="0.3">
      <c r="A3134" s="7">
        <v>3133</v>
      </c>
      <c r="B3134" s="6">
        <v>85</v>
      </c>
      <c r="C3134" s="12">
        <v>9211182</v>
      </c>
      <c r="D3134" t="s">
        <v>21</v>
      </c>
      <c r="E3134" s="12">
        <v>21</v>
      </c>
      <c r="F3134" s="60" t="s">
        <v>20</v>
      </c>
      <c r="J3134" s="138" t="s">
        <v>1292</v>
      </c>
      <c r="K3134" s="138" t="s">
        <v>1292</v>
      </c>
      <c r="L3134" s="138" t="s">
        <v>1292</v>
      </c>
      <c r="M3134" s="21"/>
      <c r="N3134" s="83" t="s">
        <v>1292</v>
      </c>
      <c r="P3134" t="str">
        <f>VLOOKUP(B3134,PTN!A:B,2,FALSE)</f>
        <v>UNIVERSITAS PAPUA</v>
      </c>
      <c r="Q3134" t="str">
        <f t="shared" si="48"/>
        <v>UNIVERSITAS PAPUABIOLOGI</v>
      </c>
    </row>
    <row r="3135" spans="1:17" ht="16.5" thickTop="1" thickBot="1" x14ac:dyDescent="0.3">
      <c r="A3135" s="7">
        <v>3134</v>
      </c>
      <c r="B3135" s="6">
        <v>85</v>
      </c>
      <c r="C3135" s="13">
        <v>9211174</v>
      </c>
      <c r="D3135" t="s">
        <v>65</v>
      </c>
      <c r="E3135" s="13">
        <v>12</v>
      </c>
      <c r="F3135" s="60" t="s">
        <v>20</v>
      </c>
      <c r="J3135" s="138" t="s">
        <v>1292</v>
      </c>
      <c r="K3135" s="138" t="s">
        <v>1292</v>
      </c>
      <c r="L3135" s="138" t="s">
        <v>1292</v>
      </c>
      <c r="M3135" s="24"/>
      <c r="N3135" s="84" t="s">
        <v>1292</v>
      </c>
      <c r="P3135" t="str">
        <f>VLOOKUP(B3135,PTN!A:B,2,FALSE)</f>
        <v>UNIVERSITAS PAPUA</v>
      </c>
      <c r="Q3135" t="str">
        <f t="shared" si="48"/>
        <v>UNIVERSITAS PAPUAFISIKA</v>
      </c>
    </row>
    <row r="3136" spans="1:17" ht="16.5" thickTop="1" thickBot="1" x14ac:dyDescent="0.3">
      <c r="A3136" s="7">
        <v>3135</v>
      </c>
      <c r="B3136" s="6">
        <v>85</v>
      </c>
      <c r="C3136" s="12">
        <v>9211135</v>
      </c>
      <c r="D3136" t="s">
        <v>40</v>
      </c>
      <c r="E3136" s="12">
        <v>12</v>
      </c>
      <c r="F3136" s="60" t="s">
        <v>20</v>
      </c>
      <c r="J3136" s="138" t="s">
        <v>1292</v>
      </c>
      <c r="K3136" s="138" t="s">
        <v>1292</v>
      </c>
      <c r="L3136" s="138" t="s">
        <v>1292</v>
      </c>
      <c r="M3136" s="12"/>
      <c r="N3136" s="88" t="s">
        <v>1292</v>
      </c>
      <c r="P3136" t="str">
        <f>VLOOKUP(B3136,PTN!A:B,2,FALSE)</f>
        <v>UNIVERSITAS PAPUA</v>
      </c>
      <c r="Q3136" t="str">
        <f t="shared" si="48"/>
        <v>UNIVERSITAS PAPUAILMU KELAUTAN</v>
      </c>
    </row>
    <row r="3137" spans="1:17" ht="15.75" thickBot="1" x14ac:dyDescent="0.3">
      <c r="A3137" s="7">
        <v>3136</v>
      </c>
      <c r="B3137" s="6">
        <v>85</v>
      </c>
      <c r="C3137" s="13">
        <v>9211321</v>
      </c>
      <c r="D3137" t="s">
        <v>79</v>
      </c>
      <c r="E3137" s="13">
        <v>18</v>
      </c>
      <c r="F3137" s="60" t="s">
        <v>20</v>
      </c>
      <c r="J3137" s="138" t="s">
        <v>1292</v>
      </c>
      <c r="K3137" s="138" t="s">
        <v>1292</v>
      </c>
      <c r="L3137" s="138" t="s">
        <v>1292</v>
      </c>
      <c r="M3137" s="13"/>
      <c r="N3137" s="89" t="s">
        <v>1292</v>
      </c>
      <c r="P3137" t="str">
        <f>VLOOKUP(B3137,PTN!A:B,2,FALSE)</f>
        <v>UNIVERSITAS PAPUA</v>
      </c>
      <c r="Q3137" t="str">
        <f t="shared" si="48"/>
        <v>UNIVERSITAS PAPUAILMU TANAH</v>
      </c>
    </row>
    <row r="3138" spans="1:17" ht="15.75" thickBot="1" x14ac:dyDescent="0.3">
      <c r="A3138" s="7">
        <v>3137</v>
      </c>
      <c r="B3138" s="6">
        <v>85</v>
      </c>
      <c r="C3138" s="12">
        <v>9211232</v>
      </c>
      <c r="D3138" t="s">
        <v>81</v>
      </c>
      <c r="E3138" s="12">
        <v>18</v>
      </c>
      <c r="F3138" s="60" t="s">
        <v>20</v>
      </c>
      <c r="J3138" s="138" t="s">
        <v>1292</v>
      </c>
      <c r="K3138" s="138" t="s">
        <v>1292</v>
      </c>
      <c r="L3138" s="138" t="s">
        <v>1292</v>
      </c>
      <c r="M3138" s="12"/>
      <c r="N3138" s="88" t="s">
        <v>1292</v>
      </c>
      <c r="P3138" t="str">
        <f>VLOOKUP(B3138,PTN!A:B,2,FALSE)</f>
        <v>UNIVERSITAS PAPUA</v>
      </c>
      <c r="Q3138" t="str">
        <f t="shared" si="48"/>
        <v>UNIVERSITAS PAPUAKEHUTANAN</v>
      </c>
    </row>
    <row r="3139" spans="1:17" ht="15.75" thickBot="1" x14ac:dyDescent="0.3">
      <c r="A3139" s="7">
        <v>3138</v>
      </c>
      <c r="B3139" s="6">
        <v>85</v>
      </c>
      <c r="C3139" s="13">
        <v>9211197</v>
      </c>
      <c r="D3139" t="s">
        <v>22</v>
      </c>
      <c r="E3139" s="13">
        <v>12</v>
      </c>
      <c r="F3139" s="60" t="s">
        <v>20</v>
      </c>
      <c r="J3139" s="138" t="s">
        <v>1292</v>
      </c>
      <c r="K3139" s="138" t="s">
        <v>1292</v>
      </c>
      <c r="L3139" s="138" t="s">
        <v>1292</v>
      </c>
      <c r="M3139" s="13"/>
      <c r="N3139" s="89" t="s">
        <v>1292</v>
      </c>
      <c r="P3139" t="str">
        <f>VLOOKUP(B3139,PTN!A:B,2,FALSE)</f>
        <v>UNIVERSITAS PAPUA</v>
      </c>
      <c r="Q3139" t="str">
        <f t="shared" ref="Q3139:Q3159" si="49">P3139&amp;D3139</f>
        <v>UNIVERSITAS PAPUAKIMIA</v>
      </c>
    </row>
    <row r="3140" spans="1:17" ht="15.75" thickBot="1" x14ac:dyDescent="0.3">
      <c r="A3140" s="7">
        <v>3139</v>
      </c>
      <c r="B3140" s="6">
        <v>85</v>
      </c>
      <c r="C3140" s="12">
        <v>9211127</v>
      </c>
      <c r="D3140" t="s">
        <v>213</v>
      </c>
      <c r="E3140" s="12">
        <v>12</v>
      </c>
      <c r="F3140" s="60" t="s">
        <v>20</v>
      </c>
      <c r="J3140" s="138" t="s">
        <v>1292</v>
      </c>
      <c r="K3140" s="138" t="s">
        <v>1292</v>
      </c>
      <c r="L3140" s="138" t="s">
        <v>1292</v>
      </c>
      <c r="M3140" s="12"/>
      <c r="N3140" s="88" t="s">
        <v>1292</v>
      </c>
      <c r="P3140" t="str">
        <f>VLOOKUP(B3140,PTN!A:B,2,FALSE)</f>
        <v>UNIVERSITAS PAPUA</v>
      </c>
      <c r="Q3140" t="str">
        <f t="shared" si="49"/>
        <v>UNIVERSITAS PAPUAMANAJEMEN SUMBERDAYA PERAIRAN</v>
      </c>
    </row>
    <row r="3141" spans="1:17" ht="15.75" thickBot="1" x14ac:dyDescent="0.3">
      <c r="A3141" s="7">
        <v>3140</v>
      </c>
      <c r="B3141" s="6">
        <v>85</v>
      </c>
      <c r="C3141" s="13">
        <v>9211166</v>
      </c>
      <c r="D3141" t="s">
        <v>66</v>
      </c>
      <c r="E3141" s="13">
        <v>12</v>
      </c>
      <c r="F3141" s="60" t="s">
        <v>20</v>
      </c>
      <c r="J3141" s="138" t="s">
        <v>1292</v>
      </c>
      <c r="K3141" s="138" t="s">
        <v>1292</v>
      </c>
      <c r="L3141" s="138" t="s">
        <v>1292</v>
      </c>
      <c r="M3141" s="13"/>
      <c r="N3141" s="89" t="s">
        <v>1292</v>
      </c>
      <c r="P3141" t="str">
        <f>VLOOKUP(B3141,PTN!A:B,2,FALSE)</f>
        <v>UNIVERSITAS PAPUA</v>
      </c>
      <c r="Q3141" t="str">
        <f t="shared" si="49"/>
        <v>UNIVERSITAS PAPUAMATEMATIKA</v>
      </c>
    </row>
    <row r="3142" spans="1:17" ht="15.75" thickBot="1" x14ac:dyDescent="0.3">
      <c r="A3142" s="7">
        <v>3141</v>
      </c>
      <c r="B3142" s="6">
        <v>85</v>
      </c>
      <c r="C3142" s="12">
        <v>9211336</v>
      </c>
      <c r="D3142" t="s">
        <v>746</v>
      </c>
      <c r="E3142" s="12">
        <v>12</v>
      </c>
      <c r="F3142" s="60" t="s">
        <v>20</v>
      </c>
      <c r="J3142" s="138" t="s">
        <v>1292</v>
      </c>
      <c r="K3142" s="138" t="s">
        <v>1292</v>
      </c>
      <c r="L3142" s="138" t="s">
        <v>1292</v>
      </c>
      <c r="M3142" s="12"/>
      <c r="N3142" s="88" t="s">
        <v>1292</v>
      </c>
      <c r="P3142" t="str">
        <f>VLOOKUP(B3142,PTN!A:B,2,FALSE)</f>
        <v>UNIVERSITAS PAPUA</v>
      </c>
      <c r="Q3142" t="str">
        <f t="shared" si="49"/>
        <v>UNIVERSITAS PAPUANUTRISI DAN TEKNOLOGI PAKAN TERNAK</v>
      </c>
    </row>
    <row r="3143" spans="1:17" ht="15.75" thickBot="1" x14ac:dyDescent="0.3">
      <c r="A3143" s="7">
        <v>3142</v>
      </c>
      <c r="B3143" s="6">
        <v>85</v>
      </c>
      <c r="C3143" s="13">
        <v>9211271</v>
      </c>
      <c r="D3143" t="s">
        <v>67</v>
      </c>
      <c r="E3143" s="13">
        <v>12</v>
      </c>
      <c r="F3143" s="60" t="s">
        <v>20</v>
      </c>
      <c r="J3143" s="138" t="s">
        <v>1292</v>
      </c>
      <c r="K3143" s="138" t="s">
        <v>1292</v>
      </c>
      <c r="L3143" s="138" t="s">
        <v>1292</v>
      </c>
      <c r="M3143" s="13"/>
      <c r="N3143" s="89" t="s">
        <v>1292</v>
      </c>
      <c r="P3143" t="str">
        <f>VLOOKUP(B3143,PTN!A:B,2,FALSE)</f>
        <v>UNIVERSITAS PAPUA</v>
      </c>
      <c r="Q3143" t="str">
        <f t="shared" si="49"/>
        <v>UNIVERSITAS PAPUAPENDIDIKAN BIOLOGI</v>
      </c>
    </row>
    <row r="3144" spans="1:17" ht="15.75" thickBot="1" x14ac:dyDescent="0.3">
      <c r="A3144" s="7">
        <v>3143</v>
      </c>
      <c r="B3144" s="6">
        <v>85</v>
      </c>
      <c r="C3144" s="12">
        <v>9211313</v>
      </c>
      <c r="D3144" t="s">
        <v>42</v>
      </c>
      <c r="E3144" s="12">
        <v>12</v>
      </c>
      <c r="F3144" s="60" t="s">
        <v>20</v>
      </c>
      <c r="J3144" s="138" t="s">
        <v>1292</v>
      </c>
      <c r="K3144" s="138" t="s">
        <v>1292</v>
      </c>
      <c r="L3144" s="138" t="s">
        <v>1292</v>
      </c>
      <c r="M3144" s="12"/>
      <c r="N3144" s="88" t="s">
        <v>1292</v>
      </c>
      <c r="P3144" t="str">
        <f>VLOOKUP(B3144,PTN!A:B,2,FALSE)</f>
        <v>UNIVERSITAS PAPUA</v>
      </c>
      <c r="Q3144" t="str">
        <f t="shared" si="49"/>
        <v>UNIVERSITAS PAPUAPENDIDIKAN FISIKA</v>
      </c>
    </row>
    <row r="3145" spans="1:17" ht="15.75" thickBot="1" x14ac:dyDescent="0.3">
      <c r="A3145" s="7">
        <v>3144</v>
      </c>
      <c r="B3145" s="6">
        <v>85</v>
      </c>
      <c r="C3145" s="13">
        <v>9211294</v>
      </c>
      <c r="D3145" t="s">
        <v>43</v>
      </c>
      <c r="E3145" s="13">
        <v>12</v>
      </c>
      <c r="F3145" s="60" t="s">
        <v>20</v>
      </c>
      <c r="J3145" s="138" t="s">
        <v>1292</v>
      </c>
      <c r="K3145" s="138" t="s">
        <v>1292</v>
      </c>
      <c r="L3145" s="138" t="s">
        <v>1292</v>
      </c>
      <c r="M3145" s="13"/>
      <c r="N3145" s="89" t="s">
        <v>1292</v>
      </c>
      <c r="P3145" t="str">
        <f>VLOOKUP(B3145,PTN!A:B,2,FALSE)</f>
        <v>UNIVERSITAS PAPUA</v>
      </c>
      <c r="Q3145" t="str">
        <f t="shared" si="49"/>
        <v>UNIVERSITAS PAPUAPENDIDIKAN KIMIA</v>
      </c>
    </row>
    <row r="3146" spans="1:17" ht="15.75" thickBot="1" x14ac:dyDescent="0.3">
      <c r="A3146" s="7">
        <v>3145</v>
      </c>
      <c r="B3146" s="6">
        <v>85</v>
      </c>
      <c r="C3146" s="12">
        <v>9211286</v>
      </c>
      <c r="D3146" t="s">
        <v>44</v>
      </c>
      <c r="E3146" s="12">
        <v>12</v>
      </c>
      <c r="F3146" s="60" t="s">
        <v>20</v>
      </c>
      <c r="J3146" s="138" t="s">
        <v>1292</v>
      </c>
      <c r="K3146" s="138" t="s">
        <v>1292</v>
      </c>
      <c r="L3146" s="138" t="s">
        <v>1292</v>
      </c>
      <c r="M3146" s="12"/>
      <c r="N3146" s="88" t="s">
        <v>1292</v>
      </c>
      <c r="P3146" t="str">
        <f>VLOOKUP(B3146,PTN!A:B,2,FALSE)</f>
        <v>UNIVERSITAS PAPUA</v>
      </c>
      <c r="Q3146" t="str">
        <f t="shared" si="49"/>
        <v>UNIVERSITAS PAPUAPENDIDIKAN MATEMATIKA</v>
      </c>
    </row>
    <row r="3147" spans="1:17" ht="15.75" thickBot="1" x14ac:dyDescent="0.3">
      <c r="A3147" s="7">
        <v>3146</v>
      </c>
      <c r="B3147" s="6">
        <v>85</v>
      </c>
      <c r="C3147" s="13">
        <v>9211224</v>
      </c>
      <c r="D3147" t="s">
        <v>88</v>
      </c>
      <c r="E3147" s="13">
        <v>18</v>
      </c>
      <c r="F3147" s="60" t="s">
        <v>20</v>
      </c>
      <c r="J3147" s="138" t="s">
        <v>1292</v>
      </c>
      <c r="K3147" s="138" t="s">
        <v>1292</v>
      </c>
      <c r="L3147" s="138" t="s">
        <v>1292</v>
      </c>
      <c r="M3147" s="13"/>
      <c r="N3147" s="89" t="s">
        <v>1292</v>
      </c>
      <c r="P3147" t="str">
        <f>VLOOKUP(B3147,PTN!A:B,2,FALSE)</f>
        <v>UNIVERSITAS PAPUA</v>
      </c>
      <c r="Q3147" t="str">
        <f t="shared" si="49"/>
        <v>UNIVERSITAS PAPUAPETERNAKAN</v>
      </c>
    </row>
    <row r="3148" spans="1:17" ht="15.75" thickBot="1" x14ac:dyDescent="0.3">
      <c r="A3148" s="7">
        <v>3147</v>
      </c>
      <c r="B3148" s="6">
        <v>85</v>
      </c>
      <c r="C3148" s="12">
        <v>9211263</v>
      </c>
      <c r="D3148" t="s">
        <v>48</v>
      </c>
      <c r="E3148" s="12">
        <v>12</v>
      </c>
      <c r="F3148" s="60" t="s">
        <v>20</v>
      </c>
      <c r="J3148" s="138" t="s">
        <v>1292</v>
      </c>
      <c r="K3148" s="138" t="s">
        <v>1292</v>
      </c>
      <c r="L3148" s="138" t="s">
        <v>1292</v>
      </c>
      <c r="M3148" s="12"/>
      <c r="N3148" s="88" t="s">
        <v>1292</v>
      </c>
      <c r="P3148" t="str">
        <f>VLOOKUP(B3148,PTN!A:B,2,FALSE)</f>
        <v>UNIVERSITAS PAPUA</v>
      </c>
      <c r="Q3148" t="str">
        <f t="shared" si="49"/>
        <v>UNIVERSITAS PAPUATEKNIK ELEKTRO</v>
      </c>
    </row>
    <row r="3149" spans="1:17" ht="15.75" thickBot="1" x14ac:dyDescent="0.3">
      <c r="A3149" s="7">
        <v>3148</v>
      </c>
      <c r="B3149" s="6">
        <v>85</v>
      </c>
      <c r="C3149" s="13">
        <v>9211305</v>
      </c>
      <c r="D3149" t="s">
        <v>92</v>
      </c>
      <c r="E3149" s="13">
        <v>18</v>
      </c>
      <c r="F3149" s="60" t="s">
        <v>20</v>
      </c>
      <c r="J3149" s="138" t="s">
        <v>1292</v>
      </c>
      <c r="K3149" s="138" t="s">
        <v>1292</v>
      </c>
      <c r="L3149" s="138" t="s">
        <v>1292</v>
      </c>
      <c r="M3149" s="13"/>
      <c r="N3149" s="89" t="s">
        <v>1292</v>
      </c>
      <c r="P3149" t="str">
        <f>VLOOKUP(B3149,PTN!A:B,2,FALSE)</f>
        <v>UNIVERSITAS PAPUA</v>
      </c>
      <c r="Q3149" t="str">
        <f t="shared" si="49"/>
        <v>UNIVERSITAS PAPUATEKNIK GEOLOGI</v>
      </c>
    </row>
    <row r="3150" spans="1:17" ht="15.75" thickBot="1" x14ac:dyDescent="0.3">
      <c r="A3150" s="7">
        <v>3149</v>
      </c>
      <c r="B3150" s="6">
        <v>85</v>
      </c>
      <c r="C3150" s="12">
        <v>9211247</v>
      </c>
      <c r="D3150" t="s">
        <v>50</v>
      </c>
      <c r="E3150" s="12">
        <v>9</v>
      </c>
      <c r="F3150" s="60" t="s">
        <v>20</v>
      </c>
      <c r="J3150" s="138" t="s">
        <v>1292</v>
      </c>
      <c r="K3150" s="138" t="s">
        <v>1292</v>
      </c>
      <c r="L3150" s="138" t="s">
        <v>1292</v>
      </c>
      <c r="M3150" s="12"/>
      <c r="N3150" s="88" t="s">
        <v>1292</v>
      </c>
      <c r="P3150" t="str">
        <f>VLOOKUP(B3150,PTN!A:B,2,FALSE)</f>
        <v>UNIVERSITAS PAPUA</v>
      </c>
      <c r="Q3150" t="str">
        <f t="shared" si="49"/>
        <v>UNIVERSITAS PAPUATEKNIK INFORMATIKA</v>
      </c>
    </row>
    <row r="3151" spans="1:17" ht="15.75" thickBot="1" x14ac:dyDescent="0.3">
      <c r="A3151" s="7">
        <v>3150</v>
      </c>
      <c r="B3151" s="6">
        <v>85</v>
      </c>
      <c r="C3151" s="13">
        <v>9211255</v>
      </c>
      <c r="D3151" t="s">
        <v>239</v>
      </c>
      <c r="E3151" s="13">
        <v>18</v>
      </c>
      <c r="F3151" s="60" t="s">
        <v>20</v>
      </c>
      <c r="J3151" s="138" t="s">
        <v>1292</v>
      </c>
      <c r="K3151" s="138" t="s">
        <v>1292</v>
      </c>
      <c r="L3151" s="138" t="s">
        <v>1292</v>
      </c>
      <c r="M3151" s="13"/>
      <c r="N3151" s="89" t="s">
        <v>1292</v>
      </c>
      <c r="P3151" t="str">
        <f>VLOOKUP(B3151,PTN!A:B,2,FALSE)</f>
        <v>UNIVERSITAS PAPUA</v>
      </c>
      <c r="Q3151" t="str">
        <f t="shared" si="49"/>
        <v>UNIVERSITAS PAPUATEKNIK PERTAMBANGAN</v>
      </c>
    </row>
    <row r="3152" spans="1:17" ht="15.75" thickBot="1" x14ac:dyDescent="0.3">
      <c r="A3152" s="7">
        <v>3151</v>
      </c>
      <c r="B3152" s="6">
        <v>85</v>
      </c>
      <c r="C3152" s="12">
        <v>9211344</v>
      </c>
      <c r="D3152" t="s">
        <v>356</v>
      </c>
      <c r="E3152" s="12">
        <v>12</v>
      </c>
      <c r="F3152" s="60" t="s">
        <v>20</v>
      </c>
      <c r="J3152" s="138" t="s">
        <v>1292</v>
      </c>
      <c r="K3152" s="138" t="s">
        <v>1292</v>
      </c>
      <c r="L3152" s="138" t="s">
        <v>1292</v>
      </c>
      <c r="M3152" s="12"/>
      <c r="N3152" s="88" t="s">
        <v>1292</v>
      </c>
      <c r="P3152" t="str">
        <f>VLOOKUP(B3152,PTN!A:B,2,FALSE)</f>
        <v>UNIVERSITAS PAPUA</v>
      </c>
      <c r="Q3152" t="str">
        <f t="shared" si="49"/>
        <v>UNIVERSITAS PAPUATEKNIK PERTANIAN DAN BIOSISTEM</v>
      </c>
    </row>
    <row r="3153" spans="1:17" ht="15.75" thickBot="1" x14ac:dyDescent="0.3">
      <c r="A3153" s="7">
        <v>3152</v>
      </c>
      <c r="B3153" s="6">
        <v>85</v>
      </c>
      <c r="C3153" s="13">
        <v>9211352</v>
      </c>
      <c r="D3153" t="s">
        <v>54</v>
      </c>
      <c r="E3153" s="13">
        <v>12</v>
      </c>
      <c r="F3153" s="60" t="s">
        <v>20</v>
      </c>
      <c r="J3153" s="138" t="s">
        <v>1292</v>
      </c>
      <c r="K3153" s="138" t="s">
        <v>1292</v>
      </c>
      <c r="L3153" s="138" t="s">
        <v>1292</v>
      </c>
      <c r="M3153" s="13"/>
      <c r="N3153" s="89" t="s">
        <v>1292</v>
      </c>
      <c r="P3153" t="str">
        <f>VLOOKUP(B3153,PTN!A:B,2,FALSE)</f>
        <v>UNIVERSITAS PAPUA</v>
      </c>
      <c r="Q3153" t="str">
        <f t="shared" si="49"/>
        <v>UNIVERSITAS PAPUATEKNIK SIPIL</v>
      </c>
    </row>
    <row r="3154" spans="1:17" ht="15.75" thickBot="1" x14ac:dyDescent="0.3">
      <c r="A3154" s="7">
        <v>3153</v>
      </c>
      <c r="B3154" s="6">
        <v>85</v>
      </c>
      <c r="C3154" s="14">
        <v>9211104</v>
      </c>
      <c r="D3154" t="s">
        <v>96</v>
      </c>
      <c r="E3154" s="14">
        <v>18</v>
      </c>
      <c r="F3154" s="60" t="s">
        <v>20</v>
      </c>
      <c r="J3154" s="138" t="s">
        <v>1292</v>
      </c>
      <c r="K3154" s="138" t="s">
        <v>1292</v>
      </c>
      <c r="L3154" s="138" t="s">
        <v>1292</v>
      </c>
      <c r="M3154" s="21"/>
      <c r="N3154" s="83" t="s">
        <v>1292</v>
      </c>
      <c r="P3154" t="str">
        <f>VLOOKUP(B3154,PTN!A:B,2,FALSE)</f>
        <v>UNIVERSITAS PAPUA</v>
      </c>
      <c r="Q3154" t="str">
        <f t="shared" si="49"/>
        <v>UNIVERSITAS PAPUATEKNOLOGI HASIL PERTANIAN</v>
      </c>
    </row>
    <row r="3155" spans="1:17" ht="16.5" thickTop="1" thickBot="1" x14ac:dyDescent="0.3">
      <c r="A3155" s="7">
        <v>3154</v>
      </c>
      <c r="B3155" s="6">
        <v>85</v>
      </c>
      <c r="C3155" s="12">
        <v>9212057</v>
      </c>
      <c r="D3155" t="s">
        <v>55</v>
      </c>
      <c r="E3155" s="12">
        <v>24</v>
      </c>
      <c r="F3155" s="60" t="s">
        <v>13</v>
      </c>
      <c r="J3155" s="138" t="s">
        <v>1292</v>
      </c>
      <c r="K3155" s="138" t="s">
        <v>1292</v>
      </c>
      <c r="L3155" s="138" t="s">
        <v>1292</v>
      </c>
      <c r="M3155" s="21"/>
      <c r="N3155" s="83" t="s">
        <v>1292</v>
      </c>
      <c r="P3155" t="str">
        <f>VLOOKUP(B3155,PTN!A:B,2,FALSE)</f>
        <v>UNIVERSITAS PAPUA</v>
      </c>
      <c r="Q3155" t="str">
        <f t="shared" si="49"/>
        <v>UNIVERSITAS PAPUAAKUNTANSI</v>
      </c>
    </row>
    <row r="3156" spans="1:17" ht="16.5" thickTop="1" thickBot="1" x14ac:dyDescent="0.3">
      <c r="A3156" s="7">
        <v>3155</v>
      </c>
      <c r="B3156" s="6">
        <v>85</v>
      </c>
      <c r="C3156" s="13">
        <v>9212011</v>
      </c>
      <c r="D3156" t="s">
        <v>69</v>
      </c>
      <c r="E3156" s="13">
        <v>24</v>
      </c>
      <c r="F3156" s="60" t="s">
        <v>13</v>
      </c>
      <c r="J3156" s="138" t="s">
        <v>1292</v>
      </c>
      <c r="K3156" s="138" t="s">
        <v>1292</v>
      </c>
      <c r="L3156" s="138" t="s">
        <v>1292</v>
      </c>
      <c r="M3156" s="24"/>
      <c r="N3156" s="84" t="s">
        <v>1292</v>
      </c>
      <c r="P3156" t="str">
        <f>VLOOKUP(B3156,PTN!A:B,2,FALSE)</f>
        <v>UNIVERSITAS PAPUA</v>
      </c>
      <c r="Q3156" t="str">
        <f t="shared" si="49"/>
        <v>UNIVERSITAS PAPUAEKONOMI PEMBANGUNAN</v>
      </c>
    </row>
    <row r="3157" spans="1:17" ht="16.5" thickTop="1" thickBot="1" x14ac:dyDescent="0.3">
      <c r="A3157" s="7">
        <v>3156</v>
      </c>
      <c r="B3157" s="6">
        <v>85</v>
      </c>
      <c r="C3157" s="12">
        <v>9212042</v>
      </c>
      <c r="D3157" t="s">
        <v>61</v>
      </c>
      <c r="E3157" s="12">
        <v>24</v>
      </c>
      <c r="F3157" s="60" t="s">
        <v>13</v>
      </c>
      <c r="J3157" s="138" t="s">
        <v>1292</v>
      </c>
      <c r="K3157" s="138" t="s">
        <v>1292</v>
      </c>
      <c r="L3157" s="138" t="s">
        <v>1292</v>
      </c>
      <c r="M3157" s="12"/>
      <c r="N3157" s="88" t="s">
        <v>1292</v>
      </c>
      <c r="P3157" t="str">
        <f>VLOOKUP(B3157,PTN!A:B,2,FALSE)</f>
        <v>UNIVERSITAS PAPUA</v>
      </c>
      <c r="Q3157" t="str">
        <f t="shared" si="49"/>
        <v>UNIVERSITAS PAPUAMANAJEMEN</v>
      </c>
    </row>
    <row r="3158" spans="1:17" ht="15.75" thickBot="1" x14ac:dyDescent="0.3">
      <c r="A3158" s="7">
        <v>3157</v>
      </c>
      <c r="B3158" s="6">
        <v>85</v>
      </c>
      <c r="C3158" s="13">
        <v>9212065</v>
      </c>
      <c r="D3158" t="s">
        <v>70</v>
      </c>
      <c r="E3158" s="13">
        <v>12</v>
      </c>
      <c r="F3158" s="60" t="s">
        <v>13</v>
      </c>
      <c r="J3158" s="138" t="s">
        <v>1292</v>
      </c>
      <c r="K3158" s="138" t="s">
        <v>1292</v>
      </c>
      <c r="L3158" s="138" t="s">
        <v>1292</v>
      </c>
      <c r="M3158" s="13"/>
      <c r="N3158" s="89" t="s">
        <v>1292</v>
      </c>
      <c r="P3158" t="str">
        <f>VLOOKUP(B3158,PTN!A:B,2,FALSE)</f>
        <v>UNIVERSITAS PAPUA</v>
      </c>
      <c r="Q3158" t="str">
        <f t="shared" si="49"/>
        <v>UNIVERSITAS PAPUAPENDIDIKAN BAHASA INDONESIA</v>
      </c>
    </row>
    <row r="3159" spans="1:17" ht="15.75" thickBot="1" x14ac:dyDescent="0.3">
      <c r="A3159" s="7">
        <v>3158</v>
      </c>
      <c r="B3159" s="6">
        <v>85</v>
      </c>
      <c r="C3159" s="14">
        <v>9212073</v>
      </c>
      <c r="D3159" t="s">
        <v>71</v>
      </c>
      <c r="E3159" s="14">
        <v>12</v>
      </c>
      <c r="F3159" s="60" t="s">
        <v>13</v>
      </c>
      <c r="J3159" s="138" t="s">
        <v>1292</v>
      </c>
      <c r="K3159" s="138" t="s">
        <v>1292</v>
      </c>
      <c r="L3159" s="138" t="s">
        <v>1292</v>
      </c>
      <c r="M3159" s="12"/>
      <c r="N3159" s="88" t="s">
        <v>1292</v>
      </c>
      <c r="P3159" t="str">
        <f>VLOOKUP(B3159,PTN!A:B,2,FALSE)</f>
        <v>UNIVERSITAS PAPUA</v>
      </c>
      <c r="Q3159" t="str">
        <f t="shared" si="49"/>
        <v>UNIVERSITAS PAPUAPENDIDIKAN BAHASA INGGRIS</v>
      </c>
    </row>
    <row r="3160" spans="1:17" ht="16.5" thickTop="1" thickBot="1" x14ac:dyDescent="0.3">
      <c r="J3160" s="139"/>
      <c r="K3160" s="140"/>
      <c r="M3160" s="13"/>
      <c r="N3160" s="89"/>
    </row>
    <row r="3161" spans="1:17" ht="15.75" thickBot="1" x14ac:dyDescent="0.3">
      <c r="J3161" s="141"/>
      <c r="K3161" s="142"/>
      <c r="M3161" s="14"/>
      <c r="N3161" s="90"/>
    </row>
    <row r="3162" spans="1:17" ht="15.75" thickTop="1" x14ac:dyDescent="0.25"/>
  </sheetData>
  <sheetProtection algorithmName="SHA-512" hashValue="hicOmEqiVniDyHqRSndoLuxMJkiL/9BHYIqAB6qMqDe46y3PapW4JPh0oOS4XJ5EH6avAQ9ArWy649VScNUFkw==" saltValue="CMrZVVWvC7Xnjv+bT9nbqg==" spinCount="100000" sheet="1" objects="1" scenarios="1"/>
  <autoFilter ref="A1:F3159"/>
  <pageMargins left="0.7" right="0.7" top="0.75" bottom="0.75" header="0.3" footer="0.3"/>
  <pageSetup paperSize="1000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25"/>
  <sheetViews>
    <sheetView topLeftCell="A19" workbookViewId="0">
      <selection activeCell="D37" sqref="D37"/>
    </sheetView>
  </sheetViews>
  <sheetFormatPr defaultRowHeight="15" x14ac:dyDescent="0.25"/>
  <cols>
    <col min="1" max="1" width="4.140625" bestFit="1" customWidth="1"/>
    <col min="2" max="2" width="41.85546875" bestFit="1" customWidth="1"/>
    <col min="3" max="3" width="41.85546875" hidden="1" customWidth="1"/>
    <col min="4" max="4" width="31.140625" bestFit="1" customWidth="1"/>
    <col min="5" max="5" width="12.42578125" style="6" customWidth="1"/>
    <col min="6" max="6" width="6.140625" hidden="1" customWidth="1"/>
    <col min="7" max="7" width="9.140625" style="6"/>
    <col min="8" max="8" width="10.7109375" hidden="1" customWidth="1"/>
    <col min="9" max="9" width="10.7109375" customWidth="1"/>
    <col min="11" max="11" width="5.28515625" hidden="1" customWidth="1"/>
    <col min="12" max="12" width="42.42578125" hidden="1" customWidth="1"/>
    <col min="13" max="13" width="0" hidden="1" customWidth="1"/>
    <col min="14" max="14" width="3.7109375" bestFit="1" customWidth="1"/>
    <col min="15" max="15" width="46.42578125" customWidth="1"/>
    <col min="16" max="16" width="6.140625" bestFit="1" customWidth="1"/>
  </cols>
  <sheetData>
    <row r="1" spans="1:16" ht="17.25" thickBot="1" x14ac:dyDescent="0.3">
      <c r="A1" t="s">
        <v>747</v>
      </c>
      <c r="B1" s="78" t="s">
        <v>748</v>
      </c>
      <c r="C1" t="s">
        <v>748</v>
      </c>
      <c r="D1" t="s">
        <v>749</v>
      </c>
      <c r="E1" s="6" t="s">
        <v>1272</v>
      </c>
      <c r="F1" t="s">
        <v>1273</v>
      </c>
      <c r="G1" s="6" t="s">
        <v>754</v>
      </c>
      <c r="H1" t="s">
        <v>1274</v>
      </c>
      <c r="I1" t="s">
        <v>1274</v>
      </c>
      <c r="K1" s="61" t="s">
        <v>753</v>
      </c>
      <c r="L1" s="62" t="s">
        <v>755</v>
      </c>
      <c r="M1" s="61" t="s">
        <v>754</v>
      </c>
      <c r="N1" s="77" t="s">
        <v>753</v>
      </c>
      <c r="O1" s="77" t="s">
        <v>1276</v>
      </c>
      <c r="P1" s="77" t="s">
        <v>1275</v>
      </c>
    </row>
    <row r="2" spans="1:16" ht="18" thickTop="1" thickBot="1" x14ac:dyDescent="0.3">
      <c r="A2">
        <v>1</v>
      </c>
      <c r="B2" s="78" t="s">
        <v>791</v>
      </c>
      <c r="C2" t="s">
        <v>750</v>
      </c>
      <c r="D2" t="s">
        <v>751</v>
      </c>
      <c r="E2" s="6">
        <v>63</v>
      </c>
      <c r="F2" s="6">
        <f>VLOOKUP(B2,$L$2:$M$123,2,FALSE)</f>
        <v>1011</v>
      </c>
      <c r="G2" s="6">
        <v>1011</v>
      </c>
      <c r="H2" s="6">
        <f>VLOOKUP(B2,O:P,2,FALSE)</f>
        <v>111</v>
      </c>
      <c r="I2" s="6">
        <v>111</v>
      </c>
      <c r="K2" s="63">
        <v>1</v>
      </c>
      <c r="L2" s="64" t="s">
        <v>758</v>
      </c>
      <c r="M2" s="63">
        <v>1001</v>
      </c>
      <c r="N2" s="133">
        <v>1</v>
      </c>
      <c r="O2" t="s">
        <v>791</v>
      </c>
      <c r="P2" s="21">
        <v>111</v>
      </c>
    </row>
    <row r="3" spans="1:16" ht="17.25" thickBot="1" x14ac:dyDescent="0.3">
      <c r="A3">
        <v>2</v>
      </c>
      <c r="B3" s="78" t="s">
        <v>773</v>
      </c>
      <c r="C3" t="s">
        <v>756</v>
      </c>
      <c r="D3" t="s">
        <v>757</v>
      </c>
      <c r="E3" s="6">
        <v>31</v>
      </c>
      <c r="F3" s="6">
        <f t="shared" ref="F3:F66" si="0">VLOOKUP(B3,$L$2:$M$123,2,FALSE)</f>
        <v>1046</v>
      </c>
      <c r="G3" s="6">
        <v>1046</v>
      </c>
      <c r="H3" s="6">
        <f t="shared" ref="H3:H66" si="1">VLOOKUP(B3,O:P,2,FALSE)</f>
        <v>112</v>
      </c>
      <c r="I3" s="6">
        <v>112</v>
      </c>
      <c r="K3" s="63">
        <v>2</v>
      </c>
      <c r="L3" s="64" t="s">
        <v>761</v>
      </c>
      <c r="M3" s="63">
        <v>1002</v>
      </c>
      <c r="N3" s="132">
        <v>2</v>
      </c>
      <c r="O3" t="s">
        <v>773</v>
      </c>
      <c r="P3" s="21">
        <v>112</v>
      </c>
    </row>
    <row r="4" spans="1:16" ht="17.25" thickBot="1" x14ac:dyDescent="0.3">
      <c r="A4">
        <v>3</v>
      </c>
      <c r="B4" s="78" t="s">
        <v>801</v>
      </c>
      <c r="C4" t="s">
        <v>759</v>
      </c>
      <c r="D4" t="s">
        <v>760</v>
      </c>
      <c r="E4" s="6">
        <v>18</v>
      </c>
      <c r="F4" s="6">
        <f t="shared" si="0"/>
        <v>1058</v>
      </c>
      <c r="G4" s="6">
        <v>1058</v>
      </c>
      <c r="H4" s="6">
        <f t="shared" si="1"/>
        <v>113</v>
      </c>
      <c r="I4" s="6">
        <v>113</v>
      </c>
      <c r="K4" s="63">
        <v>3</v>
      </c>
      <c r="L4" s="64" t="s">
        <v>765</v>
      </c>
      <c r="M4" s="63">
        <v>1003</v>
      </c>
      <c r="N4" s="131">
        <v>3</v>
      </c>
      <c r="O4" t="s">
        <v>801</v>
      </c>
      <c r="P4">
        <v>113</v>
      </c>
    </row>
    <row r="5" spans="1:16" ht="17.25" thickBot="1" x14ac:dyDescent="0.3">
      <c r="A5">
        <v>4</v>
      </c>
      <c r="B5" s="79" t="s">
        <v>1277</v>
      </c>
      <c r="C5" s="68" t="s">
        <v>762</v>
      </c>
      <c r="D5" s="68" t="s">
        <v>763</v>
      </c>
      <c r="E5" s="74">
        <v>25</v>
      </c>
      <c r="F5" s="74" t="e">
        <f t="shared" si="0"/>
        <v>#N/A</v>
      </c>
      <c r="G5" s="74" t="e">
        <v>#N/A</v>
      </c>
      <c r="H5" s="6" t="e">
        <f t="shared" si="1"/>
        <v>#N/A</v>
      </c>
      <c r="I5" s="82">
        <v>114</v>
      </c>
      <c r="K5" s="63">
        <v>4</v>
      </c>
      <c r="L5" s="64" t="s">
        <v>768</v>
      </c>
      <c r="M5" s="63">
        <v>1004</v>
      </c>
      <c r="N5" s="132">
        <v>4</v>
      </c>
      <c r="O5" t="s">
        <v>783</v>
      </c>
      <c r="P5">
        <v>114</v>
      </c>
    </row>
    <row r="6" spans="1:16" ht="17.25" thickBot="1" x14ac:dyDescent="0.3">
      <c r="A6">
        <v>5</v>
      </c>
      <c r="B6" s="79" t="s">
        <v>752</v>
      </c>
      <c r="C6" s="68" t="s">
        <v>766</v>
      </c>
      <c r="D6" s="68" t="s">
        <v>767</v>
      </c>
      <c r="E6" s="74">
        <v>5</v>
      </c>
      <c r="F6" s="74" t="e">
        <f t="shared" si="0"/>
        <v>#N/A</v>
      </c>
      <c r="G6" s="74">
        <v>2011</v>
      </c>
      <c r="H6" s="6">
        <f t="shared" si="1"/>
        <v>115</v>
      </c>
      <c r="I6" s="6">
        <v>115</v>
      </c>
      <c r="K6" s="63">
        <v>5</v>
      </c>
      <c r="L6" s="64" t="s">
        <v>771</v>
      </c>
      <c r="M6" s="63">
        <v>1005</v>
      </c>
      <c r="N6" s="131">
        <v>5</v>
      </c>
      <c r="O6" t="s">
        <v>752</v>
      </c>
      <c r="P6">
        <v>115</v>
      </c>
    </row>
    <row r="7" spans="1:16" ht="17.25" thickBot="1" x14ac:dyDescent="0.3">
      <c r="A7">
        <v>6</v>
      </c>
      <c r="B7" s="79" t="s">
        <v>1278</v>
      </c>
      <c r="C7" s="68" t="s">
        <v>769</v>
      </c>
      <c r="D7" s="68" t="s">
        <v>770</v>
      </c>
      <c r="E7" s="74">
        <v>17</v>
      </c>
      <c r="F7" s="74" t="e">
        <f t="shared" si="0"/>
        <v>#N/A</v>
      </c>
      <c r="G7" s="74" t="e">
        <v>#N/A</v>
      </c>
      <c r="H7" s="6" t="e">
        <f t="shared" si="1"/>
        <v>#N/A</v>
      </c>
      <c r="I7" s="82">
        <v>116</v>
      </c>
      <c r="K7" s="63">
        <v>6</v>
      </c>
      <c r="L7" s="64" t="s">
        <v>774</v>
      </c>
      <c r="M7" s="63">
        <v>1006</v>
      </c>
      <c r="N7" s="132">
        <v>6</v>
      </c>
      <c r="O7" t="s">
        <v>764</v>
      </c>
      <c r="P7">
        <v>116</v>
      </c>
    </row>
    <row r="8" spans="1:16" ht="17.25" thickBot="1" x14ac:dyDescent="0.3">
      <c r="A8">
        <v>7</v>
      </c>
      <c r="B8" s="78" t="s">
        <v>827</v>
      </c>
      <c r="C8" t="s">
        <v>765</v>
      </c>
      <c r="D8" t="s">
        <v>772</v>
      </c>
      <c r="E8" s="6">
        <v>47</v>
      </c>
      <c r="F8" s="6">
        <f t="shared" si="0"/>
        <v>1003</v>
      </c>
      <c r="G8" s="6">
        <v>1003</v>
      </c>
      <c r="H8" s="6">
        <f t="shared" si="1"/>
        <v>121</v>
      </c>
      <c r="I8" s="6">
        <v>121</v>
      </c>
      <c r="K8" s="63">
        <v>7</v>
      </c>
      <c r="L8" s="64" t="s">
        <v>777</v>
      </c>
      <c r="M8" s="63">
        <v>1007</v>
      </c>
      <c r="N8" s="131">
        <v>7</v>
      </c>
      <c r="O8" t="s">
        <v>827</v>
      </c>
      <c r="P8">
        <v>121</v>
      </c>
    </row>
    <row r="9" spans="1:16" ht="17.25" thickBot="1" x14ac:dyDescent="0.3">
      <c r="A9">
        <v>8</v>
      </c>
      <c r="B9" s="78" t="s">
        <v>818</v>
      </c>
      <c r="C9" t="s">
        <v>775</v>
      </c>
      <c r="D9" t="s">
        <v>776</v>
      </c>
      <c r="E9" s="6">
        <v>49</v>
      </c>
      <c r="F9" s="6">
        <f t="shared" si="0"/>
        <v>1040</v>
      </c>
      <c r="G9" s="6">
        <v>1040</v>
      </c>
      <c r="H9" s="6">
        <f t="shared" si="1"/>
        <v>122</v>
      </c>
      <c r="I9" s="6">
        <v>122</v>
      </c>
      <c r="K9" s="63">
        <v>8</v>
      </c>
      <c r="L9" s="64" t="s">
        <v>780</v>
      </c>
      <c r="M9" s="63">
        <v>1008</v>
      </c>
      <c r="N9" s="132">
        <v>8</v>
      </c>
      <c r="O9" t="s">
        <v>818</v>
      </c>
      <c r="P9">
        <v>122</v>
      </c>
    </row>
    <row r="10" spans="1:16" ht="17.25" thickBot="1" x14ac:dyDescent="0.3">
      <c r="A10">
        <v>9</v>
      </c>
      <c r="B10" s="79" t="s">
        <v>1279</v>
      </c>
      <c r="C10" s="68" t="s">
        <v>778</v>
      </c>
      <c r="D10" s="68" t="s">
        <v>779</v>
      </c>
      <c r="E10" s="74">
        <v>10</v>
      </c>
      <c r="F10" s="74" t="e">
        <f t="shared" si="0"/>
        <v>#N/A</v>
      </c>
      <c r="G10" s="74" t="e">
        <v>#N/A</v>
      </c>
      <c r="H10" s="6" t="e">
        <f t="shared" si="1"/>
        <v>#N/A</v>
      </c>
      <c r="I10" s="83">
        <v>123</v>
      </c>
      <c r="K10" s="63">
        <v>9</v>
      </c>
      <c r="L10" s="64" t="s">
        <v>784</v>
      </c>
      <c r="M10" s="63">
        <v>1009</v>
      </c>
      <c r="N10" s="131">
        <v>9</v>
      </c>
      <c r="O10" t="s">
        <v>809</v>
      </c>
      <c r="P10">
        <v>123</v>
      </c>
    </row>
    <row r="11" spans="1:16" ht="17.25" thickBot="1" x14ac:dyDescent="0.3">
      <c r="A11">
        <v>10</v>
      </c>
      <c r="B11" s="78" t="s">
        <v>868</v>
      </c>
      <c r="C11" t="s">
        <v>781</v>
      </c>
      <c r="D11" t="s">
        <v>782</v>
      </c>
      <c r="E11" s="6">
        <v>53</v>
      </c>
      <c r="F11" s="6">
        <f t="shared" si="0"/>
        <v>1017</v>
      </c>
      <c r="G11" s="6">
        <v>1017</v>
      </c>
      <c r="H11" s="6">
        <f t="shared" si="1"/>
        <v>131</v>
      </c>
      <c r="I11" s="6">
        <v>131</v>
      </c>
      <c r="K11" s="63">
        <v>10</v>
      </c>
      <c r="L11" s="64" t="s">
        <v>787</v>
      </c>
      <c r="M11" s="63">
        <v>1010</v>
      </c>
      <c r="N11" s="132">
        <v>10</v>
      </c>
      <c r="O11" t="s">
        <v>868</v>
      </c>
      <c r="P11">
        <v>131</v>
      </c>
    </row>
    <row r="12" spans="1:16" ht="17.25" thickBot="1" x14ac:dyDescent="0.3">
      <c r="A12">
        <v>11</v>
      </c>
      <c r="B12" s="79" t="s">
        <v>1280</v>
      </c>
      <c r="C12" s="68" t="s">
        <v>785</v>
      </c>
      <c r="D12" s="68" t="s">
        <v>786</v>
      </c>
      <c r="E12" s="74">
        <v>19</v>
      </c>
      <c r="F12" s="74" t="e">
        <f t="shared" si="0"/>
        <v>#N/A</v>
      </c>
      <c r="G12" s="74" t="e">
        <v>#N/A</v>
      </c>
      <c r="H12" s="6" t="e">
        <f t="shared" si="1"/>
        <v>#N/A</v>
      </c>
      <c r="I12" s="83">
        <v>132</v>
      </c>
      <c r="K12" s="63">
        <v>11</v>
      </c>
      <c r="L12" s="64" t="s">
        <v>750</v>
      </c>
      <c r="M12" s="63">
        <v>1011</v>
      </c>
      <c r="N12" s="131">
        <v>11</v>
      </c>
      <c r="O12" t="s">
        <v>861</v>
      </c>
      <c r="P12">
        <v>132</v>
      </c>
    </row>
    <row r="13" spans="1:16" ht="17.25" thickBot="1" x14ac:dyDescent="0.3">
      <c r="A13">
        <v>12</v>
      </c>
      <c r="B13" s="79" t="s">
        <v>875</v>
      </c>
      <c r="C13" s="68" t="s">
        <v>788</v>
      </c>
      <c r="D13" s="68" t="s">
        <v>789</v>
      </c>
      <c r="E13" s="74">
        <v>19</v>
      </c>
      <c r="F13" s="74" t="e">
        <f t="shared" si="0"/>
        <v>#N/A</v>
      </c>
      <c r="G13" s="74" t="e">
        <v>#N/A</v>
      </c>
      <c r="H13" s="6">
        <f t="shared" si="1"/>
        <v>133</v>
      </c>
      <c r="I13" s="6">
        <v>133</v>
      </c>
      <c r="K13" s="63">
        <v>12</v>
      </c>
      <c r="L13" s="64" t="s">
        <v>792</v>
      </c>
      <c r="M13" s="63">
        <v>1012</v>
      </c>
      <c r="N13" s="132">
        <v>12</v>
      </c>
      <c r="O13" t="s">
        <v>875</v>
      </c>
      <c r="P13">
        <v>133</v>
      </c>
    </row>
    <row r="14" spans="1:16" ht="17.25" thickBot="1" x14ac:dyDescent="0.3">
      <c r="A14">
        <v>13</v>
      </c>
      <c r="B14" s="78" t="s">
        <v>845</v>
      </c>
      <c r="C14" t="s">
        <v>774</v>
      </c>
      <c r="D14" t="s">
        <v>790</v>
      </c>
      <c r="E14" s="6">
        <v>46</v>
      </c>
      <c r="F14" s="6">
        <f t="shared" si="0"/>
        <v>1006</v>
      </c>
      <c r="G14" s="6">
        <v>1006</v>
      </c>
      <c r="H14" s="6">
        <f t="shared" si="1"/>
        <v>141</v>
      </c>
      <c r="I14" s="6">
        <v>141</v>
      </c>
      <c r="K14" s="63">
        <v>13</v>
      </c>
      <c r="L14" s="64" t="s">
        <v>795</v>
      </c>
      <c r="M14" s="63">
        <v>1013</v>
      </c>
      <c r="N14" s="131">
        <v>13</v>
      </c>
      <c r="O14" t="s">
        <v>845</v>
      </c>
      <c r="P14">
        <v>141</v>
      </c>
    </row>
    <row r="15" spans="1:16" ht="17.25" thickBot="1" x14ac:dyDescent="0.3">
      <c r="A15">
        <v>14</v>
      </c>
      <c r="B15" s="78" t="s">
        <v>853</v>
      </c>
      <c r="C15" t="s">
        <v>793</v>
      </c>
      <c r="D15" t="s">
        <v>794</v>
      </c>
      <c r="E15" s="6">
        <v>56</v>
      </c>
      <c r="F15" s="6">
        <f t="shared" si="0"/>
        <v>1032</v>
      </c>
      <c r="G15" s="6">
        <v>1032</v>
      </c>
      <c r="H15" s="6">
        <f t="shared" si="1"/>
        <v>142</v>
      </c>
      <c r="I15" s="6">
        <v>142</v>
      </c>
      <c r="K15" s="63">
        <v>14</v>
      </c>
      <c r="L15" s="64" t="s">
        <v>798</v>
      </c>
      <c r="M15" s="63">
        <v>1014</v>
      </c>
      <c r="N15" s="132">
        <v>14</v>
      </c>
      <c r="O15" t="s">
        <v>853</v>
      </c>
      <c r="P15">
        <v>142</v>
      </c>
    </row>
    <row r="16" spans="1:16" ht="17.25" thickBot="1" x14ac:dyDescent="0.3">
      <c r="A16">
        <v>15</v>
      </c>
      <c r="B16" s="79" t="s">
        <v>836</v>
      </c>
      <c r="C16" s="68" t="s">
        <v>796</v>
      </c>
      <c r="D16" s="68" t="s">
        <v>797</v>
      </c>
      <c r="E16" s="74">
        <v>11</v>
      </c>
      <c r="F16" s="74" t="e">
        <f t="shared" si="0"/>
        <v>#N/A</v>
      </c>
      <c r="G16" s="74">
        <v>2009</v>
      </c>
      <c r="H16" s="6">
        <f t="shared" si="1"/>
        <v>143</v>
      </c>
      <c r="I16" s="6">
        <v>143</v>
      </c>
      <c r="K16" s="63">
        <v>15</v>
      </c>
      <c r="L16" s="64" t="s">
        <v>802</v>
      </c>
      <c r="M16" s="63">
        <v>1015</v>
      </c>
      <c r="N16" s="131">
        <v>15</v>
      </c>
      <c r="O16" t="s">
        <v>836</v>
      </c>
      <c r="P16">
        <v>143</v>
      </c>
    </row>
    <row r="17" spans="1:16" ht="17.25" thickBot="1" x14ac:dyDescent="0.3">
      <c r="A17">
        <v>16</v>
      </c>
      <c r="B17" s="78" t="s">
        <v>883</v>
      </c>
      <c r="C17" t="s">
        <v>799</v>
      </c>
      <c r="D17" t="s">
        <v>800</v>
      </c>
      <c r="E17" s="6">
        <v>52</v>
      </c>
      <c r="F17" s="6">
        <f t="shared" si="0"/>
        <v>1020</v>
      </c>
      <c r="G17" s="6">
        <v>1020</v>
      </c>
      <c r="H17" s="6">
        <f t="shared" si="1"/>
        <v>151</v>
      </c>
      <c r="I17" s="6">
        <v>151</v>
      </c>
      <c r="K17" s="63">
        <v>16</v>
      </c>
      <c r="L17" s="64" t="s">
        <v>805</v>
      </c>
      <c r="M17" s="63">
        <v>1016</v>
      </c>
      <c r="N17" s="132">
        <v>16</v>
      </c>
      <c r="O17" t="s">
        <v>883</v>
      </c>
      <c r="P17">
        <v>151</v>
      </c>
    </row>
    <row r="18" spans="1:16" ht="17.25" thickBot="1" x14ac:dyDescent="0.3">
      <c r="A18">
        <v>17</v>
      </c>
      <c r="B18" s="78" t="s">
        <v>890</v>
      </c>
      <c r="C18" t="s">
        <v>803</v>
      </c>
      <c r="D18" t="s">
        <v>804</v>
      </c>
      <c r="E18" s="6">
        <v>44</v>
      </c>
      <c r="F18" s="6">
        <f t="shared" si="0"/>
        <v>1030</v>
      </c>
      <c r="G18" s="6">
        <v>1030</v>
      </c>
      <c r="H18" s="6">
        <f t="shared" si="1"/>
        <v>161</v>
      </c>
      <c r="I18" s="6">
        <v>161</v>
      </c>
      <c r="K18" s="63">
        <v>17</v>
      </c>
      <c r="L18" s="64" t="s">
        <v>781</v>
      </c>
      <c r="M18" s="63">
        <v>1017</v>
      </c>
      <c r="N18" s="131">
        <v>17</v>
      </c>
      <c r="O18" t="s">
        <v>890</v>
      </c>
      <c r="P18">
        <v>161</v>
      </c>
    </row>
    <row r="19" spans="1:16" ht="17.25" thickBot="1" x14ac:dyDescent="0.3">
      <c r="A19">
        <v>18</v>
      </c>
      <c r="B19" s="78" t="s">
        <v>906</v>
      </c>
      <c r="C19" t="s">
        <v>784</v>
      </c>
      <c r="D19" t="s">
        <v>806</v>
      </c>
      <c r="E19" s="6">
        <v>56</v>
      </c>
      <c r="F19" s="6">
        <f t="shared" si="0"/>
        <v>1009</v>
      </c>
      <c r="G19" s="6">
        <v>1009</v>
      </c>
      <c r="H19" s="6">
        <f t="shared" si="1"/>
        <v>171</v>
      </c>
      <c r="I19" s="6">
        <v>171</v>
      </c>
      <c r="K19" s="63">
        <v>18</v>
      </c>
      <c r="L19" s="64" t="s">
        <v>810</v>
      </c>
      <c r="M19" s="63">
        <v>1018</v>
      </c>
      <c r="N19" s="132">
        <v>18</v>
      </c>
      <c r="O19" t="s">
        <v>906</v>
      </c>
      <c r="P19">
        <v>171</v>
      </c>
    </row>
    <row r="20" spans="1:16" ht="17.25" thickBot="1" x14ac:dyDescent="0.3">
      <c r="A20">
        <v>19</v>
      </c>
      <c r="B20" s="79" t="s">
        <v>1281</v>
      </c>
      <c r="C20" s="68" t="s">
        <v>807</v>
      </c>
      <c r="D20" s="68" t="s">
        <v>808</v>
      </c>
      <c r="E20" s="74">
        <v>9</v>
      </c>
      <c r="F20" s="74" t="e">
        <f t="shared" si="0"/>
        <v>#N/A</v>
      </c>
      <c r="G20" s="74" t="e">
        <v>#N/A</v>
      </c>
      <c r="H20" s="6" t="e">
        <f t="shared" si="1"/>
        <v>#N/A</v>
      </c>
      <c r="I20" s="83">
        <v>172</v>
      </c>
      <c r="K20" s="63">
        <v>19</v>
      </c>
      <c r="L20" s="64" t="s">
        <v>813</v>
      </c>
      <c r="M20" s="63">
        <v>1019</v>
      </c>
      <c r="N20" s="131">
        <v>19</v>
      </c>
      <c r="O20" t="s">
        <v>897</v>
      </c>
      <c r="P20">
        <v>172</v>
      </c>
    </row>
    <row r="21" spans="1:16" ht="17.25" thickBot="1" x14ac:dyDescent="0.3">
      <c r="A21">
        <v>20</v>
      </c>
      <c r="B21" s="78" t="s">
        <v>914</v>
      </c>
      <c r="C21" t="s">
        <v>811</v>
      </c>
      <c r="D21" t="s">
        <v>812</v>
      </c>
      <c r="E21" s="6">
        <v>20</v>
      </c>
      <c r="F21" s="6">
        <f t="shared" si="0"/>
        <v>1049</v>
      </c>
      <c r="G21" s="6">
        <v>1049</v>
      </c>
      <c r="H21" s="6">
        <f t="shared" si="1"/>
        <v>181</v>
      </c>
      <c r="I21" s="6">
        <v>181</v>
      </c>
      <c r="K21" s="63">
        <v>20</v>
      </c>
      <c r="L21" s="64" t="s">
        <v>799</v>
      </c>
      <c r="M21" s="63">
        <v>1020</v>
      </c>
      <c r="N21" s="132">
        <v>20</v>
      </c>
      <c r="O21" t="s">
        <v>914</v>
      </c>
      <c r="P21">
        <v>181</v>
      </c>
    </row>
    <row r="22" spans="1:16" ht="17.25" thickBot="1" x14ac:dyDescent="0.3">
      <c r="A22">
        <v>21</v>
      </c>
      <c r="B22" s="78" t="s">
        <v>928</v>
      </c>
      <c r="C22" t="s">
        <v>814</v>
      </c>
      <c r="D22" t="s">
        <v>815</v>
      </c>
      <c r="E22" s="6">
        <v>59</v>
      </c>
      <c r="F22" s="6">
        <f t="shared" si="0"/>
        <v>1026</v>
      </c>
      <c r="G22" s="6">
        <v>1026</v>
      </c>
      <c r="H22" s="6">
        <f t="shared" si="1"/>
        <v>191</v>
      </c>
      <c r="I22" s="6">
        <v>191</v>
      </c>
      <c r="K22" s="63">
        <v>21</v>
      </c>
      <c r="L22" s="64" t="s">
        <v>819</v>
      </c>
      <c r="M22" s="63">
        <v>1021</v>
      </c>
      <c r="N22" s="131">
        <v>21</v>
      </c>
      <c r="O22" t="s">
        <v>928</v>
      </c>
      <c r="P22">
        <v>191</v>
      </c>
    </row>
    <row r="23" spans="1:16" ht="17.25" thickBot="1" x14ac:dyDescent="0.3">
      <c r="A23">
        <v>22</v>
      </c>
      <c r="B23" s="78" t="s">
        <v>920</v>
      </c>
      <c r="C23" t="s">
        <v>816</v>
      </c>
      <c r="D23" t="s">
        <v>817</v>
      </c>
      <c r="E23" s="6">
        <v>28</v>
      </c>
      <c r="F23" s="6">
        <f t="shared" si="0"/>
        <v>2014</v>
      </c>
      <c r="G23" s="6">
        <v>2014</v>
      </c>
      <c r="H23" s="6">
        <f t="shared" si="1"/>
        <v>192</v>
      </c>
      <c r="I23" s="6">
        <v>192</v>
      </c>
      <c r="K23" s="63">
        <v>22</v>
      </c>
      <c r="L23" s="64" t="s">
        <v>822</v>
      </c>
      <c r="M23" s="63">
        <v>1022</v>
      </c>
      <c r="N23" s="132">
        <v>22</v>
      </c>
      <c r="O23" t="s">
        <v>920</v>
      </c>
      <c r="P23">
        <v>192</v>
      </c>
    </row>
    <row r="24" spans="1:16" ht="17.25" thickBot="1" x14ac:dyDescent="0.3">
      <c r="A24">
        <v>23</v>
      </c>
      <c r="B24" s="78" t="s">
        <v>1043</v>
      </c>
      <c r="C24" t="s">
        <v>820</v>
      </c>
      <c r="D24" t="s">
        <v>821</v>
      </c>
      <c r="E24" s="6">
        <v>38</v>
      </c>
      <c r="F24" s="6">
        <f t="shared" si="0"/>
        <v>1042</v>
      </c>
      <c r="G24" s="6">
        <v>1042</v>
      </c>
      <c r="H24" s="6">
        <f t="shared" si="1"/>
        <v>311</v>
      </c>
      <c r="I24" s="6">
        <v>311</v>
      </c>
      <c r="K24" s="63">
        <v>23</v>
      </c>
      <c r="L24" s="64" t="s">
        <v>824</v>
      </c>
      <c r="M24" s="63">
        <v>1023</v>
      </c>
      <c r="N24" s="131">
        <v>23</v>
      </c>
      <c r="O24" t="s">
        <v>1043</v>
      </c>
      <c r="P24">
        <v>311</v>
      </c>
    </row>
    <row r="25" spans="1:16" ht="17.25" thickBot="1" x14ac:dyDescent="0.3">
      <c r="A25">
        <v>24</v>
      </c>
      <c r="B25" s="78" t="s">
        <v>933</v>
      </c>
      <c r="C25" t="s">
        <v>761</v>
      </c>
      <c r="D25" t="s">
        <v>823</v>
      </c>
      <c r="E25" s="6">
        <v>64</v>
      </c>
      <c r="F25" s="6">
        <f t="shared" si="0"/>
        <v>1002</v>
      </c>
      <c r="G25" s="6">
        <v>1002</v>
      </c>
      <c r="H25" s="6">
        <f t="shared" si="1"/>
        <v>321</v>
      </c>
      <c r="I25" s="6">
        <v>321</v>
      </c>
      <c r="K25" s="63">
        <v>24</v>
      </c>
      <c r="L25" s="64" t="s">
        <v>828</v>
      </c>
      <c r="M25" s="63">
        <v>1024</v>
      </c>
      <c r="N25" s="132">
        <v>24</v>
      </c>
      <c r="O25" t="s">
        <v>933</v>
      </c>
      <c r="P25">
        <v>321</v>
      </c>
    </row>
    <row r="26" spans="1:16" ht="17.25" thickBot="1" x14ac:dyDescent="0.3">
      <c r="A26">
        <v>25</v>
      </c>
      <c r="B26" s="80" t="s">
        <v>1282</v>
      </c>
      <c r="C26" s="75" t="s">
        <v>825</v>
      </c>
      <c r="D26" s="75" t="s">
        <v>826</v>
      </c>
      <c r="E26" s="76">
        <v>25</v>
      </c>
      <c r="F26" s="76" t="e">
        <f t="shared" si="0"/>
        <v>#N/A</v>
      </c>
      <c r="G26" s="76" t="e">
        <v>#N/A</v>
      </c>
      <c r="H26" s="6" t="e">
        <f t="shared" si="1"/>
        <v>#N/A</v>
      </c>
      <c r="I26" s="83">
        <v>322</v>
      </c>
      <c r="K26" s="63">
        <v>25</v>
      </c>
      <c r="L26" s="64" t="s">
        <v>831</v>
      </c>
      <c r="M26" s="63">
        <v>1025</v>
      </c>
      <c r="N26" s="131">
        <v>25</v>
      </c>
      <c r="O26" t="s">
        <v>939</v>
      </c>
      <c r="P26">
        <v>322</v>
      </c>
    </row>
    <row r="27" spans="1:16" ht="17.25" thickBot="1" x14ac:dyDescent="0.3">
      <c r="A27">
        <v>26</v>
      </c>
      <c r="B27" s="78" t="s">
        <v>947</v>
      </c>
      <c r="C27" t="s">
        <v>829</v>
      </c>
      <c r="D27" t="s">
        <v>830</v>
      </c>
      <c r="E27" s="6">
        <v>58</v>
      </c>
      <c r="F27" s="6">
        <f t="shared" si="0"/>
        <v>1037</v>
      </c>
      <c r="G27" s="6">
        <v>1037</v>
      </c>
      <c r="H27" s="6">
        <f t="shared" si="1"/>
        <v>323</v>
      </c>
      <c r="I27" s="6">
        <v>323</v>
      </c>
      <c r="K27" s="63">
        <v>26</v>
      </c>
      <c r="L27" s="64" t="s">
        <v>814</v>
      </c>
      <c r="M27" s="63">
        <v>1026</v>
      </c>
      <c r="N27" s="132">
        <v>26</v>
      </c>
      <c r="O27" t="s">
        <v>947</v>
      </c>
      <c r="P27">
        <v>323</v>
      </c>
    </row>
    <row r="28" spans="1:16" ht="17.25" thickBot="1" x14ac:dyDescent="0.3">
      <c r="A28">
        <v>27</v>
      </c>
      <c r="B28" s="80" t="s">
        <v>1283</v>
      </c>
      <c r="C28" s="75" t="s">
        <v>832</v>
      </c>
      <c r="D28" s="75" t="s">
        <v>833</v>
      </c>
      <c r="E28" s="76">
        <v>19</v>
      </c>
      <c r="F28" s="76" t="e">
        <f t="shared" si="0"/>
        <v>#N/A</v>
      </c>
      <c r="G28" s="76" t="e">
        <v>#N/A</v>
      </c>
      <c r="H28" s="6" t="e">
        <f t="shared" si="1"/>
        <v>#N/A</v>
      </c>
      <c r="I28" s="83">
        <v>324</v>
      </c>
      <c r="K28" s="63">
        <v>27</v>
      </c>
      <c r="L28" s="64" t="s">
        <v>837</v>
      </c>
      <c r="M28" s="63">
        <v>1027</v>
      </c>
      <c r="N28" s="131">
        <v>27</v>
      </c>
      <c r="O28" t="s">
        <v>953</v>
      </c>
      <c r="P28">
        <v>324</v>
      </c>
    </row>
    <row r="29" spans="1:16" ht="17.25" thickBot="1" x14ac:dyDescent="0.3">
      <c r="A29">
        <v>28</v>
      </c>
      <c r="B29" s="78" t="s">
        <v>996</v>
      </c>
      <c r="C29" t="s">
        <v>834</v>
      </c>
      <c r="D29" t="s">
        <v>835</v>
      </c>
      <c r="E29" s="6">
        <v>20</v>
      </c>
      <c r="F29" s="6">
        <f t="shared" si="0"/>
        <v>1063</v>
      </c>
      <c r="G29" s="6">
        <v>1063</v>
      </c>
      <c r="H29" s="6">
        <f t="shared" si="1"/>
        <v>331</v>
      </c>
      <c r="I29" s="6">
        <v>331</v>
      </c>
      <c r="K29" s="63">
        <v>28</v>
      </c>
      <c r="L29" s="64" t="s">
        <v>840</v>
      </c>
      <c r="M29" s="63">
        <v>1028</v>
      </c>
      <c r="N29" s="132">
        <v>28</v>
      </c>
      <c r="O29" t="s">
        <v>996</v>
      </c>
      <c r="P29">
        <v>331</v>
      </c>
    </row>
    <row r="30" spans="1:16" ht="17.25" thickBot="1" x14ac:dyDescent="0.3">
      <c r="A30">
        <v>29</v>
      </c>
      <c r="B30" s="78" t="s">
        <v>968</v>
      </c>
      <c r="C30" t="s">
        <v>838</v>
      </c>
      <c r="D30" t="s">
        <v>839</v>
      </c>
      <c r="E30" s="6">
        <v>18</v>
      </c>
      <c r="F30" s="6">
        <f t="shared" si="0"/>
        <v>2001</v>
      </c>
      <c r="G30" s="6">
        <v>2001</v>
      </c>
      <c r="H30" s="6">
        <f t="shared" si="1"/>
        <v>332</v>
      </c>
      <c r="I30" s="6">
        <v>332</v>
      </c>
      <c r="K30" s="63">
        <v>29</v>
      </c>
      <c r="L30" s="64" t="s">
        <v>842</v>
      </c>
      <c r="M30" s="63">
        <v>1029</v>
      </c>
      <c r="N30" s="131">
        <v>29</v>
      </c>
      <c r="O30" t="s">
        <v>968</v>
      </c>
      <c r="P30">
        <v>332</v>
      </c>
    </row>
    <row r="31" spans="1:16" ht="17.25" thickBot="1" x14ac:dyDescent="0.3">
      <c r="A31">
        <v>30</v>
      </c>
      <c r="B31" s="78" t="s">
        <v>984</v>
      </c>
      <c r="C31" t="s">
        <v>777</v>
      </c>
      <c r="D31" t="s">
        <v>841</v>
      </c>
      <c r="E31" s="6">
        <v>51</v>
      </c>
      <c r="F31" s="6">
        <f t="shared" si="0"/>
        <v>1007</v>
      </c>
      <c r="G31" s="6">
        <v>1007</v>
      </c>
      <c r="H31" s="6">
        <f t="shared" si="1"/>
        <v>333</v>
      </c>
      <c r="I31" s="6">
        <v>333</v>
      </c>
      <c r="K31" s="63">
        <v>30</v>
      </c>
      <c r="L31" s="64" t="s">
        <v>803</v>
      </c>
      <c r="M31" s="63">
        <v>1030</v>
      </c>
      <c r="N31" s="132">
        <v>30</v>
      </c>
      <c r="O31" t="s">
        <v>984</v>
      </c>
      <c r="P31">
        <v>333</v>
      </c>
    </row>
    <row r="32" spans="1:16" ht="17.25" thickBot="1" x14ac:dyDescent="0.3">
      <c r="A32">
        <v>31</v>
      </c>
      <c r="B32" s="78" t="s">
        <v>988</v>
      </c>
      <c r="C32" t="s">
        <v>843</v>
      </c>
      <c r="D32" t="s">
        <v>844</v>
      </c>
      <c r="E32" s="6">
        <v>81</v>
      </c>
      <c r="F32" s="6">
        <f t="shared" si="0"/>
        <v>1034</v>
      </c>
      <c r="G32" s="6">
        <v>1034</v>
      </c>
      <c r="H32" s="6">
        <f t="shared" si="1"/>
        <v>334</v>
      </c>
      <c r="I32" s="6">
        <v>334</v>
      </c>
      <c r="K32" s="63">
        <v>31</v>
      </c>
      <c r="L32" s="64" t="s">
        <v>848</v>
      </c>
      <c r="M32" s="63">
        <v>1031</v>
      </c>
      <c r="N32" s="131">
        <v>31</v>
      </c>
      <c r="O32" t="s">
        <v>988</v>
      </c>
      <c r="P32">
        <v>334</v>
      </c>
    </row>
    <row r="33" spans="1:16" ht="17.25" thickBot="1" x14ac:dyDescent="0.3">
      <c r="A33">
        <v>32</v>
      </c>
      <c r="B33" s="80" t="s">
        <v>976</v>
      </c>
      <c r="C33" s="75" t="s">
        <v>846</v>
      </c>
      <c r="D33" s="75" t="s">
        <v>847</v>
      </c>
      <c r="E33" s="76">
        <v>5</v>
      </c>
      <c r="F33" s="76" t="e">
        <f t="shared" si="0"/>
        <v>#N/A</v>
      </c>
      <c r="G33" s="76" t="e">
        <v>#N/A</v>
      </c>
      <c r="H33" s="6">
        <f t="shared" si="1"/>
        <v>335</v>
      </c>
      <c r="I33" s="6">
        <v>335</v>
      </c>
      <c r="K33" s="63">
        <v>32</v>
      </c>
      <c r="L33" s="64" t="s">
        <v>793</v>
      </c>
      <c r="M33" s="63">
        <v>1032</v>
      </c>
      <c r="N33" s="132">
        <v>32</v>
      </c>
      <c r="O33" t="s">
        <v>976</v>
      </c>
      <c r="P33">
        <v>335</v>
      </c>
    </row>
    <row r="34" spans="1:16" ht="17.25" thickBot="1" x14ac:dyDescent="0.3">
      <c r="A34">
        <v>33</v>
      </c>
      <c r="B34" s="80" t="s">
        <v>1284</v>
      </c>
      <c r="C34" s="75" t="s">
        <v>849</v>
      </c>
      <c r="D34" s="75" t="s">
        <v>850</v>
      </c>
      <c r="E34" s="76">
        <v>16</v>
      </c>
      <c r="F34" s="76" t="e">
        <f t="shared" si="0"/>
        <v>#N/A</v>
      </c>
      <c r="G34" s="76" t="e">
        <v>#N/A</v>
      </c>
      <c r="H34" s="6" t="e">
        <f t="shared" si="1"/>
        <v>#N/A</v>
      </c>
      <c r="I34" s="83">
        <v>336</v>
      </c>
      <c r="K34" s="63">
        <v>33</v>
      </c>
      <c r="L34" s="64" t="s">
        <v>854</v>
      </c>
      <c r="M34" s="63">
        <v>1033</v>
      </c>
      <c r="N34" s="131">
        <v>33</v>
      </c>
      <c r="O34" t="s">
        <v>980</v>
      </c>
      <c r="P34">
        <v>336</v>
      </c>
    </row>
    <row r="35" spans="1:16" ht="17.25" thickBot="1" x14ac:dyDescent="0.3">
      <c r="A35">
        <v>34</v>
      </c>
      <c r="B35" s="78" t="s">
        <v>961</v>
      </c>
      <c r="C35" t="s">
        <v>851</v>
      </c>
      <c r="D35" t="s">
        <v>852</v>
      </c>
      <c r="E35" s="6">
        <v>39</v>
      </c>
      <c r="F35" s="6">
        <f t="shared" si="0"/>
        <v>2003</v>
      </c>
      <c r="G35" s="6">
        <v>2003</v>
      </c>
      <c r="H35" s="6">
        <f t="shared" si="1"/>
        <v>341</v>
      </c>
      <c r="I35" s="6">
        <v>341</v>
      </c>
      <c r="K35" s="63">
        <v>34</v>
      </c>
      <c r="L35" s="64" t="s">
        <v>843</v>
      </c>
      <c r="M35" s="63">
        <v>1034</v>
      </c>
      <c r="N35" s="132">
        <v>34</v>
      </c>
      <c r="O35" t="s">
        <v>961</v>
      </c>
      <c r="P35">
        <v>341</v>
      </c>
    </row>
    <row r="36" spans="1:16" ht="17.25" thickBot="1" x14ac:dyDescent="0.3">
      <c r="A36">
        <v>35</v>
      </c>
      <c r="B36" s="78" t="s">
        <v>992</v>
      </c>
      <c r="C36" t="s">
        <v>855</v>
      </c>
      <c r="D36" t="s">
        <v>856</v>
      </c>
      <c r="E36" s="6">
        <v>22</v>
      </c>
      <c r="F36" s="6">
        <f t="shared" si="0"/>
        <v>1057</v>
      </c>
      <c r="G36" s="6">
        <v>1057</v>
      </c>
      <c r="H36" s="6">
        <f t="shared" si="1"/>
        <v>342</v>
      </c>
      <c r="I36" s="6">
        <v>342</v>
      </c>
      <c r="K36" s="63">
        <v>35</v>
      </c>
      <c r="L36" s="64" t="s">
        <v>858</v>
      </c>
      <c r="M36" s="63">
        <v>1035</v>
      </c>
      <c r="N36" s="131">
        <v>35</v>
      </c>
      <c r="O36" t="s">
        <v>992</v>
      </c>
      <c r="P36">
        <v>342</v>
      </c>
    </row>
    <row r="37" spans="1:16" ht="17.25" thickBot="1" x14ac:dyDescent="0.3">
      <c r="A37">
        <v>36</v>
      </c>
      <c r="B37" s="78" t="s">
        <v>1012</v>
      </c>
      <c r="C37" t="s">
        <v>824</v>
      </c>
      <c r="D37" t="s">
        <v>857</v>
      </c>
      <c r="E37" s="6">
        <v>39</v>
      </c>
      <c r="F37" s="6">
        <f t="shared" si="0"/>
        <v>1023</v>
      </c>
      <c r="G37" s="6">
        <v>1023</v>
      </c>
      <c r="H37" s="6">
        <f t="shared" si="1"/>
        <v>351</v>
      </c>
      <c r="I37" s="6">
        <v>351</v>
      </c>
      <c r="K37" s="63">
        <v>36</v>
      </c>
      <c r="L37" s="64" t="s">
        <v>862</v>
      </c>
      <c r="M37" s="63">
        <v>1036</v>
      </c>
      <c r="N37" s="132">
        <v>36</v>
      </c>
      <c r="O37" t="s">
        <v>1012</v>
      </c>
      <c r="P37">
        <v>351</v>
      </c>
    </row>
    <row r="38" spans="1:16" ht="17.25" thickBot="1" x14ac:dyDescent="0.3">
      <c r="A38">
        <v>37</v>
      </c>
      <c r="B38" s="78" t="s">
        <v>1024</v>
      </c>
      <c r="C38" t="s">
        <v>859</v>
      </c>
      <c r="D38" t="s">
        <v>860</v>
      </c>
      <c r="E38" s="6">
        <v>17</v>
      </c>
      <c r="F38" s="6">
        <f t="shared" si="0"/>
        <v>1056</v>
      </c>
      <c r="G38" s="6">
        <v>1056</v>
      </c>
      <c r="H38" s="6">
        <f t="shared" si="1"/>
        <v>352</v>
      </c>
      <c r="I38" s="6">
        <v>352</v>
      </c>
      <c r="K38" s="63">
        <v>37</v>
      </c>
      <c r="L38" s="64" t="s">
        <v>829</v>
      </c>
      <c r="M38" s="63">
        <v>1037</v>
      </c>
      <c r="N38" s="131">
        <v>37</v>
      </c>
      <c r="O38" t="s">
        <v>1024</v>
      </c>
      <c r="P38">
        <v>352</v>
      </c>
    </row>
    <row r="39" spans="1:16" ht="17.25" thickBot="1" x14ac:dyDescent="0.3">
      <c r="A39">
        <v>38</v>
      </c>
      <c r="B39" s="78" t="s">
        <v>1020</v>
      </c>
      <c r="C39" t="s">
        <v>837</v>
      </c>
      <c r="D39" t="s">
        <v>863</v>
      </c>
      <c r="E39" s="6">
        <v>67</v>
      </c>
      <c r="F39" s="6">
        <f t="shared" si="0"/>
        <v>1027</v>
      </c>
      <c r="G39" s="6">
        <v>1027</v>
      </c>
      <c r="H39" s="6">
        <f t="shared" si="1"/>
        <v>353</v>
      </c>
      <c r="I39" s="6">
        <v>353</v>
      </c>
      <c r="K39" s="63">
        <v>38</v>
      </c>
      <c r="L39" s="64" t="s">
        <v>866</v>
      </c>
      <c r="M39" s="63">
        <v>1038</v>
      </c>
      <c r="N39" s="132">
        <v>38</v>
      </c>
      <c r="O39" t="s">
        <v>1020</v>
      </c>
      <c r="P39">
        <v>353</v>
      </c>
    </row>
    <row r="40" spans="1:16" ht="17.25" thickBot="1" x14ac:dyDescent="0.3">
      <c r="A40">
        <v>39</v>
      </c>
      <c r="B40" s="79" t="s">
        <v>1000</v>
      </c>
      <c r="C40" s="68" t="s">
        <v>864</v>
      </c>
      <c r="D40" s="68" t="s">
        <v>865</v>
      </c>
      <c r="E40" s="74">
        <v>11</v>
      </c>
      <c r="F40" s="74" t="e">
        <f t="shared" si="0"/>
        <v>#N/A</v>
      </c>
      <c r="G40" s="74" t="e">
        <v>#N/A</v>
      </c>
      <c r="H40" s="6">
        <f t="shared" si="1"/>
        <v>354</v>
      </c>
      <c r="I40" s="6">
        <v>354</v>
      </c>
      <c r="K40" s="63">
        <v>39</v>
      </c>
      <c r="L40" s="64" t="s">
        <v>869</v>
      </c>
      <c r="M40" s="63">
        <v>1039</v>
      </c>
      <c r="N40" s="131">
        <v>39</v>
      </c>
      <c r="O40" t="s">
        <v>1000</v>
      </c>
      <c r="P40">
        <v>354</v>
      </c>
    </row>
    <row r="41" spans="1:16" ht="17.25" thickBot="1" x14ac:dyDescent="0.3">
      <c r="A41">
        <v>40</v>
      </c>
      <c r="B41" s="78" t="s">
        <v>1004</v>
      </c>
      <c r="C41" t="s">
        <v>780</v>
      </c>
      <c r="D41" t="s">
        <v>867</v>
      </c>
      <c r="E41" s="6">
        <v>52</v>
      </c>
      <c r="F41" s="6">
        <f t="shared" si="0"/>
        <v>1008</v>
      </c>
      <c r="G41" s="6">
        <v>1008</v>
      </c>
      <c r="H41" s="6">
        <f t="shared" si="1"/>
        <v>355</v>
      </c>
      <c r="I41" s="6">
        <v>355</v>
      </c>
      <c r="K41" s="63">
        <v>40</v>
      </c>
      <c r="L41" s="64" t="s">
        <v>775</v>
      </c>
      <c r="M41" s="63">
        <v>1040</v>
      </c>
      <c r="N41" s="132">
        <v>40</v>
      </c>
      <c r="O41" t="s">
        <v>1004</v>
      </c>
      <c r="P41">
        <v>355</v>
      </c>
    </row>
    <row r="42" spans="1:16" ht="17.25" thickBot="1" x14ac:dyDescent="0.3">
      <c r="A42">
        <v>41</v>
      </c>
      <c r="B42" s="78" t="s">
        <v>1016</v>
      </c>
      <c r="C42" t="s">
        <v>870</v>
      </c>
      <c r="D42" t="s">
        <v>871</v>
      </c>
      <c r="E42" s="6">
        <v>69</v>
      </c>
      <c r="F42" s="6">
        <f t="shared" si="0"/>
        <v>1041</v>
      </c>
      <c r="G42" s="6">
        <v>1041</v>
      </c>
      <c r="H42" s="6">
        <f t="shared" si="1"/>
        <v>356</v>
      </c>
      <c r="I42" s="6">
        <v>356</v>
      </c>
      <c r="K42" s="63">
        <v>41</v>
      </c>
      <c r="L42" s="64" t="s">
        <v>870</v>
      </c>
      <c r="M42" s="63">
        <v>1041</v>
      </c>
      <c r="N42" s="131">
        <v>41</v>
      </c>
      <c r="O42" t="s">
        <v>1016</v>
      </c>
      <c r="P42">
        <v>356</v>
      </c>
    </row>
    <row r="43" spans="1:16" ht="17.25" thickBot="1" x14ac:dyDescent="0.3">
      <c r="A43">
        <v>42</v>
      </c>
      <c r="B43" s="79" t="s">
        <v>1285</v>
      </c>
      <c r="C43" s="68" t="s">
        <v>872</v>
      </c>
      <c r="D43" s="68" t="s">
        <v>873</v>
      </c>
      <c r="E43" s="74">
        <v>11</v>
      </c>
      <c r="F43" s="74" t="e">
        <f t="shared" si="0"/>
        <v>#N/A</v>
      </c>
      <c r="G43" s="74" t="e">
        <v>#N/A</v>
      </c>
      <c r="H43" s="6" t="e">
        <f t="shared" si="1"/>
        <v>#N/A</v>
      </c>
      <c r="I43" s="83">
        <v>357</v>
      </c>
      <c r="K43" s="63">
        <v>42</v>
      </c>
      <c r="L43" s="64" t="s">
        <v>820</v>
      </c>
      <c r="M43" s="63">
        <v>1042</v>
      </c>
      <c r="N43" s="132">
        <v>42</v>
      </c>
      <c r="O43" t="s">
        <v>1008</v>
      </c>
      <c r="P43">
        <v>357</v>
      </c>
    </row>
    <row r="44" spans="1:16" ht="17.25" thickBot="1" x14ac:dyDescent="0.3">
      <c r="A44">
        <v>43</v>
      </c>
      <c r="B44" s="78" t="s">
        <v>1029</v>
      </c>
      <c r="C44" t="s">
        <v>758</v>
      </c>
      <c r="D44" t="s">
        <v>874</v>
      </c>
      <c r="E44" s="6">
        <v>68</v>
      </c>
      <c r="F44" s="6">
        <f t="shared" si="0"/>
        <v>1001</v>
      </c>
      <c r="G44" s="6">
        <v>1001</v>
      </c>
      <c r="H44" s="6">
        <f t="shared" si="1"/>
        <v>361</v>
      </c>
      <c r="I44" s="6">
        <v>361</v>
      </c>
      <c r="K44" s="63">
        <v>43</v>
      </c>
      <c r="L44" s="64" t="s">
        <v>877</v>
      </c>
      <c r="M44" s="63">
        <v>1043</v>
      </c>
      <c r="N44" s="131">
        <v>43</v>
      </c>
      <c r="O44" t="s">
        <v>1029</v>
      </c>
      <c r="P44">
        <v>361</v>
      </c>
    </row>
    <row r="45" spans="1:16" ht="17.25" thickBot="1" x14ac:dyDescent="0.3">
      <c r="A45">
        <v>44</v>
      </c>
      <c r="B45" s="78" t="s">
        <v>1031</v>
      </c>
      <c r="C45" t="s">
        <v>866</v>
      </c>
      <c r="D45" t="s">
        <v>876</v>
      </c>
      <c r="E45" s="6">
        <v>59</v>
      </c>
      <c r="F45" s="6">
        <f t="shared" si="0"/>
        <v>1038</v>
      </c>
      <c r="G45" s="6">
        <v>1038</v>
      </c>
      <c r="H45" s="6">
        <f t="shared" si="1"/>
        <v>362</v>
      </c>
      <c r="I45" s="6">
        <v>362</v>
      </c>
      <c r="K45" s="63">
        <v>44</v>
      </c>
      <c r="L45" s="64" t="s">
        <v>880</v>
      </c>
      <c r="M45" s="63">
        <v>1044</v>
      </c>
      <c r="N45" s="132">
        <v>44</v>
      </c>
      <c r="O45" t="s">
        <v>1031</v>
      </c>
      <c r="P45">
        <v>362</v>
      </c>
    </row>
    <row r="46" spans="1:16" ht="17.25" thickBot="1" x14ac:dyDescent="0.3">
      <c r="A46">
        <v>45</v>
      </c>
      <c r="B46" s="79" t="s">
        <v>1286</v>
      </c>
      <c r="C46" s="68" t="s">
        <v>878</v>
      </c>
      <c r="D46" s="68" t="s">
        <v>879</v>
      </c>
      <c r="E46" s="74">
        <v>21</v>
      </c>
      <c r="F46" s="74" t="e">
        <f t="shared" si="0"/>
        <v>#N/A</v>
      </c>
      <c r="G46" s="74" t="e">
        <v>#N/A</v>
      </c>
      <c r="H46" s="6" t="e">
        <f t="shared" si="1"/>
        <v>#N/A</v>
      </c>
      <c r="I46" s="83">
        <v>363</v>
      </c>
      <c r="K46" s="63">
        <v>45</v>
      </c>
      <c r="L46" s="64" t="s">
        <v>884</v>
      </c>
      <c r="M46" s="63">
        <v>1045</v>
      </c>
      <c r="N46" s="131">
        <v>45</v>
      </c>
      <c r="O46" t="s">
        <v>1032</v>
      </c>
      <c r="P46">
        <v>363</v>
      </c>
    </row>
    <row r="47" spans="1:16" ht="17.25" thickBot="1" x14ac:dyDescent="0.3">
      <c r="A47">
        <v>46</v>
      </c>
      <c r="B47" s="79" t="s">
        <v>1028</v>
      </c>
      <c r="C47" s="68" t="s">
        <v>881</v>
      </c>
      <c r="D47" s="68" t="s">
        <v>882</v>
      </c>
      <c r="E47" s="74">
        <v>17</v>
      </c>
      <c r="F47" s="74" t="e">
        <f t="shared" si="0"/>
        <v>#N/A</v>
      </c>
      <c r="G47" s="74" t="e">
        <v>#N/A</v>
      </c>
      <c r="H47" s="6">
        <f t="shared" si="1"/>
        <v>364</v>
      </c>
      <c r="I47" s="6">
        <v>364</v>
      </c>
      <c r="K47" s="63">
        <v>46</v>
      </c>
      <c r="L47" s="64" t="s">
        <v>756</v>
      </c>
      <c r="M47" s="63">
        <v>1046</v>
      </c>
      <c r="N47" s="132">
        <v>46</v>
      </c>
      <c r="O47" t="s">
        <v>1028</v>
      </c>
      <c r="P47">
        <v>364</v>
      </c>
    </row>
    <row r="48" spans="1:16" ht="17.25" thickBot="1" x14ac:dyDescent="0.3">
      <c r="A48">
        <v>47</v>
      </c>
      <c r="B48" s="79" t="s">
        <v>1287</v>
      </c>
      <c r="C48" s="68" t="s">
        <v>885</v>
      </c>
      <c r="D48" s="68" t="s">
        <v>886</v>
      </c>
      <c r="E48" s="74">
        <v>17</v>
      </c>
      <c r="F48" s="74" t="e">
        <f t="shared" si="0"/>
        <v>#N/A</v>
      </c>
      <c r="G48" s="74" t="e">
        <v>#N/A</v>
      </c>
      <c r="H48" s="6" t="e">
        <f t="shared" si="1"/>
        <v>#N/A</v>
      </c>
      <c r="I48" s="83">
        <v>365</v>
      </c>
      <c r="K48" s="63">
        <v>47</v>
      </c>
      <c r="L48" s="64" t="s">
        <v>888</v>
      </c>
      <c r="M48" s="63">
        <v>1047</v>
      </c>
      <c r="N48" s="131">
        <v>47</v>
      </c>
      <c r="O48" t="s">
        <v>1030</v>
      </c>
      <c r="P48">
        <v>365</v>
      </c>
    </row>
    <row r="49" spans="1:16" ht="17.25" thickBot="1" x14ac:dyDescent="0.3">
      <c r="A49">
        <v>48</v>
      </c>
      <c r="B49" s="78" t="s">
        <v>1038</v>
      </c>
      <c r="C49" t="s">
        <v>831</v>
      </c>
      <c r="D49" t="s">
        <v>887</v>
      </c>
      <c r="E49" s="6">
        <v>61</v>
      </c>
      <c r="F49" s="6">
        <f t="shared" si="0"/>
        <v>1025</v>
      </c>
      <c r="G49" s="6">
        <v>1025</v>
      </c>
      <c r="H49" s="6">
        <f t="shared" si="1"/>
        <v>371</v>
      </c>
      <c r="I49" s="6">
        <v>371</v>
      </c>
      <c r="K49" s="63">
        <v>48</v>
      </c>
      <c r="L49" s="64" t="s">
        <v>891</v>
      </c>
      <c r="M49" s="63">
        <v>1048</v>
      </c>
      <c r="N49" s="132">
        <v>48</v>
      </c>
      <c r="O49" t="s">
        <v>1038</v>
      </c>
      <c r="P49">
        <v>371</v>
      </c>
    </row>
    <row r="50" spans="1:16" ht="17.25" thickBot="1" x14ac:dyDescent="0.3">
      <c r="A50">
        <v>49</v>
      </c>
      <c r="B50" s="78" t="s">
        <v>1035</v>
      </c>
      <c r="C50" t="s">
        <v>813</v>
      </c>
      <c r="D50" t="s">
        <v>889</v>
      </c>
      <c r="E50" s="6">
        <v>75</v>
      </c>
      <c r="F50" s="6">
        <f t="shared" si="0"/>
        <v>1019</v>
      </c>
      <c r="G50" s="6">
        <v>1019</v>
      </c>
      <c r="H50" s="6">
        <f t="shared" si="1"/>
        <v>372</v>
      </c>
      <c r="I50" s="6">
        <v>372</v>
      </c>
      <c r="K50" s="63">
        <v>49</v>
      </c>
      <c r="L50" s="64" t="s">
        <v>811</v>
      </c>
      <c r="M50" s="63">
        <v>1049</v>
      </c>
      <c r="N50" s="131">
        <v>49</v>
      </c>
      <c r="O50" t="s">
        <v>1035</v>
      </c>
      <c r="P50">
        <v>372</v>
      </c>
    </row>
    <row r="51" spans="1:16" ht="17.25" thickBot="1" x14ac:dyDescent="0.3">
      <c r="A51">
        <v>50</v>
      </c>
      <c r="B51" s="78" t="s">
        <v>1039</v>
      </c>
      <c r="C51" t="s">
        <v>854</v>
      </c>
      <c r="D51" t="s">
        <v>892</v>
      </c>
      <c r="E51" s="6">
        <v>58</v>
      </c>
      <c r="F51" s="6">
        <f t="shared" si="0"/>
        <v>1033</v>
      </c>
      <c r="G51" s="6">
        <v>1033</v>
      </c>
      <c r="H51" s="6">
        <f t="shared" si="1"/>
        <v>373</v>
      </c>
      <c r="I51" s="6">
        <v>373</v>
      </c>
      <c r="K51" s="63">
        <v>50</v>
      </c>
      <c r="L51" s="64" t="s">
        <v>895</v>
      </c>
      <c r="M51" s="63">
        <v>1050</v>
      </c>
      <c r="N51" s="132">
        <v>50</v>
      </c>
      <c r="O51" t="s">
        <v>1039</v>
      </c>
      <c r="P51">
        <v>373</v>
      </c>
    </row>
    <row r="52" spans="1:16" ht="17.25" thickBot="1" x14ac:dyDescent="0.3">
      <c r="A52">
        <v>51</v>
      </c>
      <c r="B52" s="79" t="s">
        <v>1288</v>
      </c>
      <c r="C52" s="68" t="s">
        <v>893</v>
      </c>
      <c r="D52" s="68" t="s">
        <v>894</v>
      </c>
      <c r="E52" s="74">
        <v>14</v>
      </c>
      <c r="F52" s="74" t="e">
        <f t="shared" si="0"/>
        <v>#N/A</v>
      </c>
      <c r="G52" s="74" t="e">
        <v>#N/A</v>
      </c>
      <c r="H52" s="6" t="e">
        <f t="shared" si="1"/>
        <v>#N/A</v>
      </c>
      <c r="I52" s="83">
        <v>374</v>
      </c>
      <c r="K52" s="63">
        <v>51</v>
      </c>
      <c r="L52" s="64" t="s">
        <v>898</v>
      </c>
      <c r="M52" s="63">
        <v>1051</v>
      </c>
      <c r="N52" s="131">
        <v>51</v>
      </c>
      <c r="O52" t="s">
        <v>1036</v>
      </c>
      <c r="P52">
        <v>374</v>
      </c>
    </row>
    <row r="53" spans="1:16" ht="17.25" thickBot="1" x14ac:dyDescent="0.3">
      <c r="A53">
        <v>52</v>
      </c>
      <c r="B53" s="78" t="s">
        <v>1034</v>
      </c>
      <c r="C53" t="s">
        <v>768</v>
      </c>
      <c r="D53" t="s">
        <v>896</v>
      </c>
      <c r="E53" s="6">
        <v>39</v>
      </c>
      <c r="F53" s="6">
        <f t="shared" si="0"/>
        <v>1004</v>
      </c>
      <c r="G53" s="6">
        <v>1004</v>
      </c>
      <c r="H53" s="6">
        <f t="shared" si="1"/>
        <v>381</v>
      </c>
      <c r="I53" s="6">
        <v>381</v>
      </c>
      <c r="K53" s="63">
        <v>52</v>
      </c>
      <c r="L53" s="64" t="s">
        <v>901</v>
      </c>
      <c r="M53" s="63">
        <v>1052</v>
      </c>
      <c r="N53" s="132">
        <v>52</v>
      </c>
      <c r="O53" t="s">
        <v>1034</v>
      </c>
      <c r="P53">
        <v>381</v>
      </c>
    </row>
    <row r="54" spans="1:16" ht="17.25" thickBot="1" x14ac:dyDescent="0.3">
      <c r="A54">
        <v>53</v>
      </c>
      <c r="B54" s="78" t="s">
        <v>1033</v>
      </c>
      <c r="C54" t="s">
        <v>899</v>
      </c>
      <c r="D54" t="s">
        <v>900</v>
      </c>
      <c r="E54" s="6">
        <v>33</v>
      </c>
      <c r="F54" s="6">
        <f t="shared" si="0"/>
        <v>2002</v>
      </c>
      <c r="G54" s="6">
        <v>2002</v>
      </c>
      <c r="H54" s="6">
        <f t="shared" si="1"/>
        <v>382</v>
      </c>
      <c r="I54" s="6">
        <v>382</v>
      </c>
      <c r="K54" s="63">
        <v>53</v>
      </c>
      <c r="L54" s="64" t="s">
        <v>903</v>
      </c>
      <c r="M54" s="63">
        <v>1053</v>
      </c>
      <c r="N54" s="131">
        <v>53</v>
      </c>
      <c r="O54" t="s">
        <v>1033</v>
      </c>
      <c r="P54">
        <v>382</v>
      </c>
    </row>
    <row r="55" spans="1:16" ht="17.25" thickBot="1" x14ac:dyDescent="0.3">
      <c r="A55">
        <v>54</v>
      </c>
      <c r="B55" s="78" t="s">
        <v>1040</v>
      </c>
      <c r="C55" t="s">
        <v>869</v>
      </c>
      <c r="D55" t="s">
        <v>902</v>
      </c>
      <c r="E55" s="6">
        <v>63</v>
      </c>
      <c r="F55" s="6">
        <f t="shared" si="0"/>
        <v>1039</v>
      </c>
      <c r="G55" s="6">
        <v>1039</v>
      </c>
      <c r="H55" s="6">
        <f t="shared" si="1"/>
        <v>383</v>
      </c>
      <c r="I55" s="6">
        <v>383</v>
      </c>
      <c r="K55" s="63">
        <v>54</v>
      </c>
      <c r="L55" s="64" t="s">
        <v>907</v>
      </c>
      <c r="M55" s="63">
        <v>1054</v>
      </c>
      <c r="N55" s="132">
        <v>54</v>
      </c>
      <c r="O55" t="s">
        <v>1040</v>
      </c>
      <c r="P55">
        <v>383</v>
      </c>
    </row>
    <row r="56" spans="1:16" ht="17.25" thickBot="1" x14ac:dyDescent="0.3">
      <c r="A56">
        <v>55</v>
      </c>
      <c r="B56" s="79" t="s">
        <v>1041</v>
      </c>
      <c r="C56" s="68" t="s">
        <v>904</v>
      </c>
      <c r="D56" s="68" t="s">
        <v>905</v>
      </c>
      <c r="E56" s="74">
        <v>26</v>
      </c>
      <c r="F56" s="74" t="e">
        <f t="shared" si="0"/>
        <v>#N/A</v>
      </c>
      <c r="G56" s="74" t="e">
        <v>#N/A</v>
      </c>
      <c r="H56" s="6">
        <f t="shared" si="1"/>
        <v>384</v>
      </c>
      <c r="I56" s="6">
        <v>384</v>
      </c>
      <c r="K56" s="63">
        <v>55</v>
      </c>
      <c r="L56" s="64" t="s">
        <v>910</v>
      </c>
      <c r="M56" s="63">
        <v>1055</v>
      </c>
      <c r="N56" s="131">
        <v>55</v>
      </c>
      <c r="O56" t="s">
        <v>1041</v>
      </c>
      <c r="P56">
        <v>384</v>
      </c>
    </row>
    <row r="57" spans="1:16" ht="17.25" thickBot="1" x14ac:dyDescent="0.3">
      <c r="A57">
        <v>56</v>
      </c>
      <c r="B57" s="79" t="s">
        <v>1289</v>
      </c>
      <c r="C57" s="68" t="s">
        <v>908</v>
      </c>
      <c r="D57" s="68" t="s">
        <v>909</v>
      </c>
      <c r="E57" s="74">
        <v>19</v>
      </c>
      <c r="F57" s="74" t="e">
        <f t="shared" si="0"/>
        <v>#N/A</v>
      </c>
      <c r="G57" s="74" t="e">
        <v>#N/A</v>
      </c>
      <c r="H57" s="6" t="e">
        <f t="shared" si="1"/>
        <v>#N/A</v>
      </c>
      <c r="I57" s="83">
        <v>385</v>
      </c>
      <c r="K57" s="63">
        <v>56</v>
      </c>
      <c r="L57" s="64" t="s">
        <v>859</v>
      </c>
      <c r="M57" s="63">
        <v>1056</v>
      </c>
      <c r="N57" s="132">
        <v>56</v>
      </c>
      <c r="O57" t="s">
        <v>1042</v>
      </c>
      <c r="P57">
        <v>385</v>
      </c>
    </row>
    <row r="58" spans="1:16" ht="17.25" thickBot="1" x14ac:dyDescent="0.3">
      <c r="A58">
        <v>57</v>
      </c>
      <c r="B58" s="79" t="s">
        <v>1290</v>
      </c>
      <c r="C58" s="68" t="s">
        <v>911</v>
      </c>
      <c r="D58" s="68" t="s">
        <v>912</v>
      </c>
      <c r="E58" s="74">
        <v>20</v>
      </c>
      <c r="F58" s="74" t="e">
        <f t="shared" si="0"/>
        <v>#N/A</v>
      </c>
      <c r="G58" s="74" t="e">
        <v>#N/A</v>
      </c>
      <c r="H58" s="6" t="e">
        <f t="shared" si="1"/>
        <v>#N/A</v>
      </c>
      <c r="I58" s="83">
        <v>386</v>
      </c>
      <c r="K58" s="63">
        <v>57</v>
      </c>
      <c r="L58" s="64" t="s">
        <v>855</v>
      </c>
      <c r="M58" s="63">
        <v>1057</v>
      </c>
      <c r="N58" s="131">
        <v>57</v>
      </c>
      <c r="O58" t="s">
        <v>1037</v>
      </c>
      <c r="P58">
        <v>386</v>
      </c>
    </row>
    <row r="59" spans="1:16" ht="17.25" thickBot="1" x14ac:dyDescent="0.3">
      <c r="A59">
        <v>58</v>
      </c>
      <c r="B59" s="78" t="s">
        <v>1050</v>
      </c>
      <c r="C59" t="s">
        <v>822</v>
      </c>
      <c r="D59" t="s">
        <v>913</v>
      </c>
      <c r="E59" s="6">
        <v>64</v>
      </c>
      <c r="F59" s="6">
        <f t="shared" si="0"/>
        <v>1022</v>
      </c>
      <c r="G59" s="6">
        <v>1022</v>
      </c>
      <c r="H59" s="6">
        <f t="shared" si="1"/>
        <v>511</v>
      </c>
      <c r="I59" s="6">
        <v>511</v>
      </c>
      <c r="K59" s="63">
        <v>58</v>
      </c>
      <c r="L59" s="64" t="s">
        <v>759</v>
      </c>
      <c r="M59" s="63">
        <v>1058</v>
      </c>
      <c r="N59" s="132">
        <v>58</v>
      </c>
      <c r="O59" t="s">
        <v>1050</v>
      </c>
      <c r="P59">
        <v>511</v>
      </c>
    </row>
    <row r="60" spans="1:16" ht="17.25" thickBot="1" x14ac:dyDescent="0.3">
      <c r="A60">
        <v>59</v>
      </c>
      <c r="B60" s="79" t="s">
        <v>1051</v>
      </c>
      <c r="C60" s="68" t="s">
        <v>915</v>
      </c>
      <c r="D60" s="68" t="s">
        <v>916</v>
      </c>
      <c r="E60" s="74">
        <v>41</v>
      </c>
      <c r="F60" s="74" t="e">
        <f t="shared" si="0"/>
        <v>#N/A</v>
      </c>
      <c r="G60" s="74" t="e">
        <v>#N/A</v>
      </c>
      <c r="H60" s="6">
        <f t="shared" si="1"/>
        <v>521</v>
      </c>
      <c r="I60" s="6">
        <v>521</v>
      </c>
      <c r="K60" s="63">
        <v>59</v>
      </c>
      <c r="L60" s="64" t="s">
        <v>918</v>
      </c>
      <c r="M60" s="63">
        <v>1059</v>
      </c>
      <c r="N60" s="131">
        <v>59</v>
      </c>
      <c r="O60" t="s">
        <v>1051</v>
      </c>
      <c r="P60">
        <v>521</v>
      </c>
    </row>
    <row r="61" spans="1:16" ht="17.25" thickBot="1" x14ac:dyDescent="0.3">
      <c r="A61">
        <v>60</v>
      </c>
      <c r="B61" s="78" t="s">
        <v>1052</v>
      </c>
      <c r="C61" t="s">
        <v>787</v>
      </c>
      <c r="D61" t="s">
        <v>917</v>
      </c>
      <c r="E61" s="6">
        <v>62</v>
      </c>
      <c r="F61" s="6">
        <f t="shared" si="0"/>
        <v>1010</v>
      </c>
      <c r="G61" s="6">
        <v>1010</v>
      </c>
      <c r="H61" s="6">
        <f t="shared" si="1"/>
        <v>531</v>
      </c>
      <c r="I61" s="6">
        <v>531</v>
      </c>
      <c r="K61" s="63">
        <v>60</v>
      </c>
      <c r="L61" s="64" t="s">
        <v>921</v>
      </c>
      <c r="M61" s="63">
        <v>1060</v>
      </c>
      <c r="N61" s="132">
        <v>60</v>
      </c>
      <c r="O61" t="s">
        <v>1052</v>
      </c>
      <c r="P61">
        <v>531</v>
      </c>
    </row>
    <row r="62" spans="1:16" ht="17.25" thickBot="1" x14ac:dyDescent="0.3">
      <c r="A62">
        <v>61</v>
      </c>
      <c r="B62" s="78" t="s">
        <v>1054</v>
      </c>
      <c r="C62" t="s">
        <v>802</v>
      </c>
      <c r="D62" t="s">
        <v>919</v>
      </c>
      <c r="E62" s="6">
        <v>62</v>
      </c>
      <c r="F62" s="6">
        <f t="shared" si="0"/>
        <v>1015</v>
      </c>
      <c r="G62" s="6">
        <v>1015</v>
      </c>
      <c r="H62" s="6">
        <f t="shared" si="1"/>
        <v>541</v>
      </c>
      <c r="I62" s="6">
        <v>541</v>
      </c>
      <c r="K62" s="63">
        <v>61</v>
      </c>
      <c r="L62" s="64" t="s">
        <v>924</v>
      </c>
      <c r="M62" s="63">
        <v>1061</v>
      </c>
      <c r="N62" s="131">
        <v>61</v>
      </c>
      <c r="O62" t="s">
        <v>1054</v>
      </c>
      <c r="P62">
        <v>541</v>
      </c>
    </row>
    <row r="63" spans="1:16" ht="17.25" thickBot="1" x14ac:dyDescent="0.3">
      <c r="A63">
        <v>62</v>
      </c>
      <c r="B63" s="78" t="s">
        <v>1053</v>
      </c>
      <c r="C63" t="s">
        <v>922</v>
      </c>
      <c r="D63" t="s">
        <v>923</v>
      </c>
      <c r="E63" s="6">
        <v>14</v>
      </c>
      <c r="F63" s="6">
        <f t="shared" si="0"/>
        <v>2013</v>
      </c>
      <c r="G63" s="6">
        <v>2013</v>
      </c>
      <c r="H63" s="6">
        <f t="shared" si="1"/>
        <v>542</v>
      </c>
      <c r="I63" s="6">
        <v>542</v>
      </c>
      <c r="K63" s="63">
        <v>62</v>
      </c>
      <c r="L63" s="64" t="s">
        <v>926</v>
      </c>
      <c r="M63" s="63">
        <v>1062</v>
      </c>
      <c r="N63" s="132">
        <v>62</v>
      </c>
      <c r="O63" t="s">
        <v>1053</v>
      </c>
      <c r="P63">
        <v>542</v>
      </c>
    </row>
    <row r="64" spans="1:16" ht="17.25" thickBot="1" x14ac:dyDescent="0.3">
      <c r="A64">
        <v>63</v>
      </c>
      <c r="B64" s="78" t="s">
        <v>1055</v>
      </c>
      <c r="C64" t="s">
        <v>895</v>
      </c>
      <c r="D64" t="s">
        <v>925</v>
      </c>
      <c r="E64" s="6">
        <v>17</v>
      </c>
      <c r="F64" s="6">
        <f t="shared" si="0"/>
        <v>1050</v>
      </c>
      <c r="G64" s="6">
        <v>1050</v>
      </c>
      <c r="H64" s="6">
        <f t="shared" si="1"/>
        <v>551</v>
      </c>
      <c r="I64" s="6">
        <v>551</v>
      </c>
      <c r="K64" s="63">
        <v>63</v>
      </c>
      <c r="L64" s="64" t="s">
        <v>834</v>
      </c>
      <c r="M64" s="63">
        <v>1063</v>
      </c>
      <c r="N64" s="131">
        <v>63</v>
      </c>
      <c r="O64" t="s">
        <v>1055</v>
      </c>
      <c r="P64">
        <v>551</v>
      </c>
    </row>
    <row r="65" spans="1:16" ht="17.25" thickBot="1" x14ac:dyDescent="0.3">
      <c r="A65">
        <v>64</v>
      </c>
      <c r="B65" s="78" t="s">
        <v>1046</v>
      </c>
      <c r="C65" t="s">
        <v>795</v>
      </c>
      <c r="D65" t="s">
        <v>927</v>
      </c>
      <c r="E65" s="6">
        <v>46</v>
      </c>
      <c r="F65" s="6">
        <f t="shared" si="0"/>
        <v>1013</v>
      </c>
      <c r="G65" s="6">
        <v>1013</v>
      </c>
      <c r="H65" s="6">
        <f t="shared" si="1"/>
        <v>611</v>
      </c>
      <c r="I65" s="6">
        <v>611</v>
      </c>
      <c r="K65" s="63">
        <v>64</v>
      </c>
      <c r="L65" s="64" t="s">
        <v>838</v>
      </c>
      <c r="M65" s="63">
        <v>2001</v>
      </c>
      <c r="N65" s="132">
        <v>64</v>
      </c>
      <c r="O65" t="s">
        <v>1046</v>
      </c>
      <c r="P65">
        <v>611</v>
      </c>
    </row>
    <row r="66" spans="1:16" ht="17.25" thickBot="1" x14ac:dyDescent="0.3">
      <c r="A66">
        <v>65</v>
      </c>
      <c r="B66" s="78" t="s">
        <v>1045</v>
      </c>
      <c r="C66" t="s">
        <v>891</v>
      </c>
      <c r="D66" t="s">
        <v>929</v>
      </c>
      <c r="E66" s="6">
        <v>37</v>
      </c>
      <c r="F66" s="6">
        <f t="shared" si="0"/>
        <v>1048</v>
      </c>
      <c r="G66" s="6">
        <v>1048</v>
      </c>
      <c r="H66" s="6">
        <f t="shared" si="1"/>
        <v>612</v>
      </c>
      <c r="I66" s="6">
        <v>612</v>
      </c>
      <c r="K66" s="63">
        <v>65</v>
      </c>
      <c r="L66" s="64" t="s">
        <v>899</v>
      </c>
      <c r="M66" s="63">
        <v>2002</v>
      </c>
      <c r="N66" s="131">
        <v>65</v>
      </c>
      <c r="O66" t="s">
        <v>1045</v>
      </c>
      <c r="P66">
        <v>612</v>
      </c>
    </row>
    <row r="67" spans="1:16" ht="17.25" thickBot="1" x14ac:dyDescent="0.3">
      <c r="A67">
        <v>66</v>
      </c>
      <c r="B67" s="79" t="s">
        <v>1044</v>
      </c>
      <c r="C67" s="68" t="s">
        <v>930</v>
      </c>
      <c r="D67" s="68" t="s">
        <v>931</v>
      </c>
      <c r="E67" s="74">
        <v>10</v>
      </c>
      <c r="F67" s="74" t="e">
        <f t="shared" ref="F67:F86" si="2">VLOOKUP(B67,$L$2:$M$123,2,FALSE)</f>
        <v>#N/A</v>
      </c>
      <c r="G67" s="74">
        <v>2007</v>
      </c>
      <c r="H67" s="6">
        <f t="shared" ref="H67:H86" si="3">VLOOKUP(B67,O:P,2,FALSE)</f>
        <v>613</v>
      </c>
      <c r="I67" s="6">
        <v>613</v>
      </c>
      <c r="K67" s="63">
        <v>66</v>
      </c>
      <c r="L67" s="64" t="s">
        <v>851</v>
      </c>
      <c r="M67" s="63">
        <v>2003</v>
      </c>
      <c r="N67" s="132">
        <v>66</v>
      </c>
      <c r="O67" t="s">
        <v>1044</v>
      </c>
      <c r="P67">
        <v>613</v>
      </c>
    </row>
    <row r="68" spans="1:16" ht="17.25" thickBot="1" x14ac:dyDescent="0.3">
      <c r="A68">
        <v>67</v>
      </c>
      <c r="B68" s="78" t="s">
        <v>1047</v>
      </c>
      <c r="C68" t="s">
        <v>805</v>
      </c>
      <c r="D68" t="s">
        <v>932</v>
      </c>
      <c r="E68" s="6">
        <v>35</v>
      </c>
      <c r="F68" s="6">
        <f t="shared" si="2"/>
        <v>1016</v>
      </c>
      <c r="G68" s="6">
        <v>1016</v>
      </c>
      <c r="H68" s="6">
        <f t="shared" si="3"/>
        <v>621</v>
      </c>
      <c r="I68" s="6">
        <v>621</v>
      </c>
      <c r="K68" s="63">
        <v>67</v>
      </c>
      <c r="L68" s="64" t="s">
        <v>935</v>
      </c>
      <c r="M68" s="63">
        <v>2005</v>
      </c>
      <c r="N68" s="131">
        <v>67</v>
      </c>
      <c r="O68" t="s">
        <v>1047</v>
      </c>
      <c r="P68">
        <v>621</v>
      </c>
    </row>
    <row r="69" spans="1:16" ht="17.25" thickBot="1" x14ac:dyDescent="0.3">
      <c r="A69">
        <v>68</v>
      </c>
      <c r="B69" s="78" t="s">
        <v>1048</v>
      </c>
      <c r="C69" t="s">
        <v>798</v>
      </c>
      <c r="D69" t="s">
        <v>934</v>
      </c>
      <c r="E69" s="6">
        <v>47</v>
      </c>
      <c r="F69" s="6">
        <f t="shared" si="2"/>
        <v>1014</v>
      </c>
      <c r="G69" s="6">
        <v>1014</v>
      </c>
      <c r="H69" s="6">
        <f t="shared" si="3"/>
        <v>631</v>
      </c>
      <c r="I69" s="6">
        <v>631</v>
      </c>
      <c r="K69" s="63">
        <v>68</v>
      </c>
      <c r="L69" s="64" t="s">
        <v>937</v>
      </c>
      <c r="M69" s="63">
        <v>2007</v>
      </c>
      <c r="N69" s="132">
        <v>68</v>
      </c>
      <c r="O69" t="s">
        <v>1048</v>
      </c>
      <c r="P69">
        <v>631</v>
      </c>
    </row>
    <row r="70" spans="1:16" ht="17.25" thickBot="1" x14ac:dyDescent="0.3">
      <c r="A70">
        <v>69</v>
      </c>
      <c r="B70" s="78" t="s">
        <v>1049</v>
      </c>
      <c r="C70" t="s">
        <v>921</v>
      </c>
      <c r="D70" t="s">
        <v>936</v>
      </c>
      <c r="E70" s="6">
        <v>15</v>
      </c>
      <c r="F70" s="6">
        <f t="shared" si="2"/>
        <v>1060</v>
      </c>
      <c r="G70" s="6">
        <v>1060</v>
      </c>
      <c r="H70" s="6">
        <f t="shared" si="3"/>
        <v>632</v>
      </c>
      <c r="I70" s="6">
        <v>632</v>
      </c>
      <c r="K70" s="63">
        <v>69</v>
      </c>
      <c r="L70" s="64" t="s">
        <v>940</v>
      </c>
      <c r="M70" s="63">
        <v>2008</v>
      </c>
      <c r="N70" s="131">
        <v>69</v>
      </c>
      <c r="O70" t="s">
        <v>1049</v>
      </c>
      <c r="P70">
        <v>632</v>
      </c>
    </row>
    <row r="71" spans="1:16" ht="17.25" thickBot="1" x14ac:dyDescent="0.3">
      <c r="A71">
        <v>70</v>
      </c>
      <c r="B71" s="78" t="s">
        <v>1059</v>
      </c>
      <c r="C71" t="s">
        <v>771</v>
      </c>
      <c r="D71" t="s">
        <v>938</v>
      </c>
      <c r="E71" s="6">
        <v>61</v>
      </c>
      <c r="F71" s="6">
        <f t="shared" si="2"/>
        <v>1005</v>
      </c>
      <c r="G71" s="6">
        <v>1005</v>
      </c>
      <c r="H71" s="6">
        <f t="shared" si="3"/>
        <v>711</v>
      </c>
      <c r="I71" s="6">
        <v>711</v>
      </c>
      <c r="K71" s="63">
        <v>70</v>
      </c>
      <c r="L71" s="64" t="s">
        <v>942</v>
      </c>
      <c r="M71" s="63">
        <v>2009</v>
      </c>
      <c r="N71" s="132">
        <v>70</v>
      </c>
      <c r="O71" t="s">
        <v>1059</v>
      </c>
      <c r="P71">
        <v>711</v>
      </c>
    </row>
    <row r="72" spans="1:16" ht="17.25" thickBot="1" x14ac:dyDescent="0.3">
      <c r="A72">
        <v>71</v>
      </c>
      <c r="B72" s="78" t="s">
        <v>1061</v>
      </c>
      <c r="C72" t="s">
        <v>862</v>
      </c>
      <c r="D72" t="s">
        <v>941</v>
      </c>
      <c r="E72" s="6">
        <v>68</v>
      </c>
      <c r="F72" s="6">
        <f t="shared" si="2"/>
        <v>1036</v>
      </c>
      <c r="G72" s="6">
        <v>1036</v>
      </c>
      <c r="H72" s="6">
        <f t="shared" si="3"/>
        <v>712</v>
      </c>
      <c r="I72" s="6">
        <v>712</v>
      </c>
      <c r="K72" s="72">
        <v>71</v>
      </c>
      <c r="L72" s="73" t="s">
        <v>945</v>
      </c>
      <c r="M72" s="72">
        <v>2010</v>
      </c>
      <c r="N72" s="131">
        <v>71</v>
      </c>
      <c r="O72" t="s">
        <v>1061</v>
      </c>
      <c r="P72">
        <v>712</v>
      </c>
    </row>
    <row r="73" spans="1:16" ht="17.25" thickBot="1" x14ac:dyDescent="0.3">
      <c r="A73">
        <v>72</v>
      </c>
      <c r="B73" s="79" t="s">
        <v>1291</v>
      </c>
      <c r="C73" s="68" t="s">
        <v>943</v>
      </c>
      <c r="D73" s="68" t="s">
        <v>944</v>
      </c>
      <c r="E73" s="74">
        <v>16</v>
      </c>
      <c r="F73" s="74" t="e">
        <f t="shared" si="2"/>
        <v>#N/A</v>
      </c>
      <c r="G73" s="74" t="e">
        <v>#N/A</v>
      </c>
      <c r="H73" s="6" t="e">
        <f t="shared" si="3"/>
        <v>#N/A</v>
      </c>
      <c r="I73" s="83">
        <v>713</v>
      </c>
      <c r="K73" s="72">
        <v>72</v>
      </c>
      <c r="L73" s="73" t="s">
        <v>948</v>
      </c>
      <c r="M73" s="72">
        <v>2011</v>
      </c>
      <c r="N73" s="132">
        <v>72</v>
      </c>
      <c r="O73" t="s">
        <v>1060</v>
      </c>
      <c r="P73">
        <v>713</v>
      </c>
    </row>
    <row r="74" spans="1:16" ht="17.25" thickBot="1" x14ac:dyDescent="0.3">
      <c r="A74">
        <v>73</v>
      </c>
      <c r="B74" s="78" t="s">
        <v>1057</v>
      </c>
      <c r="C74" t="s">
        <v>792</v>
      </c>
      <c r="D74" t="s">
        <v>946</v>
      </c>
      <c r="E74" s="6">
        <v>48</v>
      </c>
      <c r="F74" s="6">
        <f t="shared" si="2"/>
        <v>1012</v>
      </c>
      <c r="G74" s="6">
        <v>1012</v>
      </c>
      <c r="H74" s="6">
        <f t="shared" si="3"/>
        <v>721</v>
      </c>
      <c r="I74" s="6">
        <v>721</v>
      </c>
      <c r="K74" s="72">
        <v>73</v>
      </c>
      <c r="L74" s="73" t="s">
        <v>950</v>
      </c>
      <c r="M74" s="72">
        <v>2012</v>
      </c>
      <c r="N74" s="131">
        <v>73</v>
      </c>
      <c r="O74" t="s">
        <v>1057</v>
      </c>
      <c r="P74">
        <v>721</v>
      </c>
    </row>
    <row r="75" spans="1:16" ht="17.25" thickBot="1" x14ac:dyDescent="0.3">
      <c r="A75">
        <v>74</v>
      </c>
      <c r="B75" s="78" t="s">
        <v>1056</v>
      </c>
      <c r="C75" t="s">
        <v>858</v>
      </c>
      <c r="D75" t="s">
        <v>949</v>
      </c>
      <c r="E75" s="6">
        <v>47</v>
      </c>
      <c r="F75" s="6">
        <f t="shared" si="2"/>
        <v>1035</v>
      </c>
      <c r="G75" s="6">
        <v>1035</v>
      </c>
      <c r="H75" s="6">
        <f t="shared" si="3"/>
        <v>722</v>
      </c>
      <c r="I75" s="6">
        <v>722</v>
      </c>
      <c r="K75" s="63">
        <v>74</v>
      </c>
      <c r="L75" s="64" t="s">
        <v>922</v>
      </c>
      <c r="M75" s="63">
        <v>2013</v>
      </c>
      <c r="N75" s="132">
        <v>74</v>
      </c>
      <c r="O75" t="s">
        <v>1056</v>
      </c>
      <c r="P75">
        <v>722</v>
      </c>
    </row>
    <row r="76" spans="1:16" ht="17.25" thickBot="1" x14ac:dyDescent="0.3">
      <c r="A76">
        <v>75</v>
      </c>
      <c r="B76" s="78" t="s">
        <v>1058</v>
      </c>
      <c r="C76" t="s">
        <v>840</v>
      </c>
      <c r="D76" t="s">
        <v>951</v>
      </c>
      <c r="E76" s="6">
        <v>50</v>
      </c>
      <c r="F76" s="6">
        <f t="shared" si="2"/>
        <v>1028</v>
      </c>
      <c r="G76" s="6">
        <v>1028</v>
      </c>
      <c r="H76" s="6">
        <f t="shared" si="3"/>
        <v>731</v>
      </c>
      <c r="I76" s="6">
        <v>731</v>
      </c>
      <c r="K76" s="63">
        <v>75</v>
      </c>
      <c r="L76" s="64" t="s">
        <v>816</v>
      </c>
      <c r="M76" s="63">
        <v>2014</v>
      </c>
      <c r="N76" s="131">
        <v>75</v>
      </c>
      <c r="O76" t="s">
        <v>1058</v>
      </c>
      <c r="P76">
        <v>731</v>
      </c>
    </row>
    <row r="77" spans="1:16" ht="17.25" thickBot="1" x14ac:dyDescent="0.3">
      <c r="A77">
        <v>76</v>
      </c>
      <c r="B77" s="78" t="s">
        <v>1065</v>
      </c>
      <c r="C77" t="s">
        <v>907</v>
      </c>
      <c r="D77" t="s">
        <v>952</v>
      </c>
      <c r="E77" s="6">
        <v>18</v>
      </c>
      <c r="F77" s="6">
        <f t="shared" si="2"/>
        <v>1054</v>
      </c>
      <c r="G77" s="6">
        <v>1054</v>
      </c>
      <c r="H77" s="6">
        <f t="shared" si="3"/>
        <v>741</v>
      </c>
      <c r="I77" s="6">
        <v>741</v>
      </c>
      <c r="K77" s="63">
        <v>76</v>
      </c>
      <c r="L77" s="64" t="s">
        <v>956</v>
      </c>
      <c r="M77" s="63">
        <v>2015</v>
      </c>
      <c r="N77" s="132">
        <v>76</v>
      </c>
      <c r="O77" t="s">
        <v>1065</v>
      </c>
      <c r="P77">
        <v>741</v>
      </c>
    </row>
    <row r="78" spans="1:16" ht="17.25" thickBot="1" x14ac:dyDescent="0.3">
      <c r="A78">
        <v>77</v>
      </c>
      <c r="B78" s="79" t="s">
        <v>1062</v>
      </c>
      <c r="C78" s="68" t="s">
        <v>954</v>
      </c>
      <c r="D78" s="68" t="s">
        <v>955</v>
      </c>
      <c r="E78" s="74">
        <v>74</v>
      </c>
      <c r="F78" s="74" t="e">
        <f t="shared" si="2"/>
        <v>#N/A</v>
      </c>
      <c r="G78" s="74" t="e">
        <v>#N/A</v>
      </c>
      <c r="H78" s="6">
        <f t="shared" si="3"/>
        <v>751</v>
      </c>
      <c r="I78" s="6">
        <v>751</v>
      </c>
      <c r="K78" s="63">
        <v>77</v>
      </c>
      <c r="L78" s="64" t="s">
        <v>958</v>
      </c>
      <c r="M78" s="63">
        <v>5001</v>
      </c>
      <c r="N78" s="131">
        <v>77</v>
      </c>
      <c r="O78" t="s">
        <v>1062</v>
      </c>
      <c r="P78">
        <v>751</v>
      </c>
    </row>
    <row r="79" spans="1:16" ht="17.25" thickBot="1" x14ac:dyDescent="0.3">
      <c r="A79">
        <v>78</v>
      </c>
      <c r="B79" s="78" t="s">
        <v>1064</v>
      </c>
      <c r="C79" t="s">
        <v>888</v>
      </c>
      <c r="D79" t="s">
        <v>957</v>
      </c>
      <c r="E79" s="6">
        <v>51</v>
      </c>
      <c r="F79" s="6">
        <f t="shared" si="2"/>
        <v>1047</v>
      </c>
      <c r="G79" s="6">
        <v>1047</v>
      </c>
      <c r="H79" s="6">
        <f t="shared" si="3"/>
        <v>752</v>
      </c>
      <c r="I79" s="6">
        <v>752</v>
      </c>
      <c r="K79" s="63">
        <v>78</v>
      </c>
      <c r="L79" s="64" t="s">
        <v>962</v>
      </c>
      <c r="M79" s="63">
        <v>5002</v>
      </c>
      <c r="N79" s="132">
        <v>78</v>
      </c>
      <c r="O79" t="s">
        <v>1064</v>
      </c>
      <c r="P79">
        <v>752</v>
      </c>
    </row>
    <row r="80" spans="1:16" ht="17.25" thickBot="1" x14ac:dyDescent="0.3">
      <c r="A80">
        <v>79</v>
      </c>
      <c r="B80" s="79" t="s">
        <v>1063</v>
      </c>
      <c r="C80" s="68" t="s">
        <v>959</v>
      </c>
      <c r="D80" s="68" t="s">
        <v>960</v>
      </c>
      <c r="E80" s="74">
        <v>24</v>
      </c>
      <c r="F80" s="74" t="e">
        <f t="shared" si="2"/>
        <v>#N/A</v>
      </c>
      <c r="G80" s="74" t="e">
        <v>#N/A</v>
      </c>
      <c r="H80" s="6">
        <f t="shared" si="3"/>
        <v>753</v>
      </c>
      <c r="I80" s="6">
        <v>753</v>
      </c>
      <c r="K80" s="63">
        <v>79</v>
      </c>
      <c r="L80" s="64" t="s">
        <v>964</v>
      </c>
      <c r="M80" s="63">
        <v>5003</v>
      </c>
      <c r="N80" s="131">
        <v>79</v>
      </c>
      <c r="O80" t="s">
        <v>1063</v>
      </c>
      <c r="P80">
        <v>753</v>
      </c>
    </row>
    <row r="81" spans="1:16" ht="17.25" thickBot="1" x14ac:dyDescent="0.3">
      <c r="A81">
        <v>80</v>
      </c>
      <c r="B81" s="78" t="s">
        <v>1066</v>
      </c>
      <c r="C81" t="s">
        <v>819</v>
      </c>
      <c r="D81" t="s">
        <v>963</v>
      </c>
      <c r="E81" s="6">
        <v>64</v>
      </c>
      <c r="F81" s="6">
        <f t="shared" si="2"/>
        <v>1021</v>
      </c>
      <c r="G81" s="6">
        <v>1021</v>
      </c>
      <c r="H81" s="6">
        <f t="shared" si="3"/>
        <v>811</v>
      </c>
      <c r="I81" s="6">
        <v>811</v>
      </c>
      <c r="K81" s="63">
        <v>80</v>
      </c>
      <c r="L81" s="64" t="s">
        <v>966</v>
      </c>
      <c r="M81" s="63">
        <v>5004</v>
      </c>
      <c r="N81" s="132">
        <v>80</v>
      </c>
      <c r="O81" t="s">
        <v>1066</v>
      </c>
      <c r="P81">
        <v>811</v>
      </c>
    </row>
    <row r="82" spans="1:16" ht="17.25" thickBot="1" x14ac:dyDescent="0.3">
      <c r="A82">
        <v>81</v>
      </c>
      <c r="B82" s="78" t="s">
        <v>1067</v>
      </c>
      <c r="C82" t="s">
        <v>880</v>
      </c>
      <c r="D82" t="s">
        <v>965</v>
      </c>
      <c r="E82" s="6">
        <v>35</v>
      </c>
      <c r="F82" s="6">
        <f t="shared" si="2"/>
        <v>1044</v>
      </c>
      <c r="G82" s="6">
        <v>1044</v>
      </c>
      <c r="H82" s="6">
        <f t="shared" si="3"/>
        <v>821</v>
      </c>
      <c r="I82" s="6">
        <v>821</v>
      </c>
      <c r="K82" s="63">
        <v>81</v>
      </c>
      <c r="L82" s="64" t="s">
        <v>969</v>
      </c>
      <c r="M82" s="63">
        <v>5005</v>
      </c>
      <c r="N82" s="131">
        <v>81</v>
      </c>
      <c r="O82" t="s">
        <v>1067</v>
      </c>
      <c r="P82">
        <v>821</v>
      </c>
    </row>
    <row r="83" spans="1:16" ht="17.25" thickBot="1" x14ac:dyDescent="0.3">
      <c r="A83">
        <v>82</v>
      </c>
      <c r="B83" s="78" t="s">
        <v>1069</v>
      </c>
      <c r="C83" t="s">
        <v>810</v>
      </c>
      <c r="D83" t="s">
        <v>967</v>
      </c>
      <c r="E83" s="6">
        <v>44</v>
      </c>
      <c r="F83" s="6">
        <f t="shared" si="2"/>
        <v>1018</v>
      </c>
      <c r="G83" s="6">
        <v>1018</v>
      </c>
      <c r="H83" s="6">
        <f t="shared" si="3"/>
        <v>911</v>
      </c>
      <c r="I83" s="6">
        <v>911</v>
      </c>
      <c r="K83" s="63">
        <v>82</v>
      </c>
      <c r="L83" s="64" t="s">
        <v>971</v>
      </c>
      <c r="M83" s="63">
        <v>5006</v>
      </c>
      <c r="N83" s="132">
        <v>82</v>
      </c>
      <c r="O83" t="s">
        <v>1069</v>
      </c>
      <c r="P83">
        <v>911</v>
      </c>
    </row>
    <row r="84" spans="1:16" ht="17.25" thickBot="1" x14ac:dyDescent="0.3">
      <c r="A84">
        <v>83</v>
      </c>
      <c r="B84" s="78" t="s">
        <v>1070</v>
      </c>
      <c r="C84" t="s">
        <v>898</v>
      </c>
      <c r="D84" t="s">
        <v>970</v>
      </c>
      <c r="E84" s="6">
        <v>25</v>
      </c>
      <c r="F84" s="6">
        <f t="shared" si="2"/>
        <v>1051</v>
      </c>
      <c r="G84" s="6">
        <v>1051</v>
      </c>
      <c r="H84" s="6">
        <f t="shared" si="3"/>
        <v>912</v>
      </c>
      <c r="I84" s="6">
        <v>912</v>
      </c>
      <c r="K84" s="63">
        <v>83</v>
      </c>
      <c r="L84" s="64" t="s">
        <v>974</v>
      </c>
      <c r="M84" s="63">
        <v>5007</v>
      </c>
      <c r="N84" s="131">
        <v>83</v>
      </c>
      <c r="O84" t="s">
        <v>1070</v>
      </c>
      <c r="P84">
        <v>912</v>
      </c>
    </row>
    <row r="85" spans="1:16" ht="17.25" thickBot="1" x14ac:dyDescent="0.3">
      <c r="A85">
        <v>84</v>
      </c>
      <c r="B85" s="79" t="s">
        <v>1068</v>
      </c>
      <c r="C85" s="68" t="s">
        <v>972</v>
      </c>
      <c r="D85" s="68" t="s">
        <v>973</v>
      </c>
      <c r="E85" s="74">
        <v>5</v>
      </c>
      <c r="F85" s="74" t="e">
        <f t="shared" si="2"/>
        <v>#N/A</v>
      </c>
      <c r="G85" s="74" t="e">
        <v>#N/A</v>
      </c>
      <c r="H85" s="6">
        <f t="shared" si="3"/>
        <v>913</v>
      </c>
      <c r="I85" s="6">
        <v>913</v>
      </c>
      <c r="K85" s="63">
        <v>84</v>
      </c>
      <c r="L85" s="64" t="s">
        <v>977</v>
      </c>
      <c r="M85" s="63">
        <v>5008</v>
      </c>
      <c r="N85" s="132">
        <v>84</v>
      </c>
      <c r="O85" t="s">
        <v>1068</v>
      </c>
      <c r="P85" s="21">
        <v>913</v>
      </c>
    </row>
    <row r="86" spans="1:16" ht="17.25" thickBot="1" x14ac:dyDescent="0.3">
      <c r="A86">
        <v>85</v>
      </c>
      <c r="B86" s="78" t="s">
        <v>1071</v>
      </c>
      <c r="C86" t="s">
        <v>884</v>
      </c>
      <c r="D86" t="s">
        <v>975</v>
      </c>
      <c r="E86" s="6">
        <v>28</v>
      </c>
      <c r="F86" s="6">
        <f t="shared" si="2"/>
        <v>1045</v>
      </c>
      <c r="G86" s="6">
        <v>1045</v>
      </c>
      <c r="H86" s="6">
        <f t="shared" si="3"/>
        <v>921</v>
      </c>
      <c r="I86" s="6">
        <v>921</v>
      </c>
      <c r="K86" s="63">
        <v>85</v>
      </c>
      <c r="L86" s="64" t="s">
        <v>978</v>
      </c>
      <c r="M86" s="63">
        <v>5009</v>
      </c>
      <c r="N86" s="131">
        <v>85</v>
      </c>
      <c r="O86" t="s">
        <v>1071</v>
      </c>
      <c r="P86" s="21">
        <v>921</v>
      </c>
    </row>
    <row r="87" spans="1:16" ht="17.25" thickBot="1" x14ac:dyDescent="0.3">
      <c r="B87" s="81"/>
      <c r="K87" s="63">
        <v>86</v>
      </c>
      <c r="L87" s="64" t="s">
        <v>979</v>
      </c>
      <c r="M87" s="63">
        <v>5010</v>
      </c>
    </row>
    <row r="88" spans="1:16" ht="17.25" thickBot="1" x14ac:dyDescent="0.3">
      <c r="B88" s="81"/>
      <c r="K88" s="63">
        <v>87</v>
      </c>
      <c r="L88" s="64" t="s">
        <v>981</v>
      </c>
      <c r="M88" s="63">
        <v>5011</v>
      </c>
    </row>
    <row r="89" spans="1:16" ht="17.25" thickBot="1" x14ac:dyDescent="0.3">
      <c r="B89" s="81"/>
      <c r="K89" s="63">
        <v>88</v>
      </c>
      <c r="L89" s="64" t="s">
        <v>982</v>
      </c>
      <c r="M89" s="63">
        <v>5012</v>
      </c>
    </row>
    <row r="90" spans="1:16" ht="17.25" thickBot="1" x14ac:dyDescent="0.3">
      <c r="B90" s="81"/>
      <c r="K90" s="63">
        <v>89</v>
      </c>
      <c r="L90" s="64" t="s">
        <v>983</v>
      </c>
      <c r="M90" s="63">
        <v>5013</v>
      </c>
    </row>
    <row r="91" spans="1:16" ht="17.25" thickBot="1" x14ac:dyDescent="0.3">
      <c r="B91" s="81"/>
      <c r="K91" s="63">
        <v>90</v>
      </c>
      <c r="L91" s="64" t="s">
        <v>985</v>
      </c>
      <c r="M91" s="63">
        <v>5014</v>
      </c>
    </row>
    <row r="92" spans="1:16" ht="17.25" thickBot="1" x14ac:dyDescent="0.3">
      <c r="B92" s="81"/>
      <c r="K92" s="63">
        <v>91</v>
      </c>
      <c r="L92" s="64" t="s">
        <v>986</v>
      </c>
      <c r="M92" s="63">
        <v>5015</v>
      </c>
    </row>
    <row r="93" spans="1:16" ht="17.25" thickBot="1" x14ac:dyDescent="0.3">
      <c r="B93" s="81"/>
      <c r="K93" s="63">
        <v>92</v>
      </c>
      <c r="L93" s="64" t="s">
        <v>987</v>
      </c>
      <c r="M93" s="63">
        <v>5016</v>
      </c>
    </row>
    <row r="94" spans="1:16" ht="17.25" thickBot="1" x14ac:dyDescent="0.3">
      <c r="B94" s="81"/>
      <c r="K94" s="63">
        <v>93</v>
      </c>
      <c r="L94" s="64" t="s">
        <v>989</v>
      </c>
      <c r="M94" s="63">
        <v>5017</v>
      </c>
    </row>
    <row r="95" spans="1:16" ht="17.25" thickBot="1" x14ac:dyDescent="0.3">
      <c r="B95" s="81"/>
      <c r="K95" s="63">
        <v>94</v>
      </c>
      <c r="L95" s="64" t="s">
        <v>990</v>
      </c>
      <c r="M95" s="63">
        <v>5018</v>
      </c>
    </row>
    <row r="96" spans="1:16" ht="17.25" thickBot="1" x14ac:dyDescent="0.3">
      <c r="B96" s="81"/>
      <c r="K96" s="63">
        <v>95</v>
      </c>
      <c r="L96" s="64" t="s">
        <v>991</v>
      </c>
      <c r="M96" s="63">
        <v>5019</v>
      </c>
    </row>
    <row r="97" spans="2:13" ht="17.25" thickBot="1" x14ac:dyDescent="0.3">
      <c r="B97" s="81"/>
      <c r="K97" s="63">
        <v>96</v>
      </c>
      <c r="L97" s="64" t="s">
        <v>993</v>
      </c>
      <c r="M97" s="63">
        <v>5020</v>
      </c>
    </row>
    <row r="98" spans="2:13" ht="17.25" thickBot="1" x14ac:dyDescent="0.3">
      <c r="B98" s="81"/>
      <c r="K98" s="63">
        <v>97</v>
      </c>
      <c r="L98" s="64" t="s">
        <v>994</v>
      </c>
      <c r="M98" s="63">
        <v>5021</v>
      </c>
    </row>
    <row r="99" spans="2:13" ht="17.25" thickBot="1" x14ac:dyDescent="0.3">
      <c r="B99" s="81"/>
      <c r="K99" s="63">
        <v>98</v>
      </c>
      <c r="L99" s="64" t="s">
        <v>995</v>
      </c>
      <c r="M99" s="63">
        <v>5022</v>
      </c>
    </row>
    <row r="100" spans="2:13" ht="17.25" thickBot="1" x14ac:dyDescent="0.3">
      <c r="B100" s="81"/>
      <c r="K100" s="63">
        <v>99</v>
      </c>
      <c r="L100" s="64" t="s">
        <v>997</v>
      </c>
      <c r="M100" s="63">
        <v>5023</v>
      </c>
    </row>
    <row r="101" spans="2:13" ht="17.25" thickBot="1" x14ac:dyDescent="0.3">
      <c r="B101" s="81"/>
      <c r="K101" s="63">
        <v>100</v>
      </c>
      <c r="L101" s="64" t="s">
        <v>998</v>
      </c>
      <c r="M101" s="63">
        <v>5024</v>
      </c>
    </row>
    <row r="102" spans="2:13" ht="17.25" thickBot="1" x14ac:dyDescent="0.3">
      <c r="B102" s="81"/>
      <c r="K102" s="63">
        <v>101</v>
      </c>
      <c r="L102" s="64" t="s">
        <v>999</v>
      </c>
      <c r="M102" s="63">
        <v>5025</v>
      </c>
    </row>
    <row r="103" spans="2:13" ht="17.25" thickBot="1" x14ac:dyDescent="0.3">
      <c r="B103" s="81"/>
      <c r="K103" s="63">
        <v>102</v>
      </c>
      <c r="L103" s="64" t="s">
        <v>1001</v>
      </c>
      <c r="M103" s="63">
        <v>5026</v>
      </c>
    </row>
    <row r="104" spans="2:13" ht="17.25" thickBot="1" x14ac:dyDescent="0.3">
      <c r="B104" s="81"/>
      <c r="K104" s="63">
        <v>103</v>
      </c>
      <c r="L104" s="64" t="s">
        <v>1002</v>
      </c>
      <c r="M104" s="63">
        <v>5027</v>
      </c>
    </row>
    <row r="105" spans="2:13" ht="17.25" thickBot="1" x14ac:dyDescent="0.3">
      <c r="B105" s="81"/>
      <c r="K105" s="63">
        <v>104</v>
      </c>
      <c r="L105" s="64" t="s">
        <v>1003</v>
      </c>
      <c r="M105" s="63">
        <v>5028</v>
      </c>
    </row>
    <row r="106" spans="2:13" ht="17.25" thickBot="1" x14ac:dyDescent="0.3">
      <c r="B106" s="81"/>
      <c r="K106" s="63">
        <v>105</v>
      </c>
      <c r="L106" s="64" t="s">
        <v>1005</v>
      </c>
      <c r="M106" s="63">
        <v>5029</v>
      </c>
    </row>
    <row r="107" spans="2:13" ht="17.25" thickBot="1" x14ac:dyDescent="0.3">
      <c r="B107" s="81"/>
      <c r="K107" s="63">
        <v>106</v>
      </c>
      <c r="L107" s="64" t="s">
        <v>1006</v>
      </c>
      <c r="M107" s="63">
        <v>5030</v>
      </c>
    </row>
    <row r="108" spans="2:13" ht="17.25" thickBot="1" x14ac:dyDescent="0.3">
      <c r="B108" s="81"/>
      <c r="K108" s="63">
        <v>107</v>
      </c>
      <c r="L108" s="64" t="s">
        <v>1007</v>
      </c>
      <c r="M108" s="63">
        <v>5031</v>
      </c>
    </row>
    <row r="109" spans="2:13" ht="17.25" thickBot="1" x14ac:dyDescent="0.3">
      <c r="B109" s="81"/>
      <c r="K109" s="63">
        <v>108</v>
      </c>
      <c r="L109" s="64" t="s">
        <v>1009</v>
      </c>
      <c r="M109" s="63">
        <v>5032</v>
      </c>
    </row>
    <row r="110" spans="2:13" ht="17.25" thickBot="1" x14ac:dyDescent="0.3">
      <c r="B110" s="81"/>
      <c r="K110" s="63">
        <v>109</v>
      </c>
      <c r="L110" s="64" t="s">
        <v>1010</v>
      </c>
      <c r="M110" s="63">
        <v>5033</v>
      </c>
    </row>
    <row r="111" spans="2:13" ht="17.25" thickBot="1" x14ac:dyDescent="0.3">
      <c r="B111" s="81"/>
      <c r="K111" s="63">
        <v>110</v>
      </c>
      <c r="L111" s="64" t="s">
        <v>1011</v>
      </c>
      <c r="M111" s="63">
        <v>5034</v>
      </c>
    </row>
    <row r="112" spans="2:13" ht="17.25" thickBot="1" x14ac:dyDescent="0.3">
      <c r="B112" s="81"/>
      <c r="K112" s="63">
        <v>111</v>
      </c>
      <c r="L112" s="64" t="s">
        <v>1013</v>
      </c>
      <c r="M112" s="63">
        <v>5035</v>
      </c>
    </row>
    <row r="113" spans="2:13" ht="17.25" thickBot="1" x14ac:dyDescent="0.3">
      <c r="B113" s="81"/>
      <c r="K113" s="63">
        <v>112</v>
      </c>
      <c r="L113" s="64" t="s">
        <v>1014</v>
      </c>
      <c r="M113" s="63">
        <v>5036</v>
      </c>
    </row>
    <row r="114" spans="2:13" ht="17.25" thickBot="1" x14ac:dyDescent="0.3">
      <c r="B114" s="81"/>
      <c r="K114" s="63">
        <v>113</v>
      </c>
      <c r="L114" s="64" t="s">
        <v>1015</v>
      </c>
      <c r="M114" s="63">
        <v>5037</v>
      </c>
    </row>
    <row r="115" spans="2:13" ht="17.25" thickBot="1" x14ac:dyDescent="0.3">
      <c r="B115" s="81"/>
      <c r="K115" s="63">
        <v>114</v>
      </c>
      <c r="L115" s="64" t="s">
        <v>1017</v>
      </c>
      <c r="M115" s="63">
        <v>5038</v>
      </c>
    </row>
    <row r="116" spans="2:13" ht="17.25" thickBot="1" x14ac:dyDescent="0.3">
      <c r="B116" s="81"/>
      <c r="K116" s="63">
        <v>115</v>
      </c>
      <c r="L116" s="64" t="s">
        <v>1018</v>
      </c>
      <c r="M116" s="63">
        <v>5039</v>
      </c>
    </row>
    <row r="117" spans="2:13" ht="17.25" thickBot="1" x14ac:dyDescent="0.3">
      <c r="B117" s="81"/>
      <c r="K117" s="63">
        <v>116</v>
      </c>
      <c r="L117" s="64" t="s">
        <v>1019</v>
      </c>
      <c r="M117" s="63">
        <v>5040</v>
      </c>
    </row>
    <row r="118" spans="2:13" ht="17.25" thickBot="1" x14ac:dyDescent="0.3">
      <c r="B118" s="81"/>
      <c r="K118" s="63">
        <v>117</v>
      </c>
      <c r="L118" s="64" t="s">
        <v>1021</v>
      </c>
      <c r="M118" s="63">
        <v>5041</v>
      </c>
    </row>
    <row r="119" spans="2:13" ht="17.25" thickBot="1" x14ac:dyDescent="0.3">
      <c r="B119" s="81"/>
      <c r="K119" s="63">
        <v>118</v>
      </c>
      <c r="L119" s="64" t="s">
        <v>1022</v>
      </c>
      <c r="M119" s="63">
        <v>5042</v>
      </c>
    </row>
    <row r="120" spans="2:13" ht="17.25" thickBot="1" x14ac:dyDescent="0.3">
      <c r="B120" s="81"/>
      <c r="K120" s="63">
        <v>119</v>
      </c>
      <c r="L120" s="64" t="s">
        <v>1023</v>
      </c>
      <c r="M120" s="63">
        <v>5043</v>
      </c>
    </row>
    <row r="121" spans="2:13" ht="17.25" thickBot="1" x14ac:dyDescent="0.3">
      <c r="B121" s="81"/>
      <c r="K121" s="63">
        <v>120</v>
      </c>
      <c r="L121" s="64" t="s">
        <v>1025</v>
      </c>
      <c r="M121" s="63">
        <v>6001</v>
      </c>
    </row>
    <row r="122" spans="2:13" ht="17.25" thickBot="1" x14ac:dyDescent="0.3">
      <c r="B122" s="81"/>
      <c r="K122" s="63">
        <v>121</v>
      </c>
      <c r="L122" s="64" t="s">
        <v>1026</v>
      </c>
      <c r="M122" s="63">
        <v>6002</v>
      </c>
    </row>
    <row r="123" spans="2:13" ht="17.25" thickBot="1" x14ac:dyDescent="0.3">
      <c r="B123" s="81"/>
      <c r="K123" s="63">
        <v>122</v>
      </c>
      <c r="L123" s="64" t="s">
        <v>1027</v>
      </c>
      <c r="M123" s="63">
        <v>6003</v>
      </c>
    </row>
    <row r="124" spans="2:13" x14ac:dyDescent="0.25">
      <c r="B124" s="81"/>
      <c r="K124" s="65"/>
      <c r="L124" s="21"/>
      <c r="M124" s="21"/>
    </row>
    <row r="125" spans="2:13" ht="17.25" x14ac:dyDescent="0.25">
      <c r="B125" s="81"/>
      <c r="K125" s="66"/>
      <c r="L125" s="21"/>
      <c r="M125" s="21"/>
    </row>
  </sheetData>
  <sheetProtection algorithmName="SHA-512" hashValue="Sg1vg0H5P/d0G6t8v8Zl7aDuzL4R8aBRYT9JcJH+eZl1av4j5zX9sZcWE56+Xs4WLdRShJocvaNRhKQqK/zCsg==" saltValue="Me4SNjlnIg5HzP+mYCwko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/>
  <dimension ref="A1:F1067"/>
  <sheetViews>
    <sheetView workbookViewId="0">
      <selection activeCell="B276" sqref="B276"/>
    </sheetView>
  </sheetViews>
  <sheetFormatPr defaultRowHeight="15" x14ac:dyDescent="0.25"/>
  <cols>
    <col min="2" max="2" width="73.140625" bestFit="1" customWidth="1"/>
    <col min="3" max="3" width="28.5703125" customWidth="1"/>
  </cols>
  <sheetData>
    <row r="1" spans="1:6" x14ac:dyDescent="0.25">
      <c r="A1" s="70">
        <v>3211015</v>
      </c>
      <c r="B1" t="s">
        <v>41</v>
      </c>
      <c r="C1" t="s">
        <v>1072</v>
      </c>
      <c r="D1" t="s">
        <v>1073</v>
      </c>
      <c r="E1" t="s">
        <v>1074</v>
      </c>
      <c r="F1">
        <v>747.93</v>
      </c>
    </row>
    <row r="2" spans="1:6" hidden="1" x14ac:dyDescent="0.25">
      <c r="A2" s="70">
        <v>3811014</v>
      </c>
      <c r="B2" t="s">
        <v>41</v>
      </c>
      <c r="C2" t="s">
        <v>1075</v>
      </c>
      <c r="D2" t="s">
        <v>1073</v>
      </c>
      <c r="E2" t="s">
        <v>1074</v>
      </c>
      <c r="F2">
        <v>726.94</v>
      </c>
    </row>
    <row r="3" spans="1:6" hidden="1" x14ac:dyDescent="0.25">
      <c r="A3" s="70">
        <v>3611066</v>
      </c>
      <c r="B3" t="s">
        <v>236</v>
      </c>
      <c r="C3" t="s">
        <v>1076</v>
      </c>
      <c r="D3" t="s">
        <v>1073</v>
      </c>
      <c r="E3" t="s">
        <v>1074</v>
      </c>
      <c r="F3">
        <v>725.21</v>
      </c>
    </row>
    <row r="4" spans="1:6" x14ac:dyDescent="0.25">
      <c r="A4" s="70">
        <v>3331013</v>
      </c>
      <c r="B4" t="s">
        <v>41</v>
      </c>
      <c r="C4" t="s">
        <v>1077</v>
      </c>
      <c r="D4" t="s">
        <v>1073</v>
      </c>
      <c r="E4" t="s">
        <v>1074</v>
      </c>
      <c r="F4">
        <v>717.94</v>
      </c>
    </row>
    <row r="5" spans="1:6" hidden="1" x14ac:dyDescent="0.25">
      <c r="A5" s="70">
        <v>3321073</v>
      </c>
      <c r="B5" t="s">
        <v>1078</v>
      </c>
      <c r="C5" t="s">
        <v>1079</v>
      </c>
      <c r="D5" t="s">
        <v>1073</v>
      </c>
      <c r="E5" t="s">
        <v>1074</v>
      </c>
      <c r="F5">
        <v>716.69</v>
      </c>
    </row>
    <row r="6" spans="1:6" hidden="1" x14ac:dyDescent="0.25">
      <c r="A6" s="70">
        <v>3211313</v>
      </c>
      <c r="B6" t="s">
        <v>288</v>
      </c>
      <c r="C6" t="s">
        <v>1072</v>
      </c>
      <c r="D6" t="s">
        <v>1073</v>
      </c>
      <c r="E6" t="s">
        <v>1074</v>
      </c>
      <c r="F6">
        <v>716.32</v>
      </c>
    </row>
    <row r="7" spans="1:6" hidden="1" x14ac:dyDescent="0.25">
      <c r="A7" s="70">
        <v>3211166</v>
      </c>
      <c r="B7" t="s">
        <v>111</v>
      </c>
      <c r="C7" t="s">
        <v>1072</v>
      </c>
      <c r="D7" t="s">
        <v>1073</v>
      </c>
      <c r="E7" t="s">
        <v>1074</v>
      </c>
      <c r="F7">
        <v>712.41</v>
      </c>
    </row>
    <row r="8" spans="1:6" hidden="1" x14ac:dyDescent="0.25">
      <c r="A8" s="70">
        <v>3321081</v>
      </c>
      <c r="B8" t="s">
        <v>1080</v>
      </c>
      <c r="C8" t="s">
        <v>1079</v>
      </c>
      <c r="D8" t="s">
        <v>1073</v>
      </c>
      <c r="E8" t="s">
        <v>1074</v>
      </c>
      <c r="F8">
        <v>710.97</v>
      </c>
    </row>
    <row r="9" spans="1:6" hidden="1" x14ac:dyDescent="0.25">
      <c r="A9" s="70">
        <v>3321096</v>
      </c>
      <c r="B9" t="s">
        <v>1081</v>
      </c>
      <c r="C9" t="s">
        <v>1079</v>
      </c>
      <c r="D9" t="s">
        <v>1073</v>
      </c>
      <c r="E9" t="s">
        <v>1074</v>
      </c>
      <c r="F9">
        <v>710.29</v>
      </c>
    </row>
    <row r="10" spans="1:6" hidden="1" x14ac:dyDescent="0.25">
      <c r="A10" s="70">
        <v>3551027</v>
      </c>
      <c r="B10" t="s">
        <v>236</v>
      </c>
      <c r="C10" t="s">
        <v>1082</v>
      </c>
      <c r="D10" t="s">
        <v>1073</v>
      </c>
      <c r="E10" t="s">
        <v>1074</v>
      </c>
      <c r="F10">
        <v>709.46</v>
      </c>
    </row>
    <row r="11" spans="1:6" hidden="1" x14ac:dyDescent="0.25">
      <c r="A11" s="70">
        <v>3721085</v>
      </c>
      <c r="B11" t="s">
        <v>41</v>
      </c>
      <c r="C11" t="s">
        <v>1083</v>
      </c>
      <c r="D11" t="s">
        <v>1073</v>
      </c>
      <c r="E11" t="s">
        <v>1074</v>
      </c>
      <c r="F11">
        <v>704.59</v>
      </c>
    </row>
    <row r="12" spans="1:6" hidden="1" x14ac:dyDescent="0.25">
      <c r="A12" s="70">
        <v>3531015</v>
      </c>
      <c r="B12" t="s">
        <v>236</v>
      </c>
      <c r="C12" t="s">
        <v>1084</v>
      </c>
      <c r="D12" t="s">
        <v>1073</v>
      </c>
      <c r="E12" t="s">
        <v>1074</v>
      </c>
      <c r="F12">
        <v>701.21</v>
      </c>
    </row>
    <row r="13" spans="1:6" hidden="1" x14ac:dyDescent="0.25">
      <c r="A13" s="70">
        <v>3321042</v>
      </c>
      <c r="B13" t="s">
        <v>1085</v>
      </c>
      <c r="C13" t="s">
        <v>1079</v>
      </c>
      <c r="D13" t="s">
        <v>1073</v>
      </c>
      <c r="E13" t="s">
        <v>1086</v>
      </c>
      <c r="F13">
        <v>693.77</v>
      </c>
    </row>
    <row r="14" spans="1:6" hidden="1" x14ac:dyDescent="0.25">
      <c r="A14" s="70">
        <v>3321107</v>
      </c>
      <c r="B14" t="s">
        <v>374</v>
      </c>
      <c r="C14" t="s">
        <v>1079</v>
      </c>
      <c r="D14" t="s">
        <v>1073</v>
      </c>
      <c r="E14" t="s">
        <v>1086</v>
      </c>
      <c r="F14">
        <v>693.39</v>
      </c>
    </row>
    <row r="15" spans="1:6" hidden="1" x14ac:dyDescent="0.25">
      <c r="A15" s="70">
        <v>6111014</v>
      </c>
      <c r="B15" t="s">
        <v>41</v>
      </c>
      <c r="C15" t="s">
        <v>1087</v>
      </c>
      <c r="D15" t="s">
        <v>1073</v>
      </c>
      <c r="E15" t="s">
        <v>1086</v>
      </c>
      <c r="F15">
        <v>691.51</v>
      </c>
    </row>
    <row r="16" spans="1:6" hidden="1" x14ac:dyDescent="0.25">
      <c r="A16" s="70">
        <v>3211182</v>
      </c>
      <c r="B16" t="s">
        <v>49</v>
      </c>
      <c r="C16" t="s">
        <v>1072</v>
      </c>
      <c r="D16" t="s">
        <v>1073</v>
      </c>
      <c r="E16" t="s">
        <v>1086</v>
      </c>
      <c r="F16">
        <v>690.3</v>
      </c>
    </row>
    <row r="17" spans="1:6" hidden="1" x14ac:dyDescent="0.25">
      <c r="A17" s="70">
        <v>3611372</v>
      </c>
      <c r="B17" t="s">
        <v>51</v>
      </c>
      <c r="C17" t="s">
        <v>1076</v>
      </c>
      <c r="D17" t="s">
        <v>1073</v>
      </c>
      <c r="E17" t="s">
        <v>1086</v>
      </c>
      <c r="F17">
        <v>690.04</v>
      </c>
    </row>
    <row r="18" spans="1:6" hidden="1" x14ac:dyDescent="0.25">
      <c r="A18" s="70">
        <v>3211143</v>
      </c>
      <c r="B18" t="s">
        <v>51</v>
      </c>
      <c r="C18" t="s">
        <v>1072</v>
      </c>
      <c r="D18" t="s">
        <v>1073</v>
      </c>
      <c r="E18" t="s">
        <v>1086</v>
      </c>
      <c r="F18">
        <v>689.8</v>
      </c>
    </row>
    <row r="19" spans="1:6" hidden="1" x14ac:dyDescent="0.25">
      <c r="A19" s="70">
        <v>3511107</v>
      </c>
      <c r="B19" t="s">
        <v>41</v>
      </c>
      <c r="C19" t="s">
        <v>1088</v>
      </c>
      <c r="D19" t="s">
        <v>1073</v>
      </c>
      <c r="E19" t="s">
        <v>1086</v>
      </c>
      <c r="F19">
        <v>688.84</v>
      </c>
    </row>
    <row r="20" spans="1:6" hidden="1" x14ac:dyDescent="0.25">
      <c r="A20" s="70">
        <v>3611194</v>
      </c>
      <c r="B20" t="s">
        <v>90</v>
      </c>
      <c r="C20" t="s">
        <v>1076</v>
      </c>
      <c r="D20" t="s">
        <v>1073</v>
      </c>
      <c r="E20" t="s">
        <v>1086</v>
      </c>
      <c r="F20">
        <v>688.41</v>
      </c>
    </row>
    <row r="21" spans="1:6" hidden="1" x14ac:dyDescent="0.25">
      <c r="A21" s="70">
        <v>3711133</v>
      </c>
      <c r="B21" t="s">
        <v>41</v>
      </c>
      <c r="C21" t="s">
        <v>1089</v>
      </c>
      <c r="D21" t="s">
        <v>1073</v>
      </c>
      <c r="E21" t="s">
        <v>1086</v>
      </c>
      <c r="F21">
        <v>688.27</v>
      </c>
    </row>
    <row r="22" spans="1:6" hidden="1" x14ac:dyDescent="0.25">
      <c r="A22" s="70">
        <v>3211093</v>
      </c>
      <c r="B22" t="s">
        <v>54</v>
      </c>
      <c r="C22" t="s">
        <v>1072</v>
      </c>
      <c r="D22" t="s">
        <v>1073</v>
      </c>
      <c r="E22" t="s">
        <v>1086</v>
      </c>
      <c r="F22">
        <v>687.76</v>
      </c>
    </row>
    <row r="23" spans="1:6" hidden="1" x14ac:dyDescent="0.25">
      <c r="A23" s="70">
        <v>3211224</v>
      </c>
      <c r="B23" t="s">
        <v>46</v>
      </c>
      <c r="C23" t="s">
        <v>1072</v>
      </c>
      <c r="D23" t="s">
        <v>1073</v>
      </c>
      <c r="E23" t="s">
        <v>1086</v>
      </c>
      <c r="F23">
        <v>686.5</v>
      </c>
    </row>
    <row r="24" spans="1:6" hidden="1" x14ac:dyDescent="0.25">
      <c r="A24" s="70">
        <v>3821202</v>
      </c>
      <c r="B24" t="s">
        <v>80</v>
      </c>
      <c r="C24" t="s">
        <v>1090</v>
      </c>
      <c r="D24" t="s">
        <v>1073</v>
      </c>
      <c r="E24" t="s">
        <v>1086</v>
      </c>
      <c r="F24">
        <v>686.33</v>
      </c>
    </row>
    <row r="25" spans="1:6" hidden="1" x14ac:dyDescent="0.25">
      <c r="A25" s="70">
        <v>3211127</v>
      </c>
      <c r="B25" t="s">
        <v>294</v>
      </c>
      <c r="C25" t="s">
        <v>1072</v>
      </c>
      <c r="D25" t="s">
        <v>1073</v>
      </c>
      <c r="E25" t="s">
        <v>1086</v>
      </c>
      <c r="F25">
        <v>686.28</v>
      </c>
    </row>
    <row r="26" spans="1:6" hidden="1" x14ac:dyDescent="0.25">
      <c r="A26" s="70">
        <v>3611492</v>
      </c>
      <c r="B26" t="s">
        <v>26</v>
      </c>
      <c r="C26" t="s">
        <v>1076</v>
      </c>
      <c r="D26" t="s">
        <v>1073</v>
      </c>
      <c r="E26" t="s">
        <v>1086</v>
      </c>
      <c r="F26">
        <v>685.93</v>
      </c>
    </row>
    <row r="27" spans="1:6" hidden="1" x14ac:dyDescent="0.25">
      <c r="A27" s="70">
        <v>3611503</v>
      </c>
      <c r="B27" t="s">
        <v>485</v>
      </c>
      <c r="C27" t="s">
        <v>1076</v>
      </c>
      <c r="D27" t="s">
        <v>1073</v>
      </c>
      <c r="E27" t="s">
        <v>1086</v>
      </c>
      <c r="F27">
        <v>685.55</v>
      </c>
    </row>
    <row r="28" spans="1:6" hidden="1" x14ac:dyDescent="0.25">
      <c r="A28" s="70">
        <v>3321026</v>
      </c>
      <c r="B28" t="s">
        <v>1091</v>
      </c>
      <c r="C28" t="s">
        <v>1079</v>
      </c>
      <c r="D28" t="s">
        <v>1073</v>
      </c>
      <c r="E28" t="s">
        <v>1086</v>
      </c>
      <c r="F28">
        <v>685.38</v>
      </c>
    </row>
    <row r="29" spans="1:6" hidden="1" x14ac:dyDescent="0.25">
      <c r="A29" s="70">
        <v>3211031</v>
      </c>
      <c r="B29" t="s">
        <v>66</v>
      </c>
      <c r="C29" t="s">
        <v>1072</v>
      </c>
      <c r="D29" t="s">
        <v>1073</v>
      </c>
      <c r="E29" t="s">
        <v>1086</v>
      </c>
      <c r="F29">
        <v>685.03</v>
      </c>
    </row>
    <row r="30" spans="1:6" hidden="1" x14ac:dyDescent="0.25">
      <c r="A30" s="70">
        <v>3211077</v>
      </c>
      <c r="B30" t="s">
        <v>77</v>
      </c>
      <c r="C30" t="s">
        <v>1072</v>
      </c>
      <c r="D30" t="s">
        <v>1073</v>
      </c>
      <c r="E30" t="s">
        <v>1086</v>
      </c>
      <c r="F30">
        <v>684.42</v>
      </c>
    </row>
    <row r="31" spans="1:6" hidden="1" x14ac:dyDescent="0.25">
      <c r="A31" s="70">
        <v>7111076</v>
      </c>
      <c r="B31" t="s">
        <v>41</v>
      </c>
      <c r="C31" t="s">
        <v>1092</v>
      </c>
      <c r="D31" t="s">
        <v>1073</v>
      </c>
      <c r="E31" t="s">
        <v>1086</v>
      </c>
      <c r="F31">
        <v>684.06</v>
      </c>
    </row>
    <row r="32" spans="1:6" hidden="1" x14ac:dyDescent="0.25">
      <c r="A32" s="70">
        <v>3611097</v>
      </c>
      <c r="B32" t="s">
        <v>436</v>
      </c>
      <c r="C32" t="s">
        <v>1076</v>
      </c>
      <c r="D32" t="s">
        <v>1073</v>
      </c>
      <c r="E32" t="s">
        <v>1086</v>
      </c>
      <c r="F32">
        <v>684.03</v>
      </c>
    </row>
    <row r="33" spans="1:6" hidden="1" x14ac:dyDescent="0.25">
      <c r="A33" s="70">
        <v>3611437</v>
      </c>
      <c r="B33" t="s">
        <v>49</v>
      </c>
      <c r="C33" t="s">
        <v>1076</v>
      </c>
      <c r="D33" t="s">
        <v>1073</v>
      </c>
      <c r="E33" t="s">
        <v>1086</v>
      </c>
      <c r="F33">
        <v>683.99</v>
      </c>
    </row>
    <row r="34" spans="1:6" hidden="1" x14ac:dyDescent="0.25">
      <c r="A34" s="70">
        <v>3321057</v>
      </c>
      <c r="B34" t="s">
        <v>1093</v>
      </c>
      <c r="C34" t="s">
        <v>1079</v>
      </c>
      <c r="D34" t="s">
        <v>1073</v>
      </c>
      <c r="E34" t="s">
        <v>1086</v>
      </c>
      <c r="F34">
        <v>683.68</v>
      </c>
    </row>
    <row r="35" spans="1:6" x14ac:dyDescent="0.25">
      <c r="A35" s="70">
        <v>3331187</v>
      </c>
      <c r="B35" t="s">
        <v>36</v>
      </c>
      <c r="C35" t="s">
        <v>1077</v>
      </c>
      <c r="D35" t="s">
        <v>1073</v>
      </c>
      <c r="E35" t="s">
        <v>1086</v>
      </c>
      <c r="F35">
        <v>683.58</v>
      </c>
    </row>
    <row r="36" spans="1:6" hidden="1" x14ac:dyDescent="0.25">
      <c r="A36" s="70">
        <v>3211023</v>
      </c>
      <c r="B36" t="s">
        <v>85</v>
      </c>
      <c r="C36" t="s">
        <v>1072</v>
      </c>
      <c r="D36" t="s">
        <v>1073</v>
      </c>
      <c r="E36" t="s">
        <v>1086</v>
      </c>
      <c r="F36">
        <v>683.56</v>
      </c>
    </row>
    <row r="37" spans="1:6" hidden="1" x14ac:dyDescent="0.25">
      <c r="A37" s="70">
        <v>3611406</v>
      </c>
      <c r="B37" t="s">
        <v>54</v>
      </c>
      <c r="C37" t="s">
        <v>1076</v>
      </c>
      <c r="D37" t="s">
        <v>1073</v>
      </c>
      <c r="E37" t="s">
        <v>1086</v>
      </c>
      <c r="F37">
        <v>682.64</v>
      </c>
    </row>
    <row r="38" spans="1:6" hidden="1" x14ac:dyDescent="0.25">
      <c r="A38" s="70">
        <v>3321034</v>
      </c>
      <c r="B38" t="s">
        <v>365</v>
      </c>
      <c r="C38" t="s">
        <v>1079</v>
      </c>
      <c r="D38" t="s">
        <v>1073</v>
      </c>
      <c r="E38" t="s">
        <v>1086</v>
      </c>
      <c r="F38">
        <v>682.26</v>
      </c>
    </row>
    <row r="39" spans="1:6" hidden="1" x14ac:dyDescent="0.25">
      <c r="A39" s="70">
        <v>3211255</v>
      </c>
      <c r="B39" t="s">
        <v>113</v>
      </c>
      <c r="C39" t="s">
        <v>1072</v>
      </c>
      <c r="D39" t="s">
        <v>1073</v>
      </c>
      <c r="E39" t="s">
        <v>1086</v>
      </c>
      <c r="F39">
        <v>682.11</v>
      </c>
    </row>
    <row r="40" spans="1:6" hidden="1" x14ac:dyDescent="0.25">
      <c r="A40" s="70">
        <v>3211321</v>
      </c>
      <c r="B40" t="s">
        <v>293</v>
      </c>
      <c r="C40" t="s">
        <v>1072</v>
      </c>
      <c r="D40" t="s">
        <v>1073</v>
      </c>
      <c r="E40" t="s">
        <v>1086</v>
      </c>
      <c r="F40">
        <v>681.87</v>
      </c>
    </row>
    <row r="41" spans="1:6" hidden="1" x14ac:dyDescent="0.25">
      <c r="A41" s="70">
        <v>3611395</v>
      </c>
      <c r="B41" t="s">
        <v>53</v>
      </c>
      <c r="C41" t="s">
        <v>1076</v>
      </c>
      <c r="D41" t="s">
        <v>1073</v>
      </c>
      <c r="E41" t="s">
        <v>1086</v>
      </c>
      <c r="F41">
        <v>681.71</v>
      </c>
    </row>
    <row r="42" spans="1:6" hidden="1" x14ac:dyDescent="0.25">
      <c r="A42" s="70">
        <v>3211232</v>
      </c>
      <c r="B42" t="s">
        <v>289</v>
      </c>
      <c r="C42" t="s">
        <v>1072</v>
      </c>
      <c r="D42" t="s">
        <v>1073</v>
      </c>
      <c r="E42" t="s">
        <v>1086</v>
      </c>
      <c r="F42">
        <v>681.69</v>
      </c>
    </row>
    <row r="43" spans="1:6" hidden="1" x14ac:dyDescent="0.25">
      <c r="A43" s="70">
        <v>3211305</v>
      </c>
      <c r="B43" t="s">
        <v>90</v>
      </c>
      <c r="C43" t="s">
        <v>1072</v>
      </c>
      <c r="D43" t="s">
        <v>1073</v>
      </c>
      <c r="E43" t="s">
        <v>1086</v>
      </c>
      <c r="F43">
        <v>681.15</v>
      </c>
    </row>
    <row r="44" spans="1:6" hidden="1" x14ac:dyDescent="0.25">
      <c r="A44" s="70">
        <v>1211015</v>
      </c>
      <c r="B44" t="s">
        <v>41</v>
      </c>
      <c r="C44" t="s">
        <v>1094</v>
      </c>
      <c r="D44" t="s">
        <v>1073</v>
      </c>
      <c r="E44" t="s">
        <v>1086</v>
      </c>
      <c r="F44">
        <v>680.69</v>
      </c>
    </row>
    <row r="45" spans="1:6" hidden="1" x14ac:dyDescent="0.25">
      <c r="A45" s="70">
        <v>3211247</v>
      </c>
      <c r="B45" t="s">
        <v>296</v>
      </c>
      <c r="C45" t="s">
        <v>1072</v>
      </c>
      <c r="D45" t="s">
        <v>1073</v>
      </c>
      <c r="E45" t="s">
        <v>1086</v>
      </c>
      <c r="F45">
        <v>680.01</v>
      </c>
    </row>
    <row r="46" spans="1:6" hidden="1" x14ac:dyDescent="0.25">
      <c r="A46" s="70">
        <v>3211135</v>
      </c>
      <c r="B46" t="s">
        <v>19</v>
      </c>
      <c r="C46" t="s">
        <v>1072</v>
      </c>
      <c r="D46" t="s">
        <v>1073</v>
      </c>
      <c r="E46" t="s">
        <v>1086</v>
      </c>
      <c r="F46">
        <v>679.35</v>
      </c>
    </row>
    <row r="47" spans="1:6" hidden="1" x14ac:dyDescent="0.25">
      <c r="A47" s="70">
        <v>3611027</v>
      </c>
      <c r="B47" t="s">
        <v>77</v>
      </c>
      <c r="C47" t="s">
        <v>1076</v>
      </c>
      <c r="D47" t="s">
        <v>1073</v>
      </c>
      <c r="E47" t="s">
        <v>1086</v>
      </c>
      <c r="F47">
        <v>679.18</v>
      </c>
    </row>
    <row r="48" spans="1:6" hidden="1" x14ac:dyDescent="0.25">
      <c r="A48" s="70">
        <v>3611186</v>
      </c>
      <c r="B48" t="s">
        <v>111</v>
      </c>
      <c r="C48" t="s">
        <v>1076</v>
      </c>
      <c r="D48" t="s">
        <v>1073</v>
      </c>
      <c r="E48" t="s">
        <v>1086</v>
      </c>
      <c r="F48">
        <v>678.96</v>
      </c>
    </row>
    <row r="49" spans="1:6" hidden="1" x14ac:dyDescent="0.25">
      <c r="A49" s="70">
        <v>3611333</v>
      </c>
      <c r="B49" t="s">
        <v>19</v>
      </c>
      <c r="C49" t="s">
        <v>1076</v>
      </c>
      <c r="D49" t="s">
        <v>1073</v>
      </c>
      <c r="E49" t="s">
        <v>1086</v>
      </c>
      <c r="F49">
        <v>678.19</v>
      </c>
    </row>
    <row r="50" spans="1:6" hidden="1" x14ac:dyDescent="0.25">
      <c r="A50" s="70">
        <v>3241061</v>
      </c>
      <c r="B50" t="s">
        <v>236</v>
      </c>
      <c r="C50" t="s">
        <v>1095</v>
      </c>
      <c r="D50" t="s">
        <v>1073</v>
      </c>
      <c r="E50" t="s">
        <v>1086</v>
      </c>
      <c r="F50">
        <v>678.13</v>
      </c>
    </row>
    <row r="51" spans="1:6" hidden="1" x14ac:dyDescent="0.25">
      <c r="A51" s="70">
        <v>1411033</v>
      </c>
      <c r="B51" t="s">
        <v>41</v>
      </c>
      <c r="C51" t="s">
        <v>1096</v>
      </c>
      <c r="D51" t="s">
        <v>1073</v>
      </c>
      <c r="E51" t="s">
        <v>1086</v>
      </c>
      <c r="F51">
        <v>677.67</v>
      </c>
    </row>
    <row r="52" spans="1:6" hidden="1" x14ac:dyDescent="0.25">
      <c r="A52" s="70">
        <v>1711067</v>
      </c>
      <c r="B52" t="s">
        <v>41</v>
      </c>
      <c r="C52" t="s">
        <v>1097</v>
      </c>
      <c r="D52" t="s">
        <v>1073</v>
      </c>
      <c r="E52" t="s">
        <v>1086</v>
      </c>
      <c r="F52">
        <v>676.76</v>
      </c>
    </row>
    <row r="53" spans="1:6" hidden="1" x14ac:dyDescent="0.25">
      <c r="A53" s="70">
        <v>3211112</v>
      </c>
      <c r="B53" t="s">
        <v>48</v>
      </c>
      <c r="C53" t="s">
        <v>1072</v>
      </c>
      <c r="D53" t="s">
        <v>1073</v>
      </c>
      <c r="E53" t="s">
        <v>1086</v>
      </c>
      <c r="F53">
        <v>675.49</v>
      </c>
    </row>
    <row r="54" spans="1:6" hidden="1" x14ac:dyDescent="0.25">
      <c r="A54" s="70">
        <v>3211054</v>
      </c>
      <c r="B54" t="s">
        <v>22</v>
      </c>
      <c r="C54" t="s">
        <v>1072</v>
      </c>
      <c r="D54" t="s">
        <v>1073</v>
      </c>
      <c r="E54" t="s">
        <v>1086</v>
      </c>
      <c r="F54">
        <v>675.3</v>
      </c>
    </row>
    <row r="55" spans="1:6" x14ac:dyDescent="0.25">
      <c r="A55" s="70">
        <v>3331091</v>
      </c>
      <c r="B55" t="s">
        <v>85</v>
      </c>
      <c r="C55" t="s">
        <v>1077</v>
      </c>
      <c r="D55" t="s">
        <v>1073</v>
      </c>
      <c r="E55" t="s">
        <v>1086</v>
      </c>
      <c r="F55">
        <v>675.26</v>
      </c>
    </row>
    <row r="56" spans="1:6" hidden="1" x14ac:dyDescent="0.25">
      <c r="A56" s="70">
        <v>3821121</v>
      </c>
      <c r="B56" t="s">
        <v>54</v>
      </c>
      <c r="C56" t="s">
        <v>1090</v>
      </c>
      <c r="D56" t="s">
        <v>1073</v>
      </c>
      <c r="E56" t="s">
        <v>1086</v>
      </c>
      <c r="F56">
        <v>674.81</v>
      </c>
    </row>
    <row r="57" spans="1:6" hidden="1" x14ac:dyDescent="0.25">
      <c r="A57" s="70">
        <v>3611387</v>
      </c>
      <c r="B57" t="s">
        <v>48</v>
      </c>
      <c r="C57" t="s">
        <v>1076</v>
      </c>
      <c r="D57" t="s">
        <v>1073</v>
      </c>
      <c r="E57" t="s">
        <v>1086</v>
      </c>
      <c r="F57">
        <v>673.98</v>
      </c>
    </row>
    <row r="58" spans="1:6" hidden="1" x14ac:dyDescent="0.25">
      <c r="A58" s="70">
        <v>3211104</v>
      </c>
      <c r="B58" t="s">
        <v>53</v>
      </c>
      <c r="C58" t="s">
        <v>1072</v>
      </c>
      <c r="D58" t="s">
        <v>1073</v>
      </c>
      <c r="E58" t="s">
        <v>1086</v>
      </c>
      <c r="F58">
        <v>673.32</v>
      </c>
    </row>
    <row r="59" spans="1:6" hidden="1" x14ac:dyDescent="0.25">
      <c r="A59" s="70">
        <v>3411226</v>
      </c>
      <c r="B59" t="s">
        <v>90</v>
      </c>
      <c r="C59" t="s">
        <v>1098</v>
      </c>
      <c r="D59" t="s">
        <v>1073</v>
      </c>
      <c r="E59" t="s">
        <v>1086</v>
      </c>
      <c r="F59">
        <v>673.09</v>
      </c>
    </row>
    <row r="60" spans="1:6" hidden="1" x14ac:dyDescent="0.25">
      <c r="A60" s="70">
        <v>3321065</v>
      </c>
      <c r="B60" t="s">
        <v>377</v>
      </c>
      <c r="C60" t="s">
        <v>1079</v>
      </c>
      <c r="D60" t="s">
        <v>1073</v>
      </c>
      <c r="E60" t="s">
        <v>1086</v>
      </c>
      <c r="F60">
        <v>672.96</v>
      </c>
    </row>
    <row r="61" spans="1:6" hidden="1" x14ac:dyDescent="0.25">
      <c r="A61" s="70">
        <v>3821306</v>
      </c>
      <c r="B61" t="s">
        <v>516</v>
      </c>
      <c r="C61" t="s">
        <v>1090</v>
      </c>
      <c r="D61" t="s">
        <v>1073</v>
      </c>
      <c r="E61" t="s">
        <v>1086</v>
      </c>
      <c r="F61">
        <v>672.43</v>
      </c>
    </row>
    <row r="62" spans="1:6" hidden="1" x14ac:dyDescent="0.25">
      <c r="A62" s="70">
        <v>3611453</v>
      </c>
      <c r="B62" t="s">
        <v>493</v>
      </c>
      <c r="C62" t="s">
        <v>1076</v>
      </c>
      <c r="D62" t="s">
        <v>1073</v>
      </c>
      <c r="E62" t="s">
        <v>1086</v>
      </c>
      <c r="F62">
        <v>671.93</v>
      </c>
    </row>
    <row r="63" spans="1:6" hidden="1" x14ac:dyDescent="0.25">
      <c r="A63" s="70">
        <v>3811022</v>
      </c>
      <c r="B63" t="s">
        <v>85</v>
      </c>
      <c r="C63" t="s">
        <v>1075</v>
      </c>
      <c r="D63" t="s">
        <v>1073</v>
      </c>
      <c r="E63" t="s">
        <v>1086</v>
      </c>
      <c r="F63">
        <v>671.67</v>
      </c>
    </row>
    <row r="64" spans="1:6" hidden="1" x14ac:dyDescent="0.25">
      <c r="A64" s="70">
        <v>3741124</v>
      </c>
      <c r="B64" t="s">
        <v>41</v>
      </c>
      <c r="C64" t="s">
        <v>1099</v>
      </c>
      <c r="D64" t="s">
        <v>1073</v>
      </c>
      <c r="E64" t="s">
        <v>1086</v>
      </c>
      <c r="F64">
        <v>671.65</v>
      </c>
    </row>
    <row r="65" spans="1:6" hidden="1" x14ac:dyDescent="0.25">
      <c r="A65" s="70">
        <v>3211216</v>
      </c>
      <c r="B65" t="s">
        <v>93</v>
      </c>
      <c r="C65" t="s">
        <v>1072</v>
      </c>
      <c r="D65" t="s">
        <v>1073</v>
      </c>
      <c r="E65" t="s">
        <v>1086</v>
      </c>
      <c r="F65">
        <v>671.05</v>
      </c>
    </row>
    <row r="66" spans="1:6" hidden="1" x14ac:dyDescent="0.25">
      <c r="A66" s="70">
        <v>3611171</v>
      </c>
      <c r="B66" t="s">
        <v>66</v>
      </c>
      <c r="C66" t="s">
        <v>1076</v>
      </c>
      <c r="D66" t="s">
        <v>1073</v>
      </c>
      <c r="E66" t="s">
        <v>1086</v>
      </c>
      <c r="F66">
        <v>670.97</v>
      </c>
    </row>
    <row r="67" spans="1:6" hidden="1" x14ac:dyDescent="0.25">
      <c r="A67" s="70">
        <v>3821217</v>
      </c>
      <c r="B67" t="s">
        <v>46</v>
      </c>
      <c r="C67" t="s">
        <v>1090</v>
      </c>
      <c r="D67" t="s">
        <v>1073</v>
      </c>
      <c r="E67" t="s">
        <v>1086</v>
      </c>
      <c r="F67">
        <v>669.85</v>
      </c>
    </row>
    <row r="68" spans="1:6" hidden="1" x14ac:dyDescent="0.25">
      <c r="A68" s="70">
        <v>3821086</v>
      </c>
      <c r="B68" t="s">
        <v>51</v>
      </c>
      <c r="C68" t="s">
        <v>1090</v>
      </c>
      <c r="D68" t="s">
        <v>1073</v>
      </c>
      <c r="E68" t="s">
        <v>1086</v>
      </c>
      <c r="F68">
        <v>669.82</v>
      </c>
    </row>
    <row r="69" spans="1:6" hidden="1" x14ac:dyDescent="0.25">
      <c r="A69" s="70">
        <v>3221114</v>
      </c>
      <c r="B69" t="s">
        <v>41</v>
      </c>
      <c r="C69" t="s">
        <v>1100</v>
      </c>
      <c r="D69" t="s">
        <v>1073</v>
      </c>
      <c r="E69" t="s">
        <v>1086</v>
      </c>
      <c r="F69">
        <v>669.19</v>
      </c>
    </row>
    <row r="70" spans="1:6" hidden="1" x14ac:dyDescent="0.25">
      <c r="A70" s="70">
        <v>3321011</v>
      </c>
      <c r="B70" t="s">
        <v>1101</v>
      </c>
      <c r="C70" t="s">
        <v>1079</v>
      </c>
      <c r="D70" t="s">
        <v>1073</v>
      </c>
      <c r="E70" t="s">
        <v>1086</v>
      </c>
      <c r="F70">
        <v>668.94</v>
      </c>
    </row>
    <row r="71" spans="1:6" hidden="1" x14ac:dyDescent="0.25">
      <c r="A71" s="70">
        <v>3611082</v>
      </c>
      <c r="B71" t="s">
        <v>483</v>
      </c>
      <c r="C71" t="s">
        <v>1076</v>
      </c>
      <c r="D71" t="s">
        <v>1073</v>
      </c>
      <c r="E71" t="s">
        <v>1086</v>
      </c>
      <c r="F71">
        <v>668.69</v>
      </c>
    </row>
    <row r="72" spans="1:6" hidden="1" x14ac:dyDescent="0.25">
      <c r="A72" s="70">
        <v>3211174</v>
      </c>
      <c r="B72" t="s">
        <v>110</v>
      </c>
      <c r="C72" t="s">
        <v>1072</v>
      </c>
      <c r="D72" t="s">
        <v>1073</v>
      </c>
      <c r="E72" t="s">
        <v>1086</v>
      </c>
      <c r="F72">
        <v>668.23</v>
      </c>
    </row>
    <row r="73" spans="1:6" hidden="1" x14ac:dyDescent="0.25">
      <c r="A73" s="70">
        <v>3821105</v>
      </c>
      <c r="B73" t="s">
        <v>49</v>
      </c>
      <c r="C73" t="s">
        <v>1090</v>
      </c>
      <c r="D73" t="s">
        <v>1073</v>
      </c>
      <c r="E73" t="s">
        <v>1086</v>
      </c>
      <c r="F73">
        <v>667.42</v>
      </c>
    </row>
    <row r="74" spans="1:6" hidden="1" x14ac:dyDescent="0.25">
      <c r="A74" s="70">
        <v>3611422</v>
      </c>
      <c r="B74" t="s">
        <v>267</v>
      </c>
      <c r="C74" t="s">
        <v>1076</v>
      </c>
      <c r="D74" t="s">
        <v>1073</v>
      </c>
      <c r="E74" t="s">
        <v>1086</v>
      </c>
      <c r="F74">
        <v>667.32</v>
      </c>
    </row>
    <row r="75" spans="1:6" hidden="1" x14ac:dyDescent="0.25">
      <c r="A75" s="70">
        <v>3411497</v>
      </c>
      <c r="B75" t="s">
        <v>288</v>
      </c>
      <c r="C75" t="s">
        <v>1098</v>
      </c>
      <c r="D75" t="s">
        <v>1073</v>
      </c>
      <c r="E75" t="s">
        <v>1086</v>
      </c>
      <c r="F75">
        <v>667.16</v>
      </c>
    </row>
    <row r="76" spans="1:6" x14ac:dyDescent="0.25">
      <c r="A76" s="68">
        <v>3331284</v>
      </c>
      <c r="B76" s="68" t="s">
        <v>485</v>
      </c>
      <c r="C76" s="68" t="s">
        <v>1077</v>
      </c>
      <c r="D76" s="68" t="s">
        <v>1073</v>
      </c>
      <c r="E76" s="68" t="s">
        <v>1086</v>
      </c>
      <c r="F76" s="68">
        <v>666.28</v>
      </c>
    </row>
    <row r="77" spans="1:6" hidden="1" x14ac:dyDescent="0.25">
      <c r="A77" s="70">
        <v>3211201</v>
      </c>
      <c r="B77" t="s">
        <v>1102</v>
      </c>
      <c r="C77" t="s">
        <v>1072</v>
      </c>
      <c r="D77" t="s">
        <v>1073</v>
      </c>
      <c r="E77" t="s">
        <v>1086</v>
      </c>
      <c r="F77">
        <v>665.91</v>
      </c>
    </row>
    <row r="78" spans="1:6" hidden="1" x14ac:dyDescent="0.25">
      <c r="A78" s="70">
        <v>3611341</v>
      </c>
      <c r="B78" t="s">
        <v>87</v>
      </c>
      <c r="C78" t="s">
        <v>1076</v>
      </c>
      <c r="D78" t="s">
        <v>1073</v>
      </c>
      <c r="E78" t="s">
        <v>1086</v>
      </c>
      <c r="F78">
        <v>665.49</v>
      </c>
    </row>
    <row r="79" spans="1:6" hidden="1" x14ac:dyDescent="0.25">
      <c r="A79" s="70">
        <v>3611213</v>
      </c>
      <c r="B79" t="s">
        <v>481</v>
      </c>
      <c r="C79" t="s">
        <v>1076</v>
      </c>
      <c r="D79" t="s">
        <v>1073</v>
      </c>
      <c r="E79" t="s">
        <v>1086</v>
      </c>
      <c r="F79">
        <v>665.27</v>
      </c>
    </row>
    <row r="80" spans="1:6" hidden="1" x14ac:dyDescent="0.25">
      <c r="A80" s="70">
        <v>3821071</v>
      </c>
      <c r="B80" t="s">
        <v>48</v>
      </c>
      <c r="C80" t="s">
        <v>1090</v>
      </c>
      <c r="D80" t="s">
        <v>1073</v>
      </c>
      <c r="E80" t="s">
        <v>1086</v>
      </c>
      <c r="F80">
        <v>665.03</v>
      </c>
    </row>
    <row r="81" spans="1:6" hidden="1" x14ac:dyDescent="0.25">
      <c r="A81" s="70">
        <v>3321123</v>
      </c>
      <c r="B81" t="s">
        <v>376</v>
      </c>
      <c r="C81" t="s">
        <v>1079</v>
      </c>
      <c r="D81" t="s">
        <v>1073</v>
      </c>
      <c r="E81" t="s">
        <v>1086</v>
      </c>
      <c r="F81">
        <v>664.06</v>
      </c>
    </row>
    <row r="82" spans="1:6" x14ac:dyDescent="0.25">
      <c r="A82" s="70">
        <v>3331206</v>
      </c>
      <c r="B82" t="s">
        <v>50</v>
      </c>
      <c r="C82" t="s">
        <v>1077</v>
      </c>
      <c r="D82" t="s">
        <v>1073</v>
      </c>
      <c r="E82" t="s">
        <v>1086</v>
      </c>
      <c r="F82">
        <v>663.9</v>
      </c>
    </row>
    <row r="83" spans="1:6" hidden="1" x14ac:dyDescent="0.25">
      <c r="A83" s="70">
        <v>3411106</v>
      </c>
      <c r="B83" t="s">
        <v>111</v>
      </c>
      <c r="C83" t="s">
        <v>1098</v>
      </c>
      <c r="D83" t="s">
        <v>1073</v>
      </c>
      <c r="E83" t="s">
        <v>1086</v>
      </c>
      <c r="F83">
        <v>663.79</v>
      </c>
    </row>
    <row r="84" spans="1:6" hidden="1" x14ac:dyDescent="0.25">
      <c r="A84" s="70">
        <v>6211224</v>
      </c>
      <c r="B84" t="s">
        <v>41</v>
      </c>
      <c r="C84" t="s">
        <v>1103</v>
      </c>
      <c r="D84" t="s">
        <v>1073</v>
      </c>
      <c r="E84" t="s">
        <v>1086</v>
      </c>
      <c r="F84">
        <v>663.78</v>
      </c>
    </row>
    <row r="85" spans="1:6" hidden="1" x14ac:dyDescent="0.25">
      <c r="A85" s="70">
        <v>1911201</v>
      </c>
      <c r="B85" t="s">
        <v>275</v>
      </c>
      <c r="C85" t="s">
        <v>1104</v>
      </c>
      <c r="D85" t="s">
        <v>1073</v>
      </c>
      <c r="E85" t="s">
        <v>1086</v>
      </c>
      <c r="F85">
        <v>663.55</v>
      </c>
    </row>
    <row r="86" spans="1:6" hidden="1" x14ac:dyDescent="0.25">
      <c r="A86" s="70">
        <v>3211046</v>
      </c>
      <c r="B86" t="s">
        <v>65</v>
      </c>
      <c r="C86" t="s">
        <v>1072</v>
      </c>
      <c r="D86" t="s">
        <v>1073</v>
      </c>
      <c r="E86" t="s">
        <v>1086</v>
      </c>
      <c r="F86">
        <v>663.3</v>
      </c>
    </row>
    <row r="87" spans="1:6" hidden="1" x14ac:dyDescent="0.25">
      <c r="A87" s="70">
        <v>3611356</v>
      </c>
      <c r="B87" t="s">
        <v>277</v>
      </c>
      <c r="C87" t="s">
        <v>1076</v>
      </c>
      <c r="D87" t="s">
        <v>1073</v>
      </c>
      <c r="E87" t="s">
        <v>1086</v>
      </c>
      <c r="F87">
        <v>663.06</v>
      </c>
    </row>
    <row r="88" spans="1:6" hidden="1" x14ac:dyDescent="0.25">
      <c r="A88" s="70">
        <v>1111165</v>
      </c>
      <c r="B88" t="s">
        <v>41</v>
      </c>
      <c r="C88" t="s">
        <v>1105</v>
      </c>
      <c r="D88" t="s">
        <v>1073</v>
      </c>
      <c r="E88" t="s">
        <v>1086</v>
      </c>
      <c r="F88">
        <v>662.84</v>
      </c>
    </row>
    <row r="89" spans="1:6" hidden="1" x14ac:dyDescent="0.25">
      <c r="A89" s="70">
        <v>3551236</v>
      </c>
      <c r="B89" t="s">
        <v>49</v>
      </c>
      <c r="C89" t="s">
        <v>1082</v>
      </c>
      <c r="D89" t="s">
        <v>1073</v>
      </c>
      <c r="E89" t="s">
        <v>1086</v>
      </c>
      <c r="F89">
        <v>662.06</v>
      </c>
    </row>
    <row r="90" spans="1:6" hidden="1" x14ac:dyDescent="0.25">
      <c r="A90" s="70">
        <v>3321146</v>
      </c>
      <c r="B90" t="s">
        <v>372</v>
      </c>
      <c r="C90" t="s">
        <v>1079</v>
      </c>
      <c r="D90" t="s">
        <v>1073</v>
      </c>
      <c r="E90" t="s">
        <v>1086</v>
      </c>
      <c r="F90">
        <v>662.02</v>
      </c>
    </row>
    <row r="91" spans="1:6" hidden="1" x14ac:dyDescent="0.25">
      <c r="A91" s="70">
        <v>3551333</v>
      </c>
      <c r="B91" t="s">
        <v>436</v>
      </c>
      <c r="C91" t="s">
        <v>1082</v>
      </c>
      <c r="D91" t="s">
        <v>1073</v>
      </c>
      <c r="E91" t="s">
        <v>1086</v>
      </c>
      <c r="F91">
        <v>661.94</v>
      </c>
    </row>
    <row r="92" spans="1:6" hidden="1" x14ac:dyDescent="0.25">
      <c r="A92" s="70">
        <v>3611414</v>
      </c>
      <c r="B92" t="s">
        <v>492</v>
      </c>
      <c r="C92" t="s">
        <v>1076</v>
      </c>
      <c r="D92" t="s">
        <v>1073</v>
      </c>
      <c r="E92" t="s">
        <v>1086</v>
      </c>
      <c r="F92">
        <v>661.84</v>
      </c>
    </row>
    <row r="93" spans="1:6" hidden="1" x14ac:dyDescent="0.25">
      <c r="A93" s="70">
        <v>3211271</v>
      </c>
      <c r="B93" t="s">
        <v>292</v>
      </c>
      <c r="C93" t="s">
        <v>1072</v>
      </c>
      <c r="D93" t="s">
        <v>1073</v>
      </c>
      <c r="E93" t="s">
        <v>1086</v>
      </c>
      <c r="F93">
        <v>661.59</v>
      </c>
    </row>
    <row r="94" spans="1:6" hidden="1" x14ac:dyDescent="0.25">
      <c r="A94" s="70">
        <v>3611163</v>
      </c>
      <c r="B94" t="s">
        <v>22</v>
      </c>
      <c r="C94" t="s">
        <v>1076</v>
      </c>
      <c r="D94" t="s">
        <v>1073</v>
      </c>
      <c r="E94" t="s">
        <v>1086</v>
      </c>
      <c r="F94">
        <v>660.98</v>
      </c>
    </row>
    <row r="95" spans="1:6" hidden="1" x14ac:dyDescent="0.25">
      <c r="A95" s="70">
        <v>3721305</v>
      </c>
      <c r="B95" t="s">
        <v>85</v>
      </c>
      <c r="C95" t="s">
        <v>1083</v>
      </c>
      <c r="D95" t="s">
        <v>1073</v>
      </c>
      <c r="E95" t="s">
        <v>1086</v>
      </c>
      <c r="F95">
        <v>660.95</v>
      </c>
    </row>
    <row r="96" spans="1:6" hidden="1" x14ac:dyDescent="0.25">
      <c r="A96" s="70">
        <v>3821136</v>
      </c>
      <c r="B96" t="s">
        <v>19</v>
      </c>
      <c r="C96" t="s">
        <v>1090</v>
      </c>
      <c r="D96" t="s">
        <v>1073</v>
      </c>
      <c r="E96" t="s">
        <v>1086</v>
      </c>
      <c r="F96">
        <v>660.33</v>
      </c>
    </row>
    <row r="97" spans="1:6" hidden="1" x14ac:dyDescent="0.25">
      <c r="A97" s="70">
        <v>3711083</v>
      </c>
      <c r="B97" t="s">
        <v>85</v>
      </c>
      <c r="C97" t="s">
        <v>1089</v>
      </c>
      <c r="D97" t="s">
        <v>1073</v>
      </c>
      <c r="E97" t="s">
        <v>1086</v>
      </c>
      <c r="F97">
        <v>660.04</v>
      </c>
    </row>
    <row r="98" spans="1:6" hidden="1" x14ac:dyDescent="0.25">
      <c r="A98" s="70">
        <v>3531174</v>
      </c>
      <c r="B98" t="s">
        <v>80</v>
      </c>
      <c r="C98" t="s">
        <v>1084</v>
      </c>
      <c r="D98" t="s">
        <v>1073</v>
      </c>
      <c r="E98" t="s">
        <v>1086</v>
      </c>
      <c r="F98">
        <v>659.53</v>
      </c>
    </row>
    <row r="99" spans="1:6" hidden="1" x14ac:dyDescent="0.25">
      <c r="A99" s="70">
        <v>3821063</v>
      </c>
      <c r="B99" t="s">
        <v>53</v>
      </c>
      <c r="C99" t="s">
        <v>1090</v>
      </c>
      <c r="D99" t="s">
        <v>1073</v>
      </c>
      <c r="E99" t="s">
        <v>1086</v>
      </c>
      <c r="F99">
        <v>659.35</v>
      </c>
    </row>
    <row r="100" spans="1:6" hidden="1" x14ac:dyDescent="0.25">
      <c r="A100" s="70">
        <v>3821314</v>
      </c>
      <c r="B100" t="s">
        <v>26</v>
      </c>
      <c r="C100" t="s">
        <v>1090</v>
      </c>
      <c r="D100" t="s">
        <v>1073</v>
      </c>
      <c r="E100" t="s">
        <v>1086</v>
      </c>
      <c r="F100">
        <v>659.18</v>
      </c>
    </row>
    <row r="101" spans="1:6" hidden="1" x14ac:dyDescent="0.25">
      <c r="A101" s="70">
        <v>3821032</v>
      </c>
      <c r="B101" t="s">
        <v>90</v>
      </c>
      <c r="C101" t="s">
        <v>1090</v>
      </c>
      <c r="D101" t="s">
        <v>1073</v>
      </c>
      <c r="E101" t="s">
        <v>1086</v>
      </c>
      <c r="F101">
        <v>659.15</v>
      </c>
    </row>
    <row r="102" spans="1:6" x14ac:dyDescent="0.25">
      <c r="A102" s="70">
        <v>3331164</v>
      </c>
      <c r="B102" t="s">
        <v>77</v>
      </c>
      <c r="C102" t="s">
        <v>1077</v>
      </c>
      <c r="D102" t="s">
        <v>1073</v>
      </c>
      <c r="E102" t="s">
        <v>1086</v>
      </c>
      <c r="F102">
        <v>659.09</v>
      </c>
    </row>
    <row r="103" spans="1:6" hidden="1" x14ac:dyDescent="0.25">
      <c r="A103" s="70">
        <v>1311191</v>
      </c>
      <c r="B103" t="s">
        <v>215</v>
      </c>
      <c r="C103" t="s">
        <v>1106</v>
      </c>
      <c r="D103" t="s">
        <v>1073</v>
      </c>
      <c r="E103" t="s">
        <v>1086</v>
      </c>
      <c r="F103">
        <v>658.77</v>
      </c>
    </row>
    <row r="104" spans="1:6" hidden="1" x14ac:dyDescent="0.25">
      <c r="A104" s="70">
        <v>3211062</v>
      </c>
      <c r="B104" t="s">
        <v>21</v>
      </c>
      <c r="C104" t="s">
        <v>1072</v>
      </c>
      <c r="D104" t="s">
        <v>1073</v>
      </c>
      <c r="E104" t="s">
        <v>1086</v>
      </c>
      <c r="F104">
        <v>657.97</v>
      </c>
    </row>
    <row r="105" spans="1:6" hidden="1" x14ac:dyDescent="0.25">
      <c r="A105" s="70">
        <v>3611205</v>
      </c>
      <c r="B105" t="s">
        <v>246</v>
      </c>
      <c r="C105" t="s">
        <v>1076</v>
      </c>
      <c r="D105" t="s">
        <v>1073</v>
      </c>
      <c r="E105" t="s">
        <v>1086</v>
      </c>
      <c r="F105">
        <v>657.52</v>
      </c>
    </row>
    <row r="106" spans="1:6" hidden="1" x14ac:dyDescent="0.25">
      <c r="A106" s="70">
        <v>3411273</v>
      </c>
      <c r="B106" t="s">
        <v>271</v>
      </c>
      <c r="C106" t="s">
        <v>1098</v>
      </c>
      <c r="D106" t="s">
        <v>1073</v>
      </c>
      <c r="E106" t="s">
        <v>1086</v>
      </c>
      <c r="F106">
        <v>657.46</v>
      </c>
    </row>
    <row r="107" spans="1:6" hidden="1" x14ac:dyDescent="0.25">
      <c r="A107" s="70">
        <v>3611364</v>
      </c>
      <c r="B107" t="s">
        <v>92</v>
      </c>
      <c r="C107" t="s">
        <v>1076</v>
      </c>
      <c r="D107" t="s">
        <v>1073</v>
      </c>
      <c r="E107" t="s">
        <v>1086</v>
      </c>
      <c r="F107">
        <v>657.45</v>
      </c>
    </row>
    <row r="108" spans="1:6" hidden="1" x14ac:dyDescent="0.25">
      <c r="A108" s="70">
        <v>3511212</v>
      </c>
      <c r="B108" t="s">
        <v>85</v>
      </c>
      <c r="C108" t="s">
        <v>1088</v>
      </c>
      <c r="D108" t="s">
        <v>1073</v>
      </c>
      <c r="E108" t="s">
        <v>1086</v>
      </c>
      <c r="F108">
        <v>657.41</v>
      </c>
    </row>
    <row r="109" spans="1:6" hidden="1" x14ac:dyDescent="0.25">
      <c r="A109" s="70">
        <v>3821295</v>
      </c>
      <c r="B109" t="s">
        <v>517</v>
      </c>
      <c r="C109" t="s">
        <v>1090</v>
      </c>
      <c r="D109" t="s">
        <v>1073</v>
      </c>
      <c r="E109" t="s">
        <v>1086</v>
      </c>
      <c r="F109">
        <v>657.05</v>
      </c>
    </row>
    <row r="110" spans="1:6" hidden="1" x14ac:dyDescent="0.25">
      <c r="A110" s="70">
        <v>3811037</v>
      </c>
      <c r="B110" t="s">
        <v>1107</v>
      </c>
      <c r="C110" t="s">
        <v>1075</v>
      </c>
      <c r="D110" t="s">
        <v>1073</v>
      </c>
      <c r="E110" t="s">
        <v>1086</v>
      </c>
      <c r="F110">
        <v>657.01</v>
      </c>
    </row>
    <row r="111" spans="1:6" hidden="1" x14ac:dyDescent="0.25">
      <c r="A111" s="70">
        <v>3551101</v>
      </c>
      <c r="B111" t="s">
        <v>80</v>
      </c>
      <c r="C111" t="s">
        <v>1082</v>
      </c>
      <c r="D111" t="s">
        <v>1073</v>
      </c>
      <c r="E111" t="s">
        <v>1086</v>
      </c>
      <c r="F111">
        <v>656.98</v>
      </c>
    </row>
    <row r="112" spans="1:6" hidden="1" x14ac:dyDescent="0.25">
      <c r="A112" s="70">
        <v>6121217</v>
      </c>
      <c r="B112" t="s">
        <v>236</v>
      </c>
      <c r="C112" t="s">
        <v>1108</v>
      </c>
      <c r="D112" t="s">
        <v>1073</v>
      </c>
      <c r="E112" t="s">
        <v>1086</v>
      </c>
      <c r="F112">
        <v>656.65</v>
      </c>
    </row>
    <row r="113" spans="1:6" hidden="1" x14ac:dyDescent="0.25">
      <c r="A113" s="70">
        <v>3321131</v>
      </c>
      <c r="B113" t="s">
        <v>368</v>
      </c>
      <c r="C113" t="s">
        <v>1079</v>
      </c>
      <c r="D113" t="s">
        <v>1073</v>
      </c>
      <c r="E113" t="s">
        <v>1086</v>
      </c>
      <c r="F113">
        <v>656.61</v>
      </c>
    </row>
    <row r="114" spans="1:6" x14ac:dyDescent="0.25">
      <c r="A114" s="70">
        <v>3331067</v>
      </c>
      <c r="B114" t="s">
        <v>90</v>
      </c>
      <c r="C114" t="s">
        <v>1077</v>
      </c>
      <c r="D114" t="s">
        <v>1073</v>
      </c>
      <c r="E114" t="s">
        <v>1086</v>
      </c>
      <c r="F114">
        <v>656.38</v>
      </c>
    </row>
    <row r="115" spans="1:6" hidden="1" x14ac:dyDescent="0.25">
      <c r="A115" s="70">
        <v>3551171</v>
      </c>
      <c r="B115" t="s">
        <v>54</v>
      </c>
      <c r="C115" t="s">
        <v>1082</v>
      </c>
      <c r="D115" t="s">
        <v>1073</v>
      </c>
      <c r="E115" t="s">
        <v>1086</v>
      </c>
      <c r="F115">
        <v>656.18</v>
      </c>
    </row>
    <row r="116" spans="1:6" hidden="1" x14ac:dyDescent="0.25">
      <c r="A116" s="70">
        <v>3211286</v>
      </c>
      <c r="B116" t="s">
        <v>246</v>
      </c>
      <c r="C116" t="s">
        <v>1072</v>
      </c>
      <c r="D116" t="s">
        <v>1073</v>
      </c>
      <c r="E116" t="s">
        <v>1086</v>
      </c>
      <c r="F116">
        <v>656</v>
      </c>
    </row>
    <row r="117" spans="1:6" hidden="1" x14ac:dyDescent="0.25">
      <c r="A117" s="70">
        <v>3551205</v>
      </c>
      <c r="B117" t="s">
        <v>51</v>
      </c>
      <c r="C117" t="s">
        <v>1082</v>
      </c>
      <c r="D117" t="s">
        <v>1073</v>
      </c>
      <c r="E117" t="s">
        <v>1086</v>
      </c>
      <c r="F117">
        <v>655.57</v>
      </c>
    </row>
    <row r="118" spans="1:6" hidden="1" x14ac:dyDescent="0.25">
      <c r="A118" s="70">
        <v>3211263</v>
      </c>
      <c r="B118" t="s">
        <v>251</v>
      </c>
      <c r="C118" t="s">
        <v>1072</v>
      </c>
      <c r="D118" t="s">
        <v>1073</v>
      </c>
      <c r="E118" t="s">
        <v>1086</v>
      </c>
      <c r="F118">
        <v>655.39</v>
      </c>
    </row>
    <row r="119" spans="1:6" hidden="1" x14ac:dyDescent="0.25">
      <c r="A119" s="70">
        <v>5111207</v>
      </c>
      <c r="B119" t="s">
        <v>215</v>
      </c>
      <c r="C119" t="s">
        <v>1109</v>
      </c>
      <c r="D119" t="s">
        <v>1073</v>
      </c>
      <c r="E119" t="s">
        <v>1086</v>
      </c>
      <c r="F119">
        <v>655.37</v>
      </c>
    </row>
    <row r="120" spans="1:6" hidden="1" x14ac:dyDescent="0.25">
      <c r="A120" s="70">
        <v>3611051</v>
      </c>
      <c r="B120" t="s">
        <v>490</v>
      </c>
      <c r="C120" t="s">
        <v>1076</v>
      </c>
      <c r="D120" t="s">
        <v>1073</v>
      </c>
      <c r="E120" t="s">
        <v>1086</v>
      </c>
      <c r="F120">
        <v>654.73</v>
      </c>
    </row>
    <row r="121" spans="1:6" hidden="1" x14ac:dyDescent="0.25">
      <c r="A121" s="70">
        <v>3211294</v>
      </c>
      <c r="B121" t="s">
        <v>291</v>
      </c>
      <c r="C121" t="s">
        <v>1072</v>
      </c>
      <c r="D121" t="s">
        <v>1073</v>
      </c>
      <c r="E121" t="s">
        <v>1086</v>
      </c>
      <c r="F121">
        <v>654.35</v>
      </c>
    </row>
    <row r="122" spans="1:6" hidden="1" x14ac:dyDescent="0.25">
      <c r="A122" s="70">
        <v>3611461</v>
      </c>
      <c r="B122" t="s">
        <v>166</v>
      </c>
      <c r="C122" t="s">
        <v>1076</v>
      </c>
      <c r="D122" t="s">
        <v>1073</v>
      </c>
      <c r="E122" t="s">
        <v>1086</v>
      </c>
      <c r="F122">
        <v>653.79999999999995</v>
      </c>
    </row>
    <row r="123" spans="1:6" hidden="1" x14ac:dyDescent="0.25">
      <c r="A123" s="70">
        <v>3321154</v>
      </c>
      <c r="B123" t="s">
        <v>370</v>
      </c>
      <c r="C123" t="s">
        <v>1079</v>
      </c>
      <c r="D123" t="s">
        <v>1073</v>
      </c>
      <c r="E123" t="s">
        <v>1086</v>
      </c>
      <c r="F123">
        <v>653.49</v>
      </c>
    </row>
    <row r="124" spans="1:6" hidden="1" x14ac:dyDescent="0.25">
      <c r="A124" s="70">
        <v>5311233</v>
      </c>
      <c r="B124" t="s">
        <v>41</v>
      </c>
      <c r="C124" t="s">
        <v>1104</v>
      </c>
      <c r="D124" t="s">
        <v>1073</v>
      </c>
      <c r="E124" t="s">
        <v>1086</v>
      </c>
      <c r="F124">
        <v>653.29999999999995</v>
      </c>
    </row>
    <row r="125" spans="1:6" hidden="1" x14ac:dyDescent="0.25">
      <c r="A125" s="70">
        <v>3611043</v>
      </c>
      <c r="B125" t="s">
        <v>487</v>
      </c>
      <c r="C125" t="s">
        <v>1076</v>
      </c>
      <c r="D125" t="s">
        <v>1073</v>
      </c>
      <c r="E125" t="s">
        <v>1086</v>
      </c>
      <c r="F125">
        <v>653.27</v>
      </c>
    </row>
    <row r="126" spans="1:6" hidden="1" x14ac:dyDescent="0.25">
      <c r="A126" s="70">
        <v>3821256</v>
      </c>
      <c r="B126" t="s">
        <v>93</v>
      </c>
      <c r="C126" t="s">
        <v>1090</v>
      </c>
      <c r="D126" t="s">
        <v>1073</v>
      </c>
      <c r="E126" t="s">
        <v>1086</v>
      </c>
      <c r="F126">
        <v>653.27</v>
      </c>
    </row>
    <row r="127" spans="1:6" x14ac:dyDescent="0.25">
      <c r="A127" s="70">
        <v>3331021</v>
      </c>
      <c r="B127" t="s">
        <v>66</v>
      </c>
      <c r="C127" t="s">
        <v>1077</v>
      </c>
      <c r="D127" t="s">
        <v>1073</v>
      </c>
      <c r="E127" t="s">
        <v>1086</v>
      </c>
      <c r="F127">
        <v>652.66999999999996</v>
      </c>
    </row>
    <row r="128" spans="1:6" hidden="1" x14ac:dyDescent="0.25">
      <c r="A128" s="70">
        <v>3611155</v>
      </c>
      <c r="B128" t="s">
        <v>65</v>
      </c>
      <c r="C128" t="s">
        <v>1076</v>
      </c>
      <c r="D128" t="s">
        <v>1073</v>
      </c>
      <c r="E128" t="s">
        <v>1086</v>
      </c>
      <c r="F128">
        <v>652.38</v>
      </c>
    </row>
    <row r="129" spans="1:6" hidden="1" x14ac:dyDescent="0.25">
      <c r="A129" s="70">
        <v>3531023</v>
      </c>
      <c r="B129" t="s">
        <v>36</v>
      </c>
      <c r="C129" t="s">
        <v>1084</v>
      </c>
      <c r="D129" t="s">
        <v>1073</v>
      </c>
      <c r="E129" t="s">
        <v>1086</v>
      </c>
      <c r="F129">
        <v>652.26</v>
      </c>
    </row>
    <row r="130" spans="1:6" hidden="1" x14ac:dyDescent="0.25">
      <c r="A130" s="70">
        <v>3611012</v>
      </c>
      <c r="B130" t="s">
        <v>21</v>
      </c>
      <c r="C130" t="s">
        <v>1076</v>
      </c>
      <c r="D130" t="s">
        <v>1073</v>
      </c>
      <c r="E130" t="s">
        <v>1086</v>
      </c>
      <c r="F130">
        <v>652.04999999999995</v>
      </c>
    </row>
    <row r="131" spans="1:6" x14ac:dyDescent="0.25">
      <c r="A131" s="70">
        <v>3331141</v>
      </c>
      <c r="B131" t="s">
        <v>271</v>
      </c>
      <c r="C131" t="s">
        <v>1077</v>
      </c>
      <c r="D131" t="s">
        <v>1073</v>
      </c>
      <c r="E131" t="s">
        <v>1086</v>
      </c>
      <c r="F131">
        <v>651.11</v>
      </c>
    </row>
    <row r="132" spans="1:6" hidden="1" x14ac:dyDescent="0.25">
      <c r="A132" s="70">
        <v>3411354</v>
      </c>
      <c r="B132" t="s">
        <v>346</v>
      </c>
      <c r="C132" t="s">
        <v>1098</v>
      </c>
      <c r="D132" t="s">
        <v>1073</v>
      </c>
      <c r="E132" t="s">
        <v>1086</v>
      </c>
      <c r="F132">
        <v>650.77</v>
      </c>
    </row>
    <row r="133" spans="1:6" hidden="1" x14ac:dyDescent="0.25">
      <c r="A133" s="70">
        <v>5411211</v>
      </c>
      <c r="B133" t="s">
        <v>41</v>
      </c>
      <c r="C133" t="s">
        <v>1110</v>
      </c>
      <c r="D133" t="s">
        <v>1073</v>
      </c>
      <c r="E133" t="s">
        <v>1086</v>
      </c>
      <c r="F133">
        <v>650.57000000000005</v>
      </c>
    </row>
    <row r="134" spans="1:6" hidden="1" x14ac:dyDescent="0.25">
      <c r="A134" s="70">
        <v>3411315</v>
      </c>
      <c r="B134" t="s">
        <v>357</v>
      </c>
      <c r="C134" t="s">
        <v>1098</v>
      </c>
      <c r="D134" t="s">
        <v>1073</v>
      </c>
      <c r="E134" t="s">
        <v>1086</v>
      </c>
      <c r="F134">
        <v>650.1</v>
      </c>
    </row>
    <row r="135" spans="1:6" hidden="1" x14ac:dyDescent="0.25">
      <c r="A135" s="70">
        <v>3721247</v>
      </c>
      <c r="B135" t="s">
        <v>49</v>
      </c>
      <c r="C135" t="s">
        <v>1083</v>
      </c>
      <c r="D135" t="s">
        <v>1073</v>
      </c>
      <c r="E135" t="s">
        <v>1086</v>
      </c>
      <c r="F135">
        <v>650.02</v>
      </c>
    </row>
    <row r="136" spans="1:6" hidden="1" x14ac:dyDescent="0.25">
      <c r="A136" s="70">
        <v>3821094</v>
      </c>
      <c r="B136" t="s">
        <v>267</v>
      </c>
      <c r="C136" t="s">
        <v>1090</v>
      </c>
      <c r="D136" t="s">
        <v>1073</v>
      </c>
      <c r="E136" t="s">
        <v>1086</v>
      </c>
      <c r="F136">
        <v>650.02</v>
      </c>
    </row>
    <row r="137" spans="1:6" hidden="1" x14ac:dyDescent="0.25">
      <c r="A137" s="70">
        <v>3721182</v>
      </c>
      <c r="B137" t="s">
        <v>90</v>
      </c>
      <c r="C137" t="s">
        <v>1083</v>
      </c>
      <c r="D137" t="s">
        <v>1073</v>
      </c>
      <c r="E137" t="s">
        <v>1086</v>
      </c>
      <c r="F137">
        <v>649.74</v>
      </c>
    </row>
    <row r="138" spans="1:6" hidden="1" x14ac:dyDescent="0.25">
      <c r="A138" s="70">
        <v>3411041</v>
      </c>
      <c r="B138" t="s">
        <v>342</v>
      </c>
      <c r="C138" t="s">
        <v>1098</v>
      </c>
      <c r="D138" t="s">
        <v>1073</v>
      </c>
      <c r="E138" t="s">
        <v>1086</v>
      </c>
      <c r="F138">
        <v>649.44000000000005</v>
      </c>
    </row>
    <row r="139" spans="1:6" hidden="1" x14ac:dyDescent="0.25">
      <c r="A139" s="70">
        <v>3721336</v>
      </c>
      <c r="B139" t="s">
        <v>77</v>
      </c>
      <c r="C139" t="s">
        <v>1083</v>
      </c>
      <c r="D139" t="s">
        <v>1073</v>
      </c>
      <c r="E139" t="s">
        <v>1086</v>
      </c>
      <c r="F139">
        <v>649.23</v>
      </c>
    </row>
    <row r="140" spans="1:6" hidden="1" x14ac:dyDescent="0.25">
      <c r="A140" s="70">
        <v>3511131</v>
      </c>
      <c r="B140" t="s">
        <v>77</v>
      </c>
      <c r="C140" t="s">
        <v>1088</v>
      </c>
      <c r="D140" t="s">
        <v>1073</v>
      </c>
      <c r="E140" t="s">
        <v>1086</v>
      </c>
      <c r="F140">
        <v>649.13</v>
      </c>
    </row>
    <row r="141" spans="1:6" hidden="1" x14ac:dyDescent="0.25">
      <c r="A141" s="70">
        <v>3231155</v>
      </c>
      <c r="B141" t="s">
        <v>111</v>
      </c>
      <c r="C141" t="s">
        <v>1111</v>
      </c>
      <c r="D141" t="s">
        <v>1073</v>
      </c>
      <c r="E141" t="s">
        <v>1086</v>
      </c>
      <c r="F141">
        <v>648.91</v>
      </c>
    </row>
    <row r="142" spans="1:6" hidden="1" x14ac:dyDescent="0.25">
      <c r="A142" s="70">
        <v>3821113</v>
      </c>
      <c r="B142" t="s">
        <v>52</v>
      </c>
      <c r="C142" t="s">
        <v>1090</v>
      </c>
      <c r="D142" t="s">
        <v>1073</v>
      </c>
      <c r="E142" t="s">
        <v>1086</v>
      </c>
      <c r="F142">
        <v>648.4</v>
      </c>
    </row>
    <row r="143" spans="1:6" hidden="1" x14ac:dyDescent="0.25">
      <c r="A143" s="70">
        <v>3551213</v>
      </c>
      <c r="B143" t="s">
        <v>48</v>
      </c>
      <c r="C143" t="s">
        <v>1082</v>
      </c>
      <c r="D143" t="s">
        <v>1073</v>
      </c>
      <c r="E143" t="s">
        <v>1086</v>
      </c>
      <c r="F143">
        <v>648.29</v>
      </c>
    </row>
    <row r="144" spans="1:6" x14ac:dyDescent="0.25">
      <c r="A144" s="70">
        <v>3331222</v>
      </c>
      <c r="B144" t="s">
        <v>48</v>
      </c>
      <c r="C144" t="s">
        <v>1077</v>
      </c>
      <c r="D144" t="s">
        <v>1073</v>
      </c>
      <c r="E144" t="s">
        <v>1086</v>
      </c>
      <c r="F144">
        <v>648.1</v>
      </c>
    </row>
    <row r="145" spans="1:6" hidden="1" x14ac:dyDescent="0.25">
      <c r="A145" s="70">
        <v>3721031</v>
      </c>
      <c r="B145" t="s">
        <v>54</v>
      </c>
      <c r="C145" t="s">
        <v>1083</v>
      </c>
      <c r="D145" t="s">
        <v>1073</v>
      </c>
      <c r="E145" t="s">
        <v>1086</v>
      </c>
      <c r="F145">
        <v>648.08000000000004</v>
      </c>
    </row>
    <row r="146" spans="1:6" hidden="1" x14ac:dyDescent="0.25">
      <c r="A146" s="70">
        <v>3611101</v>
      </c>
      <c r="B146" t="s">
        <v>348</v>
      </c>
      <c r="C146" t="s">
        <v>1076</v>
      </c>
      <c r="D146" t="s">
        <v>1073</v>
      </c>
      <c r="E146" t="s">
        <v>1086</v>
      </c>
      <c r="F146">
        <v>648.05999999999995</v>
      </c>
    </row>
    <row r="147" spans="1:6" hidden="1" x14ac:dyDescent="0.25">
      <c r="A147" s="70">
        <v>3821144</v>
      </c>
      <c r="B147" t="s">
        <v>25</v>
      </c>
      <c r="C147" t="s">
        <v>1090</v>
      </c>
      <c r="D147" t="s">
        <v>1073</v>
      </c>
      <c r="E147" t="s">
        <v>1086</v>
      </c>
      <c r="F147">
        <v>648</v>
      </c>
    </row>
    <row r="148" spans="1:6" hidden="1" x14ac:dyDescent="0.25">
      <c r="A148" s="70">
        <v>3531271</v>
      </c>
      <c r="B148" t="s">
        <v>77</v>
      </c>
      <c r="C148" t="s">
        <v>1084</v>
      </c>
      <c r="D148" t="s">
        <v>1073</v>
      </c>
      <c r="E148" t="s">
        <v>1086</v>
      </c>
      <c r="F148">
        <v>647.24</v>
      </c>
    </row>
    <row r="149" spans="1:6" hidden="1" x14ac:dyDescent="0.25">
      <c r="A149" s="70">
        <v>3531077</v>
      </c>
      <c r="B149" t="s">
        <v>54</v>
      </c>
      <c r="C149" t="s">
        <v>1084</v>
      </c>
      <c r="D149" t="s">
        <v>1073</v>
      </c>
      <c r="E149" t="s">
        <v>1086</v>
      </c>
      <c r="F149">
        <v>647.11</v>
      </c>
    </row>
    <row r="150" spans="1:6" hidden="1" x14ac:dyDescent="0.25">
      <c r="A150" s="70">
        <v>3721255</v>
      </c>
      <c r="B150" t="s">
        <v>50</v>
      </c>
      <c r="C150" t="s">
        <v>1083</v>
      </c>
      <c r="D150" t="s">
        <v>1073</v>
      </c>
      <c r="E150" t="s">
        <v>1086</v>
      </c>
      <c r="F150">
        <v>646.77</v>
      </c>
    </row>
    <row r="151" spans="1:6" hidden="1" x14ac:dyDescent="0.25">
      <c r="A151" s="70">
        <v>6111262</v>
      </c>
      <c r="B151" t="s">
        <v>85</v>
      </c>
      <c r="C151" t="s">
        <v>1087</v>
      </c>
      <c r="D151" t="s">
        <v>1073</v>
      </c>
      <c r="E151" t="s">
        <v>1086</v>
      </c>
      <c r="F151">
        <v>646.77</v>
      </c>
    </row>
    <row r="152" spans="1:6" hidden="1" x14ac:dyDescent="0.25">
      <c r="A152" s="70">
        <v>3551186</v>
      </c>
      <c r="B152" t="s">
        <v>19</v>
      </c>
      <c r="C152" t="s">
        <v>1082</v>
      </c>
      <c r="D152" t="s">
        <v>1073</v>
      </c>
      <c r="E152" t="s">
        <v>1086</v>
      </c>
      <c r="F152">
        <v>646.76</v>
      </c>
    </row>
    <row r="153" spans="1:6" hidden="1" x14ac:dyDescent="0.25">
      <c r="A153" s="70">
        <v>3551341</v>
      </c>
      <c r="B153" t="s">
        <v>77</v>
      </c>
      <c r="C153" t="s">
        <v>1082</v>
      </c>
      <c r="D153" t="s">
        <v>1073</v>
      </c>
      <c r="E153" t="s">
        <v>1086</v>
      </c>
      <c r="F153">
        <v>646.72</v>
      </c>
    </row>
    <row r="154" spans="1:6" hidden="1" x14ac:dyDescent="0.25">
      <c r="A154" s="70">
        <v>3611252</v>
      </c>
      <c r="B154" t="s">
        <v>480</v>
      </c>
      <c r="C154" t="s">
        <v>1076</v>
      </c>
      <c r="D154" t="s">
        <v>1073</v>
      </c>
      <c r="E154" t="s">
        <v>1086</v>
      </c>
      <c r="F154">
        <v>646.61</v>
      </c>
    </row>
    <row r="155" spans="1:6" hidden="1" x14ac:dyDescent="0.25">
      <c r="A155" s="70">
        <v>3551097</v>
      </c>
      <c r="B155" t="s">
        <v>90</v>
      </c>
      <c r="C155" t="s">
        <v>1082</v>
      </c>
      <c r="D155" t="s">
        <v>1073</v>
      </c>
      <c r="E155" t="s">
        <v>1086</v>
      </c>
      <c r="F155">
        <v>646.44000000000005</v>
      </c>
    </row>
    <row r="156" spans="1:6" hidden="1" x14ac:dyDescent="0.25">
      <c r="A156" s="70">
        <v>3821191</v>
      </c>
      <c r="B156" t="s">
        <v>518</v>
      </c>
      <c r="C156" t="s">
        <v>1090</v>
      </c>
      <c r="D156" t="s">
        <v>1073</v>
      </c>
      <c r="E156" t="s">
        <v>1086</v>
      </c>
      <c r="F156">
        <v>646.44000000000005</v>
      </c>
    </row>
    <row r="157" spans="1:6" hidden="1" x14ac:dyDescent="0.25">
      <c r="A157" s="70">
        <v>3811157</v>
      </c>
      <c r="B157" t="s">
        <v>46</v>
      </c>
      <c r="C157" t="s">
        <v>1075</v>
      </c>
      <c r="D157" t="s">
        <v>1073</v>
      </c>
      <c r="E157" t="s">
        <v>1086</v>
      </c>
      <c r="F157">
        <v>646.02</v>
      </c>
    </row>
    <row r="158" spans="1:6" hidden="1" x14ac:dyDescent="0.25">
      <c r="A158" s="70">
        <v>7211015</v>
      </c>
      <c r="B158" t="s">
        <v>41</v>
      </c>
      <c r="C158" t="s">
        <v>1112</v>
      </c>
      <c r="D158" t="s">
        <v>1073</v>
      </c>
      <c r="E158" t="s">
        <v>1086</v>
      </c>
      <c r="F158">
        <v>646.02</v>
      </c>
    </row>
    <row r="159" spans="1:6" hidden="1" x14ac:dyDescent="0.25">
      <c r="A159" s="70">
        <v>3211197</v>
      </c>
      <c r="B159" t="s">
        <v>295</v>
      </c>
      <c r="C159" t="s">
        <v>1072</v>
      </c>
      <c r="D159" t="s">
        <v>1073</v>
      </c>
      <c r="E159" t="s">
        <v>1086</v>
      </c>
      <c r="F159">
        <v>645.84</v>
      </c>
    </row>
    <row r="160" spans="1:6" x14ac:dyDescent="0.25">
      <c r="A160" s="70">
        <v>3331172</v>
      </c>
      <c r="B160" t="s">
        <v>92</v>
      </c>
      <c r="C160" t="s">
        <v>1077</v>
      </c>
      <c r="D160" t="s">
        <v>1073</v>
      </c>
      <c r="E160" t="s">
        <v>1086</v>
      </c>
      <c r="F160">
        <v>645.72</v>
      </c>
    </row>
    <row r="161" spans="1:6" hidden="1" x14ac:dyDescent="0.25">
      <c r="A161" s="70">
        <v>3531093</v>
      </c>
      <c r="B161" t="s">
        <v>49</v>
      </c>
      <c r="C161" t="s">
        <v>1084</v>
      </c>
      <c r="D161" t="s">
        <v>1073</v>
      </c>
      <c r="E161" t="s">
        <v>1086</v>
      </c>
      <c r="F161">
        <v>645.64</v>
      </c>
    </row>
    <row r="162" spans="1:6" hidden="1" x14ac:dyDescent="0.25">
      <c r="A162" s="70">
        <v>3211085</v>
      </c>
      <c r="B162" t="s">
        <v>290</v>
      </c>
      <c r="C162" t="s">
        <v>1072</v>
      </c>
      <c r="D162" t="s">
        <v>1073</v>
      </c>
      <c r="E162" t="s">
        <v>1086</v>
      </c>
      <c r="F162">
        <v>645.62</v>
      </c>
    </row>
    <row r="163" spans="1:6" x14ac:dyDescent="0.25">
      <c r="A163" s="70">
        <v>3331036</v>
      </c>
      <c r="B163" t="s">
        <v>22</v>
      </c>
      <c r="C163" t="s">
        <v>1077</v>
      </c>
      <c r="D163" t="s">
        <v>1073</v>
      </c>
      <c r="E163" t="s">
        <v>1086</v>
      </c>
      <c r="F163">
        <v>645.6</v>
      </c>
    </row>
    <row r="164" spans="1:6" hidden="1" x14ac:dyDescent="0.25">
      <c r="A164" s="70">
        <v>3531294</v>
      </c>
      <c r="B164" t="s">
        <v>90</v>
      </c>
      <c r="C164" t="s">
        <v>1084</v>
      </c>
      <c r="D164" t="s">
        <v>1073</v>
      </c>
      <c r="E164" t="s">
        <v>1086</v>
      </c>
      <c r="F164">
        <v>645.49</v>
      </c>
    </row>
    <row r="165" spans="1:6" hidden="1" x14ac:dyDescent="0.25">
      <c r="A165" s="70">
        <v>3721093</v>
      </c>
      <c r="B165" t="s">
        <v>141</v>
      </c>
      <c r="C165" t="s">
        <v>1083</v>
      </c>
      <c r="D165" t="s">
        <v>1073</v>
      </c>
      <c r="E165" t="s">
        <v>1086</v>
      </c>
      <c r="F165">
        <v>645.23</v>
      </c>
    </row>
    <row r="166" spans="1:6" hidden="1" x14ac:dyDescent="0.25">
      <c r="A166" s="70">
        <v>3621014</v>
      </c>
      <c r="B166" t="s">
        <v>44</v>
      </c>
      <c r="C166" t="s">
        <v>1113</v>
      </c>
      <c r="D166" t="s">
        <v>1073</v>
      </c>
      <c r="E166" t="s">
        <v>1086</v>
      </c>
      <c r="F166">
        <v>645.02</v>
      </c>
    </row>
    <row r="167" spans="1:6" hidden="1" x14ac:dyDescent="0.25">
      <c r="A167" s="70">
        <v>3411443</v>
      </c>
      <c r="B167" t="s">
        <v>66</v>
      </c>
      <c r="C167" t="s">
        <v>1098</v>
      </c>
      <c r="D167" t="s">
        <v>1073</v>
      </c>
      <c r="E167" t="s">
        <v>1086</v>
      </c>
      <c r="F167">
        <v>644.66</v>
      </c>
    </row>
    <row r="168" spans="1:6" hidden="1" x14ac:dyDescent="0.25">
      <c r="A168" s="70">
        <v>3821167</v>
      </c>
      <c r="B168" t="s">
        <v>87</v>
      </c>
      <c r="C168" t="s">
        <v>1090</v>
      </c>
      <c r="D168" t="s">
        <v>1073</v>
      </c>
      <c r="E168" t="s">
        <v>1086</v>
      </c>
      <c r="F168">
        <v>644.58000000000004</v>
      </c>
    </row>
    <row r="169" spans="1:6" hidden="1" x14ac:dyDescent="0.25">
      <c r="A169" s="70">
        <v>3721367</v>
      </c>
      <c r="B169" t="s">
        <v>46</v>
      </c>
      <c r="C169" t="s">
        <v>1083</v>
      </c>
      <c r="D169" t="s">
        <v>1073</v>
      </c>
      <c r="E169" t="s">
        <v>1086</v>
      </c>
      <c r="F169">
        <v>644.45000000000005</v>
      </c>
    </row>
    <row r="170" spans="1:6" hidden="1" x14ac:dyDescent="0.25">
      <c r="A170" s="70">
        <v>1511146</v>
      </c>
      <c r="B170" t="s">
        <v>236</v>
      </c>
      <c r="C170" t="s">
        <v>1114</v>
      </c>
      <c r="D170" t="s">
        <v>1073</v>
      </c>
      <c r="E170" t="s">
        <v>1086</v>
      </c>
      <c r="F170">
        <v>644.41</v>
      </c>
    </row>
    <row r="171" spans="1:6" hidden="1" x14ac:dyDescent="0.25">
      <c r="A171" s="70">
        <v>1411064</v>
      </c>
      <c r="B171" t="s">
        <v>85</v>
      </c>
      <c r="C171" t="s">
        <v>1096</v>
      </c>
      <c r="D171" t="s">
        <v>1073</v>
      </c>
      <c r="E171" t="s">
        <v>1086</v>
      </c>
      <c r="F171">
        <v>644.4</v>
      </c>
    </row>
    <row r="172" spans="1:6" hidden="1" x14ac:dyDescent="0.25">
      <c r="A172" s="70">
        <v>3551244</v>
      </c>
      <c r="B172" t="s">
        <v>25</v>
      </c>
      <c r="C172" t="s">
        <v>1082</v>
      </c>
      <c r="D172" t="s">
        <v>1073</v>
      </c>
      <c r="E172" t="s">
        <v>1086</v>
      </c>
      <c r="F172">
        <v>644.12</v>
      </c>
    </row>
    <row r="173" spans="1:6" hidden="1" x14ac:dyDescent="0.25">
      <c r="A173" s="70">
        <v>3821024</v>
      </c>
      <c r="B173" t="s">
        <v>66</v>
      </c>
      <c r="C173" t="s">
        <v>1090</v>
      </c>
      <c r="D173" t="s">
        <v>1073</v>
      </c>
      <c r="E173" t="s">
        <v>1086</v>
      </c>
      <c r="F173">
        <v>643.76</v>
      </c>
    </row>
    <row r="174" spans="1:6" hidden="1" x14ac:dyDescent="0.25">
      <c r="A174" s="70">
        <v>7111196</v>
      </c>
      <c r="B174" t="s">
        <v>85</v>
      </c>
      <c r="C174" t="s">
        <v>1092</v>
      </c>
      <c r="D174" t="s">
        <v>1073</v>
      </c>
      <c r="E174" t="s">
        <v>1086</v>
      </c>
      <c r="F174">
        <v>643.72</v>
      </c>
    </row>
    <row r="175" spans="1:6" hidden="1" x14ac:dyDescent="0.25">
      <c r="A175" s="70">
        <v>3721062</v>
      </c>
      <c r="B175" t="s">
        <v>19</v>
      </c>
      <c r="C175" t="s">
        <v>1083</v>
      </c>
      <c r="D175" t="s">
        <v>1073</v>
      </c>
      <c r="E175" t="s">
        <v>1086</v>
      </c>
      <c r="F175">
        <v>643.66999999999996</v>
      </c>
    </row>
    <row r="176" spans="1:6" hidden="1" x14ac:dyDescent="0.25">
      <c r="A176" s="70">
        <v>3411122</v>
      </c>
      <c r="B176" t="s">
        <v>22</v>
      </c>
      <c r="C176" t="s">
        <v>1098</v>
      </c>
      <c r="D176" t="s">
        <v>1073</v>
      </c>
      <c r="E176" t="s">
        <v>1086</v>
      </c>
      <c r="F176">
        <v>643.41</v>
      </c>
    </row>
    <row r="177" spans="1:6" hidden="1" x14ac:dyDescent="0.25">
      <c r="A177" s="70">
        <v>3821272</v>
      </c>
      <c r="B177" t="s">
        <v>91</v>
      </c>
      <c r="C177" t="s">
        <v>1090</v>
      </c>
      <c r="D177" t="s">
        <v>1073</v>
      </c>
      <c r="E177" t="s">
        <v>1086</v>
      </c>
      <c r="F177">
        <v>643.20000000000005</v>
      </c>
    </row>
    <row r="178" spans="1:6" hidden="1" x14ac:dyDescent="0.25">
      <c r="A178" s="70">
        <v>1611194</v>
      </c>
      <c r="B178" t="s">
        <v>41</v>
      </c>
      <c r="C178" t="s">
        <v>1115</v>
      </c>
      <c r="D178" t="s">
        <v>1073</v>
      </c>
      <c r="E178" t="s">
        <v>1086</v>
      </c>
      <c r="F178">
        <v>643.20000000000005</v>
      </c>
    </row>
    <row r="179" spans="1:6" hidden="1" x14ac:dyDescent="0.25">
      <c r="A179" s="70">
        <v>3531112</v>
      </c>
      <c r="B179" t="s">
        <v>51</v>
      </c>
      <c r="C179" t="s">
        <v>1084</v>
      </c>
      <c r="D179" t="s">
        <v>1073</v>
      </c>
      <c r="E179" t="s">
        <v>1086</v>
      </c>
      <c r="F179">
        <v>642.97</v>
      </c>
    </row>
    <row r="180" spans="1:6" hidden="1" x14ac:dyDescent="0.25">
      <c r="A180" s="70">
        <v>3411033</v>
      </c>
      <c r="B180" t="s">
        <v>341</v>
      </c>
      <c r="C180" t="s">
        <v>1098</v>
      </c>
      <c r="D180" t="s">
        <v>1073</v>
      </c>
      <c r="E180" t="s">
        <v>1086</v>
      </c>
      <c r="F180">
        <v>642.13</v>
      </c>
    </row>
    <row r="181" spans="1:6" hidden="1" x14ac:dyDescent="0.25">
      <c r="A181" s="70">
        <v>3551043</v>
      </c>
      <c r="B181" t="s">
        <v>113</v>
      </c>
      <c r="C181" t="s">
        <v>1082</v>
      </c>
      <c r="D181" t="s">
        <v>1073</v>
      </c>
      <c r="E181" t="s">
        <v>1086</v>
      </c>
      <c r="F181">
        <v>642.09</v>
      </c>
    </row>
    <row r="182" spans="1:6" hidden="1" x14ac:dyDescent="0.25">
      <c r="A182" s="70">
        <v>3721417</v>
      </c>
      <c r="B182" t="s">
        <v>435</v>
      </c>
      <c r="C182" t="s">
        <v>1083</v>
      </c>
      <c r="D182" t="s">
        <v>1073</v>
      </c>
      <c r="E182" t="s">
        <v>1086</v>
      </c>
      <c r="F182">
        <v>641.97</v>
      </c>
    </row>
    <row r="183" spans="1:6" hidden="1" x14ac:dyDescent="0.25">
      <c r="A183" s="70">
        <v>3551194</v>
      </c>
      <c r="B183" t="s">
        <v>53</v>
      </c>
      <c r="C183" t="s">
        <v>1082</v>
      </c>
      <c r="D183" t="s">
        <v>1073</v>
      </c>
      <c r="E183" t="s">
        <v>1086</v>
      </c>
      <c r="F183">
        <v>641.71</v>
      </c>
    </row>
    <row r="184" spans="1:6" hidden="1" x14ac:dyDescent="0.25">
      <c r="A184" s="70">
        <v>3721232</v>
      </c>
      <c r="B184" t="s">
        <v>539</v>
      </c>
      <c r="C184" t="s">
        <v>1083</v>
      </c>
      <c r="D184" t="s">
        <v>1073</v>
      </c>
      <c r="E184" t="s">
        <v>1086</v>
      </c>
      <c r="F184">
        <v>641.62</v>
      </c>
    </row>
    <row r="185" spans="1:6" hidden="1" x14ac:dyDescent="0.25">
      <c r="A185" s="70">
        <v>3611035</v>
      </c>
      <c r="B185" t="s">
        <v>482</v>
      </c>
      <c r="C185" t="s">
        <v>1076</v>
      </c>
      <c r="D185" t="s">
        <v>1073</v>
      </c>
      <c r="E185" t="s">
        <v>1086</v>
      </c>
      <c r="F185">
        <v>641.35</v>
      </c>
    </row>
    <row r="186" spans="1:6" hidden="1" x14ac:dyDescent="0.25">
      <c r="A186" s="70">
        <v>3411346</v>
      </c>
      <c r="B186" t="s">
        <v>61</v>
      </c>
      <c r="C186" t="s">
        <v>1098</v>
      </c>
      <c r="D186" t="s">
        <v>1073</v>
      </c>
      <c r="E186" t="s">
        <v>1086</v>
      </c>
      <c r="F186">
        <v>641.34</v>
      </c>
    </row>
    <row r="187" spans="1:6" hidden="1" x14ac:dyDescent="0.25">
      <c r="A187" s="70">
        <v>3811134</v>
      </c>
      <c r="B187" t="s">
        <v>531</v>
      </c>
      <c r="C187" t="s">
        <v>1075</v>
      </c>
      <c r="D187" t="s">
        <v>1073</v>
      </c>
      <c r="E187" t="s">
        <v>1086</v>
      </c>
      <c r="F187">
        <v>641.1</v>
      </c>
    </row>
    <row r="188" spans="1:6" hidden="1" x14ac:dyDescent="0.25">
      <c r="A188" s="70">
        <v>3551302</v>
      </c>
      <c r="B188" t="s">
        <v>271</v>
      </c>
      <c r="C188" t="s">
        <v>1082</v>
      </c>
      <c r="D188" t="s">
        <v>1073</v>
      </c>
      <c r="E188" t="s">
        <v>1086</v>
      </c>
      <c r="F188">
        <v>640.88</v>
      </c>
    </row>
    <row r="189" spans="1:6" hidden="1" x14ac:dyDescent="0.25">
      <c r="A189" s="70">
        <v>3821183</v>
      </c>
      <c r="B189" t="s">
        <v>269</v>
      </c>
      <c r="C189" t="s">
        <v>1090</v>
      </c>
      <c r="D189" t="s">
        <v>1073</v>
      </c>
      <c r="E189" t="s">
        <v>1086</v>
      </c>
      <c r="F189">
        <v>640.41</v>
      </c>
    </row>
    <row r="190" spans="1:6" hidden="1" x14ac:dyDescent="0.25">
      <c r="A190" s="70">
        <v>3721054</v>
      </c>
      <c r="B190" t="s">
        <v>48</v>
      </c>
      <c r="C190" t="s">
        <v>1083</v>
      </c>
      <c r="D190" t="s">
        <v>1073</v>
      </c>
      <c r="E190" t="s">
        <v>1086</v>
      </c>
      <c r="F190">
        <v>640.26</v>
      </c>
    </row>
    <row r="191" spans="1:6" hidden="1" x14ac:dyDescent="0.25">
      <c r="A191" s="70">
        <v>6311233</v>
      </c>
      <c r="B191" t="s">
        <v>41</v>
      </c>
      <c r="C191" t="s">
        <v>1116</v>
      </c>
      <c r="D191" t="s">
        <v>1073</v>
      </c>
      <c r="E191" t="s">
        <v>1086</v>
      </c>
      <c r="F191">
        <v>640.20000000000005</v>
      </c>
    </row>
    <row r="192" spans="1:6" hidden="1" x14ac:dyDescent="0.25">
      <c r="A192" s="70">
        <v>3321162</v>
      </c>
      <c r="B192" t="s">
        <v>1117</v>
      </c>
      <c r="C192" t="s">
        <v>1079</v>
      </c>
      <c r="D192" t="s">
        <v>1073</v>
      </c>
      <c r="E192" t="s">
        <v>1086</v>
      </c>
      <c r="F192">
        <v>639.96</v>
      </c>
    </row>
    <row r="193" spans="1:6" hidden="1" x14ac:dyDescent="0.25">
      <c r="A193" s="70">
        <v>3551051</v>
      </c>
      <c r="B193" t="s">
        <v>66</v>
      </c>
      <c r="C193" t="s">
        <v>1082</v>
      </c>
      <c r="D193" t="s">
        <v>1073</v>
      </c>
      <c r="E193" t="s">
        <v>1086</v>
      </c>
      <c r="F193">
        <v>639.78</v>
      </c>
    </row>
    <row r="194" spans="1:6" hidden="1" x14ac:dyDescent="0.25">
      <c r="A194" s="70">
        <v>1411184</v>
      </c>
      <c r="B194" t="s">
        <v>77</v>
      </c>
      <c r="C194" t="s">
        <v>1096</v>
      </c>
      <c r="D194" t="s">
        <v>1073</v>
      </c>
      <c r="E194" t="s">
        <v>1086</v>
      </c>
      <c r="F194">
        <v>639.65</v>
      </c>
    </row>
    <row r="195" spans="1:6" hidden="1" x14ac:dyDescent="0.25">
      <c r="A195" s="70">
        <v>3611074</v>
      </c>
      <c r="B195" t="s">
        <v>78</v>
      </c>
      <c r="C195" t="s">
        <v>1076</v>
      </c>
      <c r="D195" t="s">
        <v>1073</v>
      </c>
      <c r="E195" t="s">
        <v>1086</v>
      </c>
      <c r="F195">
        <v>639.24</v>
      </c>
    </row>
    <row r="196" spans="1:6" hidden="1" x14ac:dyDescent="0.25">
      <c r="A196" s="70">
        <v>3621103</v>
      </c>
      <c r="B196" t="s">
        <v>66</v>
      </c>
      <c r="C196" t="s">
        <v>1113</v>
      </c>
      <c r="D196" t="s">
        <v>1073</v>
      </c>
      <c r="E196" t="s">
        <v>1086</v>
      </c>
      <c r="F196">
        <v>639.05999999999995</v>
      </c>
    </row>
    <row r="197" spans="1:6" hidden="1" x14ac:dyDescent="0.25">
      <c r="A197" s="70">
        <v>3611445</v>
      </c>
      <c r="B197" t="s">
        <v>95</v>
      </c>
      <c r="C197" t="s">
        <v>1076</v>
      </c>
      <c r="D197" t="s">
        <v>1073</v>
      </c>
      <c r="E197" t="s">
        <v>1086</v>
      </c>
      <c r="F197">
        <v>638.95000000000005</v>
      </c>
    </row>
    <row r="198" spans="1:6" hidden="1" x14ac:dyDescent="0.25">
      <c r="A198" s="70">
        <v>3621447</v>
      </c>
      <c r="B198" t="s">
        <v>26</v>
      </c>
      <c r="C198" t="s">
        <v>1113</v>
      </c>
      <c r="D198" t="s">
        <v>1073</v>
      </c>
      <c r="E198" t="s">
        <v>1086</v>
      </c>
      <c r="F198">
        <v>638.6</v>
      </c>
    </row>
    <row r="199" spans="1:6" hidden="1" x14ac:dyDescent="0.25">
      <c r="A199" s="70">
        <v>3811173</v>
      </c>
      <c r="B199" t="s">
        <v>346</v>
      </c>
      <c r="C199" t="s">
        <v>1075</v>
      </c>
      <c r="D199" t="s">
        <v>1073</v>
      </c>
      <c r="E199" t="s">
        <v>1086</v>
      </c>
      <c r="F199">
        <v>638.29999999999995</v>
      </c>
    </row>
    <row r="200" spans="1:6" hidden="1" x14ac:dyDescent="0.25">
      <c r="A200" s="70">
        <v>3621397</v>
      </c>
      <c r="B200" t="s">
        <v>90</v>
      </c>
      <c r="C200" t="s">
        <v>1113</v>
      </c>
      <c r="D200" t="s">
        <v>1073</v>
      </c>
      <c r="E200" t="s">
        <v>1086</v>
      </c>
      <c r="F200">
        <v>637.96</v>
      </c>
    </row>
    <row r="201" spans="1:6" hidden="1" x14ac:dyDescent="0.25">
      <c r="A201" s="70">
        <v>3211151</v>
      </c>
      <c r="B201" t="s">
        <v>78</v>
      </c>
      <c r="C201" t="s">
        <v>1072</v>
      </c>
      <c r="D201" t="s">
        <v>1073</v>
      </c>
      <c r="E201" t="s">
        <v>1086</v>
      </c>
      <c r="F201">
        <v>637.91999999999996</v>
      </c>
    </row>
    <row r="202" spans="1:6" hidden="1" x14ac:dyDescent="0.25">
      <c r="A202" s="70">
        <v>9111126</v>
      </c>
      <c r="B202" t="s">
        <v>41</v>
      </c>
      <c r="C202" t="s">
        <v>1118</v>
      </c>
      <c r="D202" t="s">
        <v>1073</v>
      </c>
      <c r="E202" t="s">
        <v>1086</v>
      </c>
      <c r="F202">
        <v>637.57000000000005</v>
      </c>
    </row>
    <row r="203" spans="1:6" hidden="1" x14ac:dyDescent="0.25">
      <c r="A203" s="70">
        <v>3551012</v>
      </c>
      <c r="B203" t="s">
        <v>107</v>
      </c>
      <c r="C203" t="s">
        <v>1082</v>
      </c>
      <c r="D203" t="s">
        <v>1073</v>
      </c>
      <c r="E203" t="s">
        <v>1086</v>
      </c>
      <c r="F203">
        <v>637.30999999999995</v>
      </c>
    </row>
    <row r="204" spans="1:6" hidden="1" x14ac:dyDescent="0.25">
      <c r="A204" s="70">
        <v>3411474</v>
      </c>
      <c r="B204" t="s">
        <v>343</v>
      </c>
      <c r="C204" t="s">
        <v>1098</v>
      </c>
      <c r="D204" t="s">
        <v>1073</v>
      </c>
      <c r="E204" t="s">
        <v>1086</v>
      </c>
      <c r="F204">
        <v>636.97</v>
      </c>
    </row>
    <row r="205" spans="1:6" hidden="1" x14ac:dyDescent="0.25">
      <c r="A205" s="70">
        <v>3411114</v>
      </c>
      <c r="B205" t="s">
        <v>348</v>
      </c>
      <c r="C205" t="s">
        <v>1098</v>
      </c>
      <c r="D205" t="s">
        <v>1073</v>
      </c>
      <c r="E205" t="s">
        <v>1086</v>
      </c>
      <c r="F205">
        <v>636.91</v>
      </c>
    </row>
    <row r="206" spans="1:6" x14ac:dyDescent="0.25">
      <c r="A206" s="70">
        <v>3331195</v>
      </c>
      <c r="B206" t="s">
        <v>246</v>
      </c>
      <c r="C206" t="s">
        <v>1077</v>
      </c>
      <c r="D206" t="s">
        <v>1073</v>
      </c>
      <c r="E206" t="s">
        <v>1086</v>
      </c>
      <c r="F206">
        <v>636.78</v>
      </c>
    </row>
    <row r="207" spans="1:6" hidden="1" x14ac:dyDescent="0.25">
      <c r="A207" s="70">
        <v>3551221</v>
      </c>
      <c r="B207" t="s">
        <v>87</v>
      </c>
      <c r="C207" t="s">
        <v>1082</v>
      </c>
      <c r="D207" t="s">
        <v>1073</v>
      </c>
      <c r="E207" t="s">
        <v>1086</v>
      </c>
      <c r="F207">
        <v>636.73</v>
      </c>
    </row>
    <row r="208" spans="1:6" hidden="1" x14ac:dyDescent="0.25">
      <c r="A208" s="70">
        <v>3231074</v>
      </c>
      <c r="B208" t="s">
        <v>22</v>
      </c>
      <c r="C208" t="s">
        <v>1111</v>
      </c>
      <c r="D208" t="s">
        <v>1073</v>
      </c>
      <c r="E208" t="s">
        <v>1086</v>
      </c>
      <c r="F208">
        <v>636.58000000000004</v>
      </c>
    </row>
    <row r="209" spans="1:6" hidden="1" x14ac:dyDescent="0.25">
      <c r="A209" s="70">
        <v>1711075</v>
      </c>
      <c r="B209" t="s">
        <v>85</v>
      </c>
      <c r="C209" t="s">
        <v>1097</v>
      </c>
      <c r="D209" t="s">
        <v>1073</v>
      </c>
      <c r="E209" t="s">
        <v>1086</v>
      </c>
      <c r="F209">
        <v>636.55999999999995</v>
      </c>
    </row>
    <row r="210" spans="1:6" hidden="1" x14ac:dyDescent="0.25">
      <c r="A210" s="70">
        <v>3721375</v>
      </c>
      <c r="B210" t="s">
        <v>51</v>
      </c>
      <c r="C210" t="s">
        <v>1083</v>
      </c>
      <c r="D210" t="s">
        <v>1073</v>
      </c>
      <c r="E210" t="s">
        <v>1086</v>
      </c>
      <c r="F210">
        <v>636.49</v>
      </c>
    </row>
    <row r="211" spans="1:6" hidden="1" x14ac:dyDescent="0.25">
      <c r="A211" s="70">
        <v>3631024</v>
      </c>
      <c r="B211" t="s">
        <v>239</v>
      </c>
      <c r="C211" t="s">
        <v>1119</v>
      </c>
      <c r="D211" t="s">
        <v>1073</v>
      </c>
      <c r="E211" t="s">
        <v>1086</v>
      </c>
      <c r="F211">
        <v>636.41</v>
      </c>
    </row>
    <row r="212" spans="1:6" hidden="1" x14ac:dyDescent="0.25">
      <c r="A212" s="70">
        <v>3411331</v>
      </c>
      <c r="B212" t="s">
        <v>69</v>
      </c>
      <c r="C212" t="s">
        <v>1098</v>
      </c>
      <c r="D212" t="s">
        <v>1073</v>
      </c>
      <c r="E212" t="s">
        <v>1086</v>
      </c>
      <c r="F212">
        <v>636.29</v>
      </c>
    </row>
    <row r="213" spans="1:6" hidden="1" x14ac:dyDescent="0.25">
      <c r="A213" s="70">
        <v>3721135</v>
      </c>
      <c r="B213" t="s">
        <v>66</v>
      </c>
      <c r="C213" t="s">
        <v>1083</v>
      </c>
      <c r="D213" t="s">
        <v>1073</v>
      </c>
      <c r="E213" t="s">
        <v>1086</v>
      </c>
      <c r="F213">
        <v>636.24</v>
      </c>
    </row>
    <row r="214" spans="1:6" hidden="1" x14ac:dyDescent="0.25">
      <c r="A214" s="70">
        <v>1121113</v>
      </c>
      <c r="B214" t="s">
        <v>41</v>
      </c>
      <c r="C214" t="s">
        <v>1120</v>
      </c>
      <c r="D214" t="s">
        <v>1073</v>
      </c>
      <c r="E214" t="s">
        <v>1086</v>
      </c>
      <c r="F214">
        <v>636.17999999999995</v>
      </c>
    </row>
    <row r="215" spans="1:6" hidden="1" x14ac:dyDescent="0.25">
      <c r="A215" s="70">
        <v>3821241</v>
      </c>
      <c r="B215" t="s">
        <v>1121</v>
      </c>
      <c r="C215" t="s">
        <v>1090</v>
      </c>
      <c r="D215" t="s">
        <v>1073</v>
      </c>
      <c r="E215" t="s">
        <v>1086</v>
      </c>
      <c r="F215">
        <v>635.64</v>
      </c>
    </row>
    <row r="216" spans="1:6" hidden="1" x14ac:dyDescent="0.25">
      <c r="A216" s="70">
        <v>3821047</v>
      </c>
      <c r="B216" t="s">
        <v>22</v>
      </c>
      <c r="C216" t="s">
        <v>1090</v>
      </c>
      <c r="D216" t="s">
        <v>1073</v>
      </c>
      <c r="E216" t="s">
        <v>1086</v>
      </c>
      <c r="F216">
        <v>635.54</v>
      </c>
    </row>
    <row r="217" spans="1:6" hidden="1" x14ac:dyDescent="0.25">
      <c r="A217" s="70">
        <v>3411435</v>
      </c>
      <c r="B217" t="s">
        <v>353</v>
      </c>
      <c r="C217" t="s">
        <v>1098</v>
      </c>
      <c r="D217" t="s">
        <v>1073</v>
      </c>
      <c r="E217" t="s">
        <v>1086</v>
      </c>
      <c r="F217">
        <v>635.37</v>
      </c>
    </row>
    <row r="218" spans="1:6" hidden="1" x14ac:dyDescent="0.25">
      <c r="A218" s="70">
        <v>3411265</v>
      </c>
      <c r="B218" t="s">
        <v>166</v>
      </c>
      <c r="C218" t="s">
        <v>1098</v>
      </c>
      <c r="D218" t="s">
        <v>1073</v>
      </c>
      <c r="E218" t="s">
        <v>1086</v>
      </c>
      <c r="F218">
        <v>635.34</v>
      </c>
    </row>
    <row r="219" spans="1:6" hidden="1" x14ac:dyDescent="0.25">
      <c r="A219" s="70">
        <v>3531085</v>
      </c>
      <c r="B219" t="s">
        <v>19</v>
      </c>
      <c r="C219" t="s">
        <v>1084</v>
      </c>
      <c r="D219" t="s">
        <v>1073</v>
      </c>
      <c r="E219" t="s">
        <v>1086</v>
      </c>
      <c r="F219">
        <v>635.29999999999995</v>
      </c>
    </row>
    <row r="220" spans="1:6" hidden="1" x14ac:dyDescent="0.25">
      <c r="A220" s="70">
        <v>3531104</v>
      </c>
      <c r="B220" t="s">
        <v>53</v>
      </c>
      <c r="C220" t="s">
        <v>1084</v>
      </c>
      <c r="D220" t="s">
        <v>1073</v>
      </c>
      <c r="E220" t="s">
        <v>1086</v>
      </c>
      <c r="F220">
        <v>635.07000000000005</v>
      </c>
    </row>
    <row r="221" spans="1:6" hidden="1" x14ac:dyDescent="0.25">
      <c r="A221" s="70">
        <v>3811053</v>
      </c>
      <c r="B221" t="s">
        <v>66</v>
      </c>
      <c r="C221" t="s">
        <v>1075</v>
      </c>
      <c r="D221" t="s">
        <v>1073</v>
      </c>
      <c r="E221" t="s">
        <v>1086</v>
      </c>
      <c r="F221">
        <v>634.98</v>
      </c>
    </row>
    <row r="222" spans="1:6" hidden="1" x14ac:dyDescent="0.25">
      <c r="A222" s="70">
        <v>3711187</v>
      </c>
      <c r="B222" t="s">
        <v>77</v>
      </c>
      <c r="C222" t="s">
        <v>1089</v>
      </c>
      <c r="D222" t="s">
        <v>1073</v>
      </c>
      <c r="E222" t="s">
        <v>1086</v>
      </c>
      <c r="F222">
        <v>634.76</v>
      </c>
    </row>
    <row r="223" spans="1:6" hidden="1" x14ac:dyDescent="0.25">
      <c r="A223" s="70">
        <v>3821175</v>
      </c>
      <c r="B223" t="s">
        <v>295</v>
      </c>
      <c r="C223" t="s">
        <v>1090</v>
      </c>
      <c r="D223" t="s">
        <v>1073</v>
      </c>
      <c r="E223" t="s">
        <v>1086</v>
      </c>
      <c r="F223">
        <v>634.62</v>
      </c>
    </row>
    <row r="224" spans="1:6" hidden="1" x14ac:dyDescent="0.25">
      <c r="A224" s="70">
        <v>3611244</v>
      </c>
      <c r="B224" t="s">
        <v>79</v>
      </c>
      <c r="C224" t="s">
        <v>1076</v>
      </c>
      <c r="D224" t="s">
        <v>1073</v>
      </c>
      <c r="E224" t="s">
        <v>1086</v>
      </c>
      <c r="F224">
        <v>634.33000000000004</v>
      </c>
    </row>
    <row r="225" spans="1:6" hidden="1" x14ac:dyDescent="0.25">
      <c r="A225" s="70">
        <v>1211077</v>
      </c>
      <c r="B225" t="s">
        <v>85</v>
      </c>
      <c r="C225" t="s">
        <v>1094</v>
      </c>
      <c r="D225" t="s">
        <v>1073</v>
      </c>
      <c r="E225" t="s">
        <v>1086</v>
      </c>
      <c r="F225">
        <v>633.94000000000005</v>
      </c>
    </row>
    <row r="226" spans="1:6" hidden="1" x14ac:dyDescent="0.25">
      <c r="A226" s="70">
        <v>3551074</v>
      </c>
      <c r="B226" t="s">
        <v>22</v>
      </c>
      <c r="C226" t="s">
        <v>1082</v>
      </c>
      <c r="D226" t="s">
        <v>1073</v>
      </c>
      <c r="E226" t="s">
        <v>1086</v>
      </c>
      <c r="F226">
        <v>633.88</v>
      </c>
    </row>
    <row r="227" spans="1:6" hidden="1" x14ac:dyDescent="0.25">
      <c r="A227" s="70">
        <v>3721441</v>
      </c>
      <c r="B227" t="s">
        <v>25</v>
      </c>
      <c r="C227" t="s">
        <v>1083</v>
      </c>
      <c r="D227" t="s">
        <v>1073</v>
      </c>
      <c r="E227" t="s">
        <v>1086</v>
      </c>
      <c r="F227">
        <v>633.70000000000005</v>
      </c>
    </row>
    <row r="228" spans="1:6" hidden="1" x14ac:dyDescent="0.25">
      <c r="A228" s="70">
        <v>6111181</v>
      </c>
      <c r="B228" t="s">
        <v>77</v>
      </c>
      <c r="C228" t="s">
        <v>1087</v>
      </c>
      <c r="D228" t="s">
        <v>1073</v>
      </c>
      <c r="E228" t="s">
        <v>1086</v>
      </c>
      <c r="F228">
        <v>633.36</v>
      </c>
    </row>
    <row r="229" spans="1:6" hidden="1" x14ac:dyDescent="0.25">
      <c r="A229" s="70">
        <v>3531166</v>
      </c>
      <c r="B229" t="s">
        <v>1122</v>
      </c>
      <c r="C229" t="s">
        <v>1084</v>
      </c>
      <c r="D229" t="s">
        <v>1073</v>
      </c>
      <c r="E229" t="s">
        <v>1086</v>
      </c>
      <c r="F229">
        <v>633.35</v>
      </c>
    </row>
    <row r="230" spans="1:6" hidden="1" x14ac:dyDescent="0.25">
      <c r="A230" s="70">
        <v>3531216</v>
      </c>
      <c r="B230" t="s">
        <v>44</v>
      </c>
      <c r="C230" t="s">
        <v>1084</v>
      </c>
      <c r="D230" t="s">
        <v>1073</v>
      </c>
      <c r="E230" t="s">
        <v>1086</v>
      </c>
      <c r="F230">
        <v>633.16</v>
      </c>
    </row>
    <row r="231" spans="1:6" hidden="1" x14ac:dyDescent="0.25">
      <c r="A231" s="70">
        <v>3321177</v>
      </c>
      <c r="B231" t="s">
        <v>1123</v>
      </c>
      <c r="C231" t="s">
        <v>1079</v>
      </c>
      <c r="D231" t="s">
        <v>1073</v>
      </c>
      <c r="E231" t="s">
        <v>1086</v>
      </c>
      <c r="F231">
        <v>633.09</v>
      </c>
    </row>
    <row r="232" spans="1:6" hidden="1" x14ac:dyDescent="0.25">
      <c r="A232" s="70">
        <v>3811165</v>
      </c>
      <c r="B232" t="s">
        <v>90</v>
      </c>
      <c r="C232" t="s">
        <v>1075</v>
      </c>
      <c r="D232" t="s">
        <v>1073</v>
      </c>
      <c r="E232" t="s">
        <v>1086</v>
      </c>
      <c r="F232">
        <v>633.03</v>
      </c>
    </row>
    <row r="233" spans="1:6" hidden="1" x14ac:dyDescent="0.25">
      <c r="A233" s="70">
        <v>3631016</v>
      </c>
      <c r="B233" t="s">
        <v>92</v>
      </c>
      <c r="C233" t="s">
        <v>1119</v>
      </c>
      <c r="D233" t="s">
        <v>1073</v>
      </c>
      <c r="E233" t="s">
        <v>1086</v>
      </c>
      <c r="F233">
        <v>632.87</v>
      </c>
    </row>
    <row r="234" spans="1:6" hidden="1" x14ac:dyDescent="0.25">
      <c r="A234" s="70">
        <v>3821152</v>
      </c>
      <c r="B234" t="s">
        <v>268</v>
      </c>
      <c r="C234" t="s">
        <v>1090</v>
      </c>
      <c r="D234" t="s">
        <v>1073</v>
      </c>
      <c r="E234" t="s">
        <v>1086</v>
      </c>
      <c r="F234">
        <v>632.72</v>
      </c>
    </row>
    <row r="235" spans="1:6" hidden="1" x14ac:dyDescent="0.25">
      <c r="A235" s="70">
        <v>1411153</v>
      </c>
      <c r="B235" t="s">
        <v>49</v>
      </c>
      <c r="C235" t="s">
        <v>1096</v>
      </c>
      <c r="D235" t="s">
        <v>1073</v>
      </c>
      <c r="E235" t="s">
        <v>1086</v>
      </c>
      <c r="F235">
        <v>632.62</v>
      </c>
    </row>
    <row r="236" spans="1:6" x14ac:dyDescent="0.25">
      <c r="A236" s="70">
        <v>3331052</v>
      </c>
      <c r="B236" t="s">
        <v>21</v>
      </c>
      <c r="C236" t="s">
        <v>1077</v>
      </c>
      <c r="D236" t="s">
        <v>1073</v>
      </c>
      <c r="E236" t="s">
        <v>1086</v>
      </c>
      <c r="F236">
        <v>632.57000000000005</v>
      </c>
    </row>
    <row r="237" spans="1:6" hidden="1" x14ac:dyDescent="0.25">
      <c r="A237" s="70">
        <v>3611317</v>
      </c>
      <c r="B237" t="s">
        <v>489</v>
      </c>
      <c r="C237" t="s">
        <v>1076</v>
      </c>
      <c r="D237" t="s">
        <v>1073</v>
      </c>
      <c r="E237" t="s">
        <v>1086</v>
      </c>
      <c r="F237">
        <v>632.33000000000004</v>
      </c>
    </row>
    <row r="238" spans="1:6" hidden="1" x14ac:dyDescent="0.25">
      <c r="A238" s="70">
        <v>3511204</v>
      </c>
      <c r="B238" t="s">
        <v>50</v>
      </c>
      <c r="C238" t="s">
        <v>1088</v>
      </c>
      <c r="D238" t="s">
        <v>1073</v>
      </c>
      <c r="E238" t="s">
        <v>1086</v>
      </c>
      <c r="F238">
        <v>632.26</v>
      </c>
    </row>
    <row r="239" spans="1:6" hidden="1" x14ac:dyDescent="0.25">
      <c r="A239" s="70">
        <v>3721046</v>
      </c>
      <c r="B239" t="s">
        <v>53</v>
      </c>
      <c r="C239" t="s">
        <v>1083</v>
      </c>
      <c r="D239" t="s">
        <v>1073</v>
      </c>
      <c r="E239" t="s">
        <v>1086</v>
      </c>
      <c r="F239">
        <v>631.88</v>
      </c>
    </row>
    <row r="240" spans="1:6" x14ac:dyDescent="0.25">
      <c r="A240" s="70">
        <v>3331044</v>
      </c>
      <c r="B240" t="s">
        <v>65</v>
      </c>
      <c r="C240" t="s">
        <v>1077</v>
      </c>
      <c r="D240" t="s">
        <v>1073</v>
      </c>
      <c r="E240" t="s">
        <v>1086</v>
      </c>
      <c r="F240">
        <v>631.65</v>
      </c>
    </row>
    <row r="241" spans="1:6" hidden="1" x14ac:dyDescent="0.25">
      <c r="A241" s="70">
        <v>3511227</v>
      </c>
      <c r="B241" t="s">
        <v>346</v>
      </c>
      <c r="C241" t="s">
        <v>1088</v>
      </c>
      <c r="D241" t="s">
        <v>1073</v>
      </c>
      <c r="E241" t="s">
        <v>1086</v>
      </c>
      <c r="F241">
        <v>631.64</v>
      </c>
    </row>
    <row r="242" spans="1:6" hidden="1" x14ac:dyDescent="0.25">
      <c r="A242" s="70">
        <v>1411211</v>
      </c>
      <c r="B242" t="s">
        <v>46</v>
      </c>
      <c r="C242" t="s">
        <v>1096</v>
      </c>
      <c r="D242" t="s">
        <v>1073</v>
      </c>
      <c r="E242" t="s">
        <v>1086</v>
      </c>
      <c r="F242">
        <v>631.52</v>
      </c>
    </row>
    <row r="243" spans="1:6" hidden="1" x14ac:dyDescent="0.25">
      <c r="A243" s="70">
        <v>3821055</v>
      </c>
      <c r="B243" t="s">
        <v>21</v>
      </c>
      <c r="C243" t="s">
        <v>1090</v>
      </c>
      <c r="D243" t="s">
        <v>1073</v>
      </c>
      <c r="E243" t="s">
        <v>1086</v>
      </c>
      <c r="F243">
        <v>631.48</v>
      </c>
    </row>
    <row r="244" spans="1:6" hidden="1" x14ac:dyDescent="0.25">
      <c r="A244" s="70">
        <v>3531143</v>
      </c>
      <c r="B244" t="s">
        <v>22</v>
      </c>
      <c r="C244" t="s">
        <v>1084</v>
      </c>
      <c r="D244" t="s">
        <v>1073</v>
      </c>
      <c r="E244" t="s">
        <v>1086</v>
      </c>
      <c r="F244">
        <v>631.44000000000005</v>
      </c>
    </row>
    <row r="245" spans="1:6" hidden="1" x14ac:dyDescent="0.25">
      <c r="A245" s="70">
        <v>3551283</v>
      </c>
      <c r="B245" t="s">
        <v>93</v>
      </c>
      <c r="C245" t="s">
        <v>1082</v>
      </c>
      <c r="D245" t="s">
        <v>1073</v>
      </c>
      <c r="E245" t="s">
        <v>1086</v>
      </c>
      <c r="F245">
        <v>631.30999999999995</v>
      </c>
    </row>
    <row r="246" spans="1:6" hidden="1" x14ac:dyDescent="0.25">
      <c r="A246" s="70">
        <v>3531127</v>
      </c>
      <c r="B246" t="s">
        <v>66</v>
      </c>
      <c r="C246" t="s">
        <v>1084</v>
      </c>
      <c r="D246" t="s">
        <v>1073</v>
      </c>
      <c r="E246" t="s">
        <v>1086</v>
      </c>
      <c r="F246">
        <v>631.23</v>
      </c>
    </row>
    <row r="247" spans="1:6" hidden="1" x14ac:dyDescent="0.25">
      <c r="A247" s="70">
        <v>3821322</v>
      </c>
      <c r="B247" t="s">
        <v>12</v>
      </c>
      <c r="C247" t="s">
        <v>1090</v>
      </c>
      <c r="D247" t="s">
        <v>1073</v>
      </c>
      <c r="E247" t="s">
        <v>1086</v>
      </c>
      <c r="F247">
        <v>631.14</v>
      </c>
    </row>
    <row r="248" spans="1:6" hidden="1" x14ac:dyDescent="0.25">
      <c r="A248" s="70">
        <v>3811092</v>
      </c>
      <c r="B248" t="s">
        <v>107</v>
      </c>
      <c r="C248" t="s">
        <v>1075</v>
      </c>
      <c r="D248" t="s">
        <v>1073</v>
      </c>
      <c r="E248" t="s">
        <v>1086</v>
      </c>
      <c r="F248">
        <v>630.77</v>
      </c>
    </row>
    <row r="249" spans="1:6" hidden="1" x14ac:dyDescent="0.25">
      <c r="A249" s="70">
        <v>3411017</v>
      </c>
      <c r="B249" t="s">
        <v>37</v>
      </c>
      <c r="C249" t="s">
        <v>1098</v>
      </c>
      <c r="D249" t="s">
        <v>1073</v>
      </c>
      <c r="E249" t="s">
        <v>1086</v>
      </c>
      <c r="F249">
        <v>630.64</v>
      </c>
    </row>
    <row r="250" spans="1:6" hidden="1" x14ac:dyDescent="0.25">
      <c r="A250" s="70">
        <v>3811084</v>
      </c>
      <c r="B250" t="s">
        <v>22</v>
      </c>
      <c r="C250" t="s">
        <v>1075</v>
      </c>
      <c r="D250" t="s">
        <v>1073</v>
      </c>
      <c r="E250" t="s">
        <v>1086</v>
      </c>
      <c r="F250">
        <v>630.38</v>
      </c>
    </row>
    <row r="251" spans="1:6" hidden="1" x14ac:dyDescent="0.25">
      <c r="A251" s="70">
        <v>3341093</v>
      </c>
      <c r="B251" t="s">
        <v>22</v>
      </c>
      <c r="C251" t="s">
        <v>1124</v>
      </c>
      <c r="D251" t="s">
        <v>1073</v>
      </c>
      <c r="E251" t="s">
        <v>1086</v>
      </c>
      <c r="F251">
        <v>629.97</v>
      </c>
    </row>
    <row r="252" spans="1:6" hidden="1" x14ac:dyDescent="0.25">
      <c r="A252" s="70">
        <v>3551356</v>
      </c>
      <c r="B252" t="s">
        <v>435</v>
      </c>
      <c r="C252" t="s">
        <v>1082</v>
      </c>
      <c r="D252" t="s">
        <v>1073</v>
      </c>
      <c r="E252" t="s">
        <v>1086</v>
      </c>
      <c r="F252">
        <v>629.85</v>
      </c>
    </row>
    <row r="253" spans="1:6" hidden="1" x14ac:dyDescent="0.25">
      <c r="A253" s="70">
        <v>3721127</v>
      </c>
      <c r="B253" t="s">
        <v>22</v>
      </c>
      <c r="C253" t="s">
        <v>1083</v>
      </c>
      <c r="D253" t="s">
        <v>1073</v>
      </c>
      <c r="E253" t="s">
        <v>1086</v>
      </c>
      <c r="F253">
        <v>629.73</v>
      </c>
    </row>
    <row r="254" spans="1:6" hidden="1" x14ac:dyDescent="0.25">
      <c r="A254" s="70">
        <v>3341062</v>
      </c>
      <c r="B254" t="s">
        <v>66</v>
      </c>
      <c r="C254" t="s">
        <v>1124</v>
      </c>
      <c r="D254" t="s">
        <v>1073</v>
      </c>
      <c r="E254" t="s">
        <v>1086</v>
      </c>
      <c r="F254">
        <v>629.67999999999995</v>
      </c>
    </row>
    <row r="255" spans="1:6" hidden="1" x14ac:dyDescent="0.25">
      <c r="A255" s="70">
        <v>3231051</v>
      </c>
      <c r="B255" t="s">
        <v>66</v>
      </c>
      <c r="C255" t="s">
        <v>1111</v>
      </c>
      <c r="D255" t="s">
        <v>1073</v>
      </c>
      <c r="E255" t="s">
        <v>1086</v>
      </c>
      <c r="F255">
        <v>629.41</v>
      </c>
    </row>
    <row r="256" spans="1:6" hidden="1" x14ac:dyDescent="0.25">
      <c r="A256" s="70">
        <v>3551275</v>
      </c>
      <c r="B256" t="s">
        <v>277</v>
      </c>
      <c r="C256" t="s">
        <v>1082</v>
      </c>
      <c r="D256" t="s">
        <v>1073</v>
      </c>
      <c r="E256" t="s">
        <v>1086</v>
      </c>
      <c r="F256">
        <v>629.23</v>
      </c>
    </row>
    <row r="257" spans="1:6" hidden="1" x14ac:dyDescent="0.25">
      <c r="A257" s="70">
        <v>3631086</v>
      </c>
      <c r="B257" t="s">
        <v>50</v>
      </c>
      <c r="C257" t="s">
        <v>1119</v>
      </c>
      <c r="D257" t="s">
        <v>1073</v>
      </c>
      <c r="E257" t="s">
        <v>1086</v>
      </c>
      <c r="F257">
        <v>629.08000000000004</v>
      </c>
    </row>
    <row r="258" spans="1:6" hidden="1" x14ac:dyDescent="0.25">
      <c r="A258" s="70">
        <v>3231163</v>
      </c>
      <c r="B258" t="s">
        <v>90</v>
      </c>
      <c r="C258" t="s">
        <v>1111</v>
      </c>
      <c r="D258" t="s">
        <v>1073</v>
      </c>
      <c r="E258" t="s">
        <v>1086</v>
      </c>
      <c r="F258">
        <v>629.04</v>
      </c>
    </row>
    <row r="259" spans="1:6" hidden="1" x14ac:dyDescent="0.25">
      <c r="A259" s="70">
        <v>3231012</v>
      </c>
      <c r="B259" t="s">
        <v>44</v>
      </c>
      <c r="C259" t="s">
        <v>1111</v>
      </c>
      <c r="D259" t="s">
        <v>1073</v>
      </c>
      <c r="E259" t="s">
        <v>1086</v>
      </c>
      <c r="F259">
        <v>628.94000000000005</v>
      </c>
    </row>
    <row r="260" spans="1:6" hidden="1" x14ac:dyDescent="0.25">
      <c r="A260" s="70">
        <v>3531062</v>
      </c>
      <c r="B260" t="s">
        <v>141</v>
      </c>
      <c r="C260" t="s">
        <v>1084</v>
      </c>
      <c r="D260" t="s">
        <v>1073</v>
      </c>
      <c r="E260" t="s">
        <v>1086</v>
      </c>
      <c r="F260">
        <v>628.75</v>
      </c>
    </row>
    <row r="261" spans="1:6" hidden="1" x14ac:dyDescent="0.25">
      <c r="A261" s="70">
        <v>3341104</v>
      </c>
      <c r="B261" t="s">
        <v>111</v>
      </c>
      <c r="C261" t="s">
        <v>1124</v>
      </c>
      <c r="D261" t="s">
        <v>1073</v>
      </c>
      <c r="E261" t="s">
        <v>1086</v>
      </c>
      <c r="F261">
        <v>628.75</v>
      </c>
    </row>
    <row r="262" spans="1:6" x14ac:dyDescent="0.25">
      <c r="A262" s="70">
        <v>3331125</v>
      </c>
      <c r="B262" t="s">
        <v>78</v>
      </c>
      <c r="C262" t="s">
        <v>1077</v>
      </c>
      <c r="D262" t="s">
        <v>1073</v>
      </c>
      <c r="E262" t="s">
        <v>1086</v>
      </c>
      <c r="F262">
        <v>628.70000000000005</v>
      </c>
    </row>
    <row r="263" spans="1:6" hidden="1" x14ac:dyDescent="0.25">
      <c r="A263" s="70">
        <v>3651052</v>
      </c>
      <c r="B263" t="s">
        <v>50</v>
      </c>
      <c r="C263" t="s">
        <v>1125</v>
      </c>
      <c r="D263" t="s">
        <v>1073</v>
      </c>
      <c r="E263" t="s">
        <v>1086</v>
      </c>
      <c r="F263">
        <v>628.57000000000005</v>
      </c>
    </row>
    <row r="264" spans="1:6" hidden="1" x14ac:dyDescent="0.25">
      <c r="A264" s="70">
        <v>3621126</v>
      </c>
      <c r="B264" t="s">
        <v>22</v>
      </c>
      <c r="C264" t="s">
        <v>1113</v>
      </c>
      <c r="D264" t="s">
        <v>1073</v>
      </c>
      <c r="E264" t="s">
        <v>1086</v>
      </c>
      <c r="F264">
        <v>628.55999999999995</v>
      </c>
    </row>
    <row r="265" spans="1:6" hidden="1" x14ac:dyDescent="0.25">
      <c r="A265" s="70">
        <v>3611484</v>
      </c>
      <c r="B265" t="s">
        <v>81</v>
      </c>
      <c r="C265" t="s">
        <v>1076</v>
      </c>
      <c r="D265" t="s">
        <v>1073</v>
      </c>
      <c r="E265" t="s">
        <v>1086</v>
      </c>
      <c r="F265">
        <v>628.54999999999995</v>
      </c>
    </row>
    <row r="266" spans="1:6" hidden="1" x14ac:dyDescent="0.25">
      <c r="A266" s="70">
        <v>7511212</v>
      </c>
      <c r="B266" t="s">
        <v>1126</v>
      </c>
      <c r="C266" t="s">
        <v>1127</v>
      </c>
      <c r="D266" t="s">
        <v>1073</v>
      </c>
      <c r="E266" t="s">
        <v>1086</v>
      </c>
      <c r="F266">
        <v>628.49</v>
      </c>
    </row>
    <row r="267" spans="1:6" hidden="1" x14ac:dyDescent="0.25">
      <c r="A267" s="70">
        <v>3341216</v>
      </c>
      <c r="B267" t="s">
        <v>19</v>
      </c>
      <c r="C267" t="s">
        <v>1124</v>
      </c>
      <c r="D267" t="s">
        <v>1073</v>
      </c>
      <c r="E267" t="s">
        <v>1086</v>
      </c>
      <c r="F267">
        <v>628.41</v>
      </c>
    </row>
    <row r="268" spans="1:6" hidden="1" x14ac:dyDescent="0.25">
      <c r="A268" s="70">
        <v>3531286</v>
      </c>
      <c r="B268" t="s">
        <v>48</v>
      </c>
      <c r="C268" t="s">
        <v>1084</v>
      </c>
      <c r="D268" t="s">
        <v>1073</v>
      </c>
      <c r="E268" t="s">
        <v>1086</v>
      </c>
      <c r="F268">
        <v>627.95000000000005</v>
      </c>
    </row>
    <row r="269" spans="1:6" hidden="1" x14ac:dyDescent="0.25">
      <c r="A269" s="70">
        <v>3511096</v>
      </c>
      <c r="B269" t="s">
        <v>54</v>
      </c>
      <c r="C269" t="s">
        <v>1088</v>
      </c>
      <c r="D269" t="s">
        <v>1073</v>
      </c>
      <c r="E269" t="s">
        <v>1086</v>
      </c>
      <c r="F269">
        <v>627.9</v>
      </c>
    </row>
    <row r="270" spans="1:6" hidden="1" x14ac:dyDescent="0.25">
      <c r="A270" s="70">
        <v>3621037</v>
      </c>
      <c r="B270" t="s">
        <v>43</v>
      </c>
      <c r="C270" t="s">
        <v>1113</v>
      </c>
      <c r="D270" t="s">
        <v>1073</v>
      </c>
      <c r="E270" t="s">
        <v>1086</v>
      </c>
      <c r="F270">
        <v>627.85</v>
      </c>
    </row>
    <row r="271" spans="1:6" hidden="1" x14ac:dyDescent="0.25">
      <c r="A271" s="70">
        <v>3561215</v>
      </c>
      <c r="B271" t="s">
        <v>50</v>
      </c>
      <c r="C271" t="s">
        <v>1128</v>
      </c>
      <c r="D271" t="s">
        <v>1073</v>
      </c>
      <c r="E271" t="s">
        <v>1086</v>
      </c>
      <c r="F271">
        <v>627.1</v>
      </c>
    </row>
    <row r="272" spans="1:6" hidden="1" x14ac:dyDescent="0.25">
      <c r="A272" s="70">
        <v>3241045</v>
      </c>
      <c r="B272" t="s">
        <v>80</v>
      </c>
      <c r="C272" t="s">
        <v>1095</v>
      </c>
      <c r="D272" t="s">
        <v>1073</v>
      </c>
      <c r="E272" t="s">
        <v>1086</v>
      </c>
      <c r="F272">
        <v>626.91</v>
      </c>
    </row>
    <row r="273" spans="1:6" x14ac:dyDescent="0.25">
      <c r="A273" s="70">
        <v>3331083</v>
      </c>
      <c r="B273" t="s">
        <v>37</v>
      </c>
      <c r="C273" t="s">
        <v>1077</v>
      </c>
      <c r="D273" t="s">
        <v>1073</v>
      </c>
      <c r="E273" t="s">
        <v>1086</v>
      </c>
      <c r="F273">
        <v>626.73</v>
      </c>
    </row>
    <row r="274" spans="1:6" hidden="1" x14ac:dyDescent="0.25">
      <c r="A274" s="70">
        <v>3611221</v>
      </c>
      <c r="B274" t="s">
        <v>250</v>
      </c>
      <c r="C274" t="s">
        <v>1076</v>
      </c>
      <c r="D274" t="s">
        <v>1073</v>
      </c>
      <c r="E274" t="s">
        <v>1086</v>
      </c>
      <c r="F274">
        <v>626.65</v>
      </c>
    </row>
    <row r="275" spans="1:6" hidden="1" x14ac:dyDescent="0.25">
      <c r="A275" s="70">
        <v>1411145</v>
      </c>
      <c r="B275" t="s">
        <v>54</v>
      </c>
      <c r="C275" t="s">
        <v>1096</v>
      </c>
      <c r="D275" t="s">
        <v>1073</v>
      </c>
      <c r="E275" t="s">
        <v>1086</v>
      </c>
      <c r="F275">
        <v>626.59</v>
      </c>
    </row>
    <row r="276" spans="1:6" x14ac:dyDescent="0.25">
      <c r="A276" s="70">
        <v>3331237</v>
      </c>
      <c r="B276" t="s">
        <v>348</v>
      </c>
      <c r="C276" t="s">
        <v>1077</v>
      </c>
      <c r="D276" t="s">
        <v>1073</v>
      </c>
      <c r="E276" t="s">
        <v>1086</v>
      </c>
      <c r="F276">
        <v>626.5</v>
      </c>
    </row>
    <row r="277" spans="1:6" hidden="1" x14ac:dyDescent="0.25">
      <c r="A277" s="70">
        <v>3411056</v>
      </c>
      <c r="B277" t="s">
        <v>21</v>
      </c>
      <c r="C277" t="s">
        <v>1098</v>
      </c>
      <c r="D277" t="s">
        <v>1073</v>
      </c>
      <c r="E277" t="s">
        <v>1086</v>
      </c>
      <c r="F277">
        <v>626.39</v>
      </c>
    </row>
    <row r="278" spans="1:6" hidden="1" x14ac:dyDescent="0.25">
      <c r="A278" s="70">
        <v>3221095</v>
      </c>
      <c r="B278" t="s">
        <v>77</v>
      </c>
      <c r="C278" t="s">
        <v>1100</v>
      </c>
      <c r="D278" t="s">
        <v>1073</v>
      </c>
      <c r="E278" t="s">
        <v>1086</v>
      </c>
      <c r="F278">
        <v>626.36</v>
      </c>
    </row>
    <row r="279" spans="1:6" hidden="1" x14ac:dyDescent="0.25">
      <c r="A279" s="70">
        <v>3561262</v>
      </c>
      <c r="B279" t="s">
        <v>77</v>
      </c>
      <c r="C279" t="s">
        <v>1128</v>
      </c>
      <c r="D279" t="s">
        <v>1073</v>
      </c>
      <c r="E279" t="s">
        <v>1086</v>
      </c>
      <c r="F279">
        <v>626.17999999999995</v>
      </c>
    </row>
    <row r="280" spans="1:6" hidden="1" x14ac:dyDescent="0.25">
      <c r="A280" s="70">
        <v>1211247</v>
      </c>
      <c r="B280" t="s">
        <v>26</v>
      </c>
      <c r="C280" t="s">
        <v>1094</v>
      </c>
      <c r="D280" t="s">
        <v>1073</v>
      </c>
      <c r="E280" t="s">
        <v>1086</v>
      </c>
      <c r="F280">
        <v>626.11</v>
      </c>
    </row>
    <row r="281" spans="1:6" hidden="1" x14ac:dyDescent="0.25">
      <c r="A281" s="70">
        <v>3551066</v>
      </c>
      <c r="B281" t="s">
        <v>21</v>
      </c>
      <c r="C281" t="s">
        <v>1082</v>
      </c>
      <c r="D281" t="s">
        <v>1073</v>
      </c>
      <c r="E281" t="s">
        <v>1086</v>
      </c>
      <c r="F281">
        <v>625.66999999999996</v>
      </c>
    </row>
    <row r="282" spans="1:6" hidden="1" x14ac:dyDescent="0.25">
      <c r="A282" s="70">
        <v>3731017</v>
      </c>
      <c r="B282" t="s">
        <v>44</v>
      </c>
      <c r="C282" t="s">
        <v>1129</v>
      </c>
      <c r="D282" t="s">
        <v>1073</v>
      </c>
      <c r="E282" t="s">
        <v>1086</v>
      </c>
      <c r="F282">
        <v>625.57000000000005</v>
      </c>
    </row>
    <row r="283" spans="1:6" hidden="1" x14ac:dyDescent="0.25">
      <c r="A283" s="70">
        <v>3531151</v>
      </c>
      <c r="B283" t="s">
        <v>21</v>
      </c>
      <c r="C283" t="s">
        <v>1084</v>
      </c>
      <c r="D283" t="s">
        <v>1073</v>
      </c>
      <c r="E283" t="s">
        <v>1086</v>
      </c>
      <c r="F283">
        <v>625.55999999999995</v>
      </c>
    </row>
    <row r="284" spans="1:6" hidden="1" x14ac:dyDescent="0.25">
      <c r="A284" s="70">
        <v>1111181</v>
      </c>
      <c r="B284" t="s">
        <v>85</v>
      </c>
      <c r="C284" t="s">
        <v>1105</v>
      </c>
      <c r="D284" t="s">
        <v>1073</v>
      </c>
      <c r="E284" t="s">
        <v>1086</v>
      </c>
      <c r="F284">
        <v>625.39</v>
      </c>
    </row>
    <row r="285" spans="1:6" hidden="1" x14ac:dyDescent="0.25">
      <c r="A285" s="70">
        <v>3721197</v>
      </c>
      <c r="B285" t="s">
        <v>542</v>
      </c>
      <c r="C285" t="s">
        <v>1083</v>
      </c>
      <c r="D285" t="s">
        <v>1073</v>
      </c>
      <c r="E285" t="s">
        <v>1086</v>
      </c>
      <c r="F285">
        <v>625.25</v>
      </c>
    </row>
    <row r="286" spans="1:6" hidden="1" x14ac:dyDescent="0.25">
      <c r="A286" s="70">
        <v>3621022</v>
      </c>
      <c r="B286" t="s">
        <v>42</v>
      </c>
      <c r="C286" t="s">
        <v>1113</v>
      </c>
      <c r="D286" t="s">
        <v>1073</v>
      </c>
      <c r="E286" t="s">
        <v>1086</v>
      </c>
      <c r="F286">
        <v>625.08000000000004</v>
      </c>
    </row>
    <row r="287" spans="1:6" hidden="1" x14ac:dyDescent="0.25">
      <c r="A287" s="70">
        <v>7131162</v>
      </c>
      <c r="B287" t="s">
        <v>41</v>
      </c>
      <c r="C287" t="s">
        <v>1130</v>
      </c>
      <c r="D287" t="s">
        <v>1073</v>
      </c>
      <c r="E287" t="s">
        <v>1086</v>
      </c>
      <c r="F287">
        <v>625.08000000000004</v>
      </c>
    </row>
    <row r="288" spans="1:6" hidden="1" x14ac:dyDescent="0.25">
      <c r="A288" s="70">
        <v>3611283</v>
      </c>
      <c r="B288" t="s">
        <v>1131</v>
      </c>
      <c r="C288" t="s">
        <v>1076</v>
      </c>
      <c r="D288" t="s">
        <v>1073</v>
      </c>
      <c r="E288" t="s">
        <v>1086</v>
      </c>
      <c r="F288">
        <v>624.99</v>
      </c>
    </row>
    <row r="289" spans="1:6" hidden="1" x14ac:dyDescent="0.25">
      <c r="A289" s="70">
        <v>3821233</v>
      </c>
      <c r="B289" t="s">
        <v>519</v>
      </c>
      <c r="C289" t="s">
        <v>1090</v>
      </c>
      <c r="D289" t="s">
        <v>1073</v>
      </c>
      <c r="E289" t="s">
        <v>1086</v>
      </c>
      <c r="F289">
        <v>624.98</v>
      </c>
    </row>
    <row r="290" spans="1:6" hidden="1" x14ac:dyDescent="0.25">
      <c r="A290" s="70">
        <v>3611302</v>
      </c>
      <c r="B290" t="s">
        <v>1132</v>
      </c>
      <c r="C290" t="s">
        <v>1076</v>
      </c>
      <c r="D290" t="s">
        <v>1073</v>
      </c>
      <c r="E290" t="s">
        <v>1086</v>
      </c>
      <c r="F290">
        <v>624.61</v>
      </c>
    </row>
    <row r="291" spans="1:6" hidden="1" x14ac:dyDescent="0.25">
      <c r="A291" s="70">
        <v>3721352</v>
      </c>
      <c r="B291" t="s">
        <v>93</v>
      </c>
      <c r="C291" t="s">
        <v>1083</v>
      </c>
      <c r="D291" t="s">
        <v>1073</v>
      </c>
      <c r="E291" t="s">
        <v>1086</v>
      </c>
      <c r="F291">
        <v>624.45000000000005</v>
      </c>
    </row>
    <row r="292" spans="1:6" hidden="1" x14ac:dyDescent="0.25">
      <c r="A292" s="70">
        <v>3221033</v>
      </c>
      <c r="B292" t="s">
        <v>46</v>
      </c>
      <c r="C292" t="s">
        <v>1100</v>
      </c>
      <c r="D292" t="s">
        <v>1073</v>
      </c>
      <c r="E292" t="s">
        <v>1086</v>
      </c>
      <c r="F292">
        <v>624.29999999999995</v>
      </c>
    </row>
    <row r="293" spans="1:6" hidden="1" x14ac:dyDescent="0.25">
      <c r="A293" s="70">
        <v>3551267</v>
      </c>
      <c r="B293" t="s">
        <v>92</v>
      </c>
      <c r="C293" t="s">
        <v>1082</v>
      </c>
      <c r="D293" t="s">
        <v>1073</v>
      </c>
      <c r="E293" t="s">
        <v>1086</v>
      </c>
      <c r="F293">
        <v>624.11</v>
      </c>
    </row>
    <row r="294" spans="1:6" hidden="1" x14ac:dyDescent="0.25">
      <c r="A294" s="70">
        <v>3821016</v>
      </c>
      <c r="B294" t="s">
        <v>65</v>
      </c>
      <c r="C294" t="s">
        <v>1090</v>
      </c>
      <c r="D294" t="s">
        <v>1073</v>
      </c>
      <c r="E294" t="s">
        <v>1086</v>
      </c>
      <c r="F294">
        <v>624.08000000000004</v>
      </c>
    </row>
    <row r="295" spans="1:6" hidden="1" x14ac:dyDescent="0.25">
      <c r="A295" s="70">
        <v>7111382</v>
      </c>
      <c r="B295" t="s">
        <v>50</v>
      </c>
      <c r="C295" t="s">
        <v>1092</v>
      </c>
      <c r="D295" t="s">
        <v>1073</v>
      </c>
      <c r="E295" t="s">
        <v>1086</v>
      </c>
      <c r="F295">
        <v>623.59</v>
      </c>
    </row>
    <row r="296" spans="1:6" hidden="1" x14ac:dyDescent="0.25">
      <c r="A296" s="70">
        <v>3341015</v>
      </c>
      <c r="B296" t="s">
        <v>44</v>
      </c>
      <c r="C296" t="s">
        <v>1124</v>
      </c>
      <c r="D296" t="s">
        <v>1073</v>
      </c>
      <c r="E296" t="s">
        <v>1086</v>
      </c>
      <c r="F296">
        <v>623.57000000000005</v>
      </c>
    </row>
    <row r="297" spans="1:6" hidden="1" x14ac:dyDescent="0.25">
      <c r="A297" s="70">
        <v>3611291</v>
      </c>
      <c r="B297" t="s">
        <v>222</v>
      </c>
      <c r="C297" t="s">
        <v>1076</v>
      </c>
      <c r="D297" t="s">
        <v>1073</v>
      </c>
      <c r="E297" t="s">
        <v>1086</v>
      </c>
      <c r="F297">
        <v>623.49</v>
      </c>
    </row>
    <row r="298" spans="1:6" hidden="1" x14ac:dyDescent="0.25">
      <c r="A298" s="70">
        <v>3811142</v>
      </c>
      <c r="B298" t="s">
        <v>524</v>
      </c>
      <c r="C298" t="s">
        <v>1075</v>
      </c>
      <c r="D298" t="s">
        <v>1073</v>
      </c>
      <c r="E298" t="s">
        <v>1086</v>
      </c>
      <c r="F298">
        <v>623.44000000000005</v>
      </c>
    </row>
    <row r="299" spans="1:6" hidden="1" x14ac:dyDescent="0.25">
      <c r="A299" s="70">
        <v>3621045</v>
      </c>
      <c r="B299" t="s">
        <v>67</v>
      </c>
      <c r="C299" t="s">
        <v>1113</v>
      </c>
      <c r="D299" t="s">
        <v>1073</v>
      </c>
      <c r="E299" t="s">
        <v>1086</v>
      </c>
      <c r="F299">
        <v>623.34</v>
      </c>
    </row>
    <row r="300" spans="1:6" hidden="1" x14ac:dyDescent="0.25">
      <c r="A300" s="70">
        <v>3611476</v>
      </c>
      <c r="B300" t="s">
        <v>484</v>
      </c>
      <c r="C300" t="s">
        <v>1076</v>
      </c>
      <c r="D300" t="s">
        <v>1073</v>
      </c>
      <c r="E300" t="s">
        <v>1086</v>
      </c>
      <c r="F300">
        <v>623.33000000000004</v>
      </c>
    </row>
    <row r="301" spans="1:6" hidden="1" x14ac:dyDescent="0.25">
      <c r="A301" s="70">
        <v>5211224</v>
      </c>
      <c r="B301" t="s">
        <v>1133</v>
      </c>
      <c r="C301" t="s">
        <v>1134</v>
      </c>
      <c r="D301" t="s">
        <v>1073</v>
      </c>
      <c r="E301" t="s">
        <v>1086</v>
      </c>
      <c r="F301">
        <v>623.13</v>
      </c>
    </row>
    <row r="302" spans="1:6" hidden="1" x14ac:dyDescent="0.25">
      <c r="A302" s="70">
        <v>3721487</v>
      </c>
      <c r="B302" t="s">
        <v>26</v>
      </c>
      <c r="C302" t="s">
        <v>1083</v>
      </c>
      <c r="D302" t="s">
        <v>1073</v>
      </c>
      <c r="E302" t="s">
        <v>1086</v>
      </c>
      <c r="F302">
        <v>623.07000000000005</v>
      </c>
    </row>
    <row r="303" spans="1:6" hidden="1" x14ac:dyDescent="0.25">
      <c r="A303" s="70">
        <v>3631063</v>
      </c>
      <c r="B303" t="s">
        <v>51</v>
      </c>
      <c r="C303" t="s">
        <v>1119</v>
      </c>
      <c r="D303" t="s">
        <v>1073</v>
      </c>
      <c r="E303" t="s">
        <v>1086</v>
      </c>
      <c r="F303">
        <v>622.96</v>
      </c>
    </row>
    <row r="304" spans="1:6" hidden="1" x14ac:dyDescent="0.25">
      <c r="A304" s="70">
        <v>3411362</v>
      </c>
      <c r="B304" t="s">
        <v>28</v>
      </c>
      <c r="C304" t="s">
        <v>1098</v>
      </c>
      <c r="D304" t="s">
        <v>1073</v>
      </c>
      <c r="E304" t="s">
        <v>1086</v>
      </c>
      <c r="F304">
        <v>622.47</v>
      </c>
    </row>
    <row r="305" spans="1:6" hidden="1" x14ac:dyDescent="0.25">
      <c r="A305" s="70">
        <v>3611267</v>
      </c>
      <c r="B305" t="s">
        <v>1135</v>
      </c>
      <c r="C305" t="s">
        <v>1076</v>
      </c>
      <c r="D305" t="s">
        <v>1073</v>
      </c>
      <c r="E305" t="s">
        <v>1086</v>
      </c>
      <c r="F305">
        <v>622.36</v>
      </c>
    </row>
    <row r="306" spans="1:6" hidden="1" x14ac:dyDescent="0.25">
      <c r="A306" s="70">
        <v>1211104</v>
      </c>
      <c r="B306" t="s">
        <v>77</v>
      </c>
      <c r="C306" t="s">
        <v>1094</v>
      </c>
      <c r="D306" t="s">
        <v>1073</v>
      </c>
      <c r="E306" t="s">
        <v>1086</v>
      </c>
      <c r="F306">
        <v>622.30999999999995</v>
      </c>
    </row>
    <row r="307" spans="1:6" hidden="1" x14ac:dyDescent="0.25">
      <c r="A307" s="70">
        <v>3511034</v>
      </c>
      <c r="B307" t="s">
        <v>66</v>
      </c>
      <c r="C307" t="s">
        <v>1088</v>
      </c>
      <c r="D307" t="s">
        <v>1073</v>
      </c>
      <c r="E307" t="s">
        <v>1086</v>
      </c>
      <c r="F307">
        <v>622.09</v>
      </c>
    </row>
    <row r="308" spans="1:6" hidden="1" x14ac:dyDescent="0.25">
      <c r="A308" s="70">
        <v>3341085</v>
      </c>
      <c r="B308" t="s">
        <v>21</v>
      </c>
      <c r="C308" t="s">
        <v>1124</v>
      </c>
      <c r="D308" t="s">
        <v>1073</v>
      </c>
      <c r="E308" t="s">
        <v>1086</v>
      </c>
      <c r="F308">
        <v>621.82000000000005</v>
      </c>
    </row>
    <row r="309" spans="1:6" hidden="1" x14ac:dyDescent="0.25">
      <c r="A309" s="70">
        <v>3551252</v>
      </c>
      <c r="B309" t="s">
        <v>295</v>
      </c>
      <c r="C309" t="s">
        <v>1082</v>
      </c>
      <c r="D309" t="s">
        <v>1073</v>
      </c>
      <c r="E309" t="s">
        <v>1086</v>
      </c>
      <c r="F309">
        <v>621.59</v>
      </c>
    </row>
    <row r="310" spans="1:6" hidden="1" x14ac:dyDescent="0.25">
      <c r="A310" s="70">
        <v>3241037</v>
      </c>
      <c r="B310" t="s">
        <v>49</v>
      </c>
      <c r="C310" t="s">
        <v>1095</v>
      </c>
      <c r="D310" t="s">
        <v>1073</v>
      </c>
      <c r="E310" t="s">
        <v>1086</v>
      </c>
      <c r="F310">
        <v>621.42999999999995</v>
      </c>
    </row>
    <row r="311" spans="1:6" hidden="1" x14ac:dyDescent="0.25">
      <c r="A311" s="70">
        <v>3411087</v>
      </c>
      <c r="B311" t="s">
        <v>345</v>
      </c>
      <c r="C311" t="s">
        <v>1098</v>
      </c>
      <c r="D311" t="s">
        <v>1073</v>
      </c>
      <c r="E311" t="s">
        <v>1086</v>
      </c>
      <c r="F311">
        <v>621.38</v>
      </c>
    </row>
    <row r="312" spans="1:6" hidden="1" x14ac:dyDescent="0.25">
      <c r="A312" s="70">
        <v>3411064</v>
      </c>
      <c r="B312" t="s">
        <v>344</v>
      </c>
      <c r="C312" t="s">
        <v>1098</v>
      </c>
      <c r="D312" t="s">
        <v>1073</v>
      </c>
      <c r="E312" t="s">
        <v>1086</v>
      </c>
      <c r="F312">
        <v>621.29999999999995</v>
      </c>
    </row>
    <row r="313" spans="1:6" hidden="1" x14ac:dyDescent="0.25">
      <c r="A313" s="70">
        <v>3811045</v>
      </c>
      <c r="B313" t="s">
        <v>348</v>
      </c>
      <c r="C313" t="s">
        <v>1075</v>
      </c>
      <c r="D313" t="s">
        <v>1073</v>
      </c>
      <c r="E313" t="s">
        <v>1086</v>
      </c>
      <c r="F313">
        <v>621.23</v>
      </c>
    </row>
    <row r="314" spans="1:6" hidden="1" x14ac:dyDescent="0.25">
      <c r="A314" s="70">
        <v>3631032</v>
      </c>
      <c r="B314" t="s">
        <v>514</v>
      </c>
      <c r="C314" t="s">
        <v>1119</v>
      </c>
      <c r="D314" t="s">
        <v>1073</v>
      </c>
      <c r="E314" t="s">
        <v>1086</v>
      </c>
      <c r="F314">
        <v>621.13</v>
      </c>
    </row>
    <row r="315" spans="1:6" hidden="1" x14ac:dyDescent="0.25">
      <c r="A315" s="70">
        <v>3411025</v>
      </c>
      <c r="B315" t="s">
        <v>340</v>
      </c>
      <c r="C315" t="s">
        <v>1098</v>
      </c>
      <c r="D315" t="s">
        <v>1073</v>
      </c>
      <c r="E315" t="s">
        <v>1086</v>
      </c>
      <c r="F315">
        <v>621.05999999999995</v>
      </c>
    </row>
    <row r="316" spans="1:6" hidden="1" x14ac:dyDescent="0.25">
      <c r="A316" s="70">
        <v>3721104</v>
      </c>
      <c r="B316" t="s">
        <v>21</v>
      </c>
      <c r="C316" t="s">
        <v>1083</v>
      </c>
      <c r="D316" t="s">
        <v>1073</v>
      </c>
      <c r="E316" t="s">
        <v>1086</v>
      </c>
      <c r="F316">
        <v>620.76</v>
      </c>
    </row>
    <row r="317" spans="1:6" hidden="1" x14ac:dyDescent="0.25">
      <c r="A317" s="70">
        <v>3411137</v>
      </c>
      <c r="B317" t="s">
        <v>349</v>
      </c>
      <c r="C317" t="s">
        <v>1098</v>
      </c>
      <c r="D317" t="s">
        <v>1073</v>
      </c>
      <c r="E317" t="s">
        <v>1086</v>
      </c>
      <c r="F317">
        <v>620.53</v>
      </c>
    </row>
    <row r="318" spans="1:6" hidden="1" x14ac:dyDescent="0.25">
      <c r="A318" s="70">
        <v>3551082</v>
      </c>
      <c r="B318" t="s">
        <v>65</v>
      </c>
      <c r="C318" t="s">
        <v>1082</v>
      </c>
      <c r="D318" t="s">
        <v>1073</v>
      </c>
      <c r="E318" t="s">
        <v>1086</v>
      </c>
      <c r="F318">
        <v>620.26</v>
      </c>
    </row>
    <row r="319" spans="1:6" hidden="1" x14ac:dyDescent="0.25">
      <c r="A319" s="70">
        <v>3811126</v>
      </c>
      <c r="B319" t="s">
        <v>1136</v>
      </c>
      <c r="C319" t="s">
        <v>1075</v>
      </c>
      <c r="D319" t="s">
        <v>1073</v>
      </c>
      <c r="E319" t="s">
        <v>1086</v>
      </c>
      <c r="F319">
        <v>620.23</v>
      </c>
    </row>
    <row r="320" spans="1:6" hidden="1" x14ac:dyDescent="0.25">
      <c r="A320" s="70">
        <v>3631071</v>
      </c>
      <c r="B320" t="s">
        <v>49</v>
      </c>
      <c r="C320" t="s">
        <v>1119</v>
      </c>
      <c r="D320" t="s">
        <v>1073</v>
      </c>
      <c r="E320" t="s">
        <v>1086</v>
      </c>
      <c r="F320">
        <v>619.94000000000005</v>
      </c>
    </row>
    <row r="321" spans="1:6" x14ac:dyDescent="0.25">
      <c r="A321" s="70">
        <v>3331214</v>
      </c>
      <c r="B321" t="s">
        <v>166</v>
      </c>
      <c r="C321" t="s">
        <v>1077</v>
      </c>
      <c r="D321" t="s">
        <v>1073</v>
      </c>
      <c r="E321" t="s">
        <v>1086</v>
      </c>
      <c r="F321">
        <v>619.66</v>
      </c>
    </row>
    <row r="322" spans="1:6" hidden="1" x14ac:dyDescent="0.25">
      <c r="A322" s="70">
        <v>3611275</v>
      </c>
      <c r="B322" t="s">
        <v>466</v>
      </c>
      <c r="C322" t="s">
        <v>1076</v>
      </c>
      <c r="D322" t="s">
        <v>1073</v>
      </c>
      <c r="E322" t="s">
        <v>1086</v>
      </c>
      <c r="F322">
        <v>619.57000000000005</v>
      </c>
    </row>
    <row r="323" spans="1:6" hidden="1" x14ac:dyDescent="0.25">
      <c r="A323" s="70">
        <v>3721077</v>
      </c>
      <c r="B323" t="s">
        <v>545</v>
      </c>
      <c r="C323" t="s">
        <v>1083</v>
      </c>
      <c r="D323" t="s">
        <v>1073</v>
      </c>
      <c r="E323" t="s">
        <v>1086</v>
      </c>
      <c r="F323">
        <v>619.36</v>
      </c>
    </row>
    <row r="324" spans="1:6" hidden="1" x14ac:dyDescent="0.25">
      <c r="A324" s="70">
        <v>3561092</v>
      </c>
      <c r="B324" t="s">
        <v>66</v>
      </c>
      <c r="C324" t="s">
        <v>1128</v>
      </c>
      <c r="D324" t="s">
        <v>1073</v>
      </c>
      <c r="E324" t="s">
        <v>1086</v>
      </c>
      <c r="F324">
        <v>619.16999999999996</v>
      </c>
    </row>
    <row r="325" spans="1:6" hidden="1" x14ac:dyDescent="0.25">
      <c r="A325" s="70">
        <v>3511185</v>
      </c>
      <c r="B325" t="s">
        <v>141</v>
      </c>
      <c r="C325" t="s">
        <v>1088</v>
      </c>
      <c r="D325" t="s">
        <v>1073</v>
      </c>
      <c r="E325" t="s">
        <v>1086</v>
      </c>
      <c r="F325">
        <v>619.12</v>
      </c>
    </row>
    <row r="326" spans="1:6" hidden="1" x14ac:dyDescent="0.25">
      <c r="A326" s="70">
        <v>3411451</v>
      </c>
      <c r="B326" t="s">
        <v>65</v>
      </c>
      <c r="C326" t="s">
        <v>1098</v>
      </c>
      <c r="D326" t="s">
        <v>1073</v>
      </c>
      <c r="E326" t="s">
        <v>1086</v>
      </c>
      <c r="F326">
        <v>619.09</v>
      </c>
    </row>
    <row r="327" spans="1:6" hidden="1" x14ac:dyDescent="0.25">
      <c r="A327" s="70">
        <v>3241111</v>
      </c>
      <c r="B327" t="s">
        <v>77</v>
      </c>
      <c r="C327" t="s">
        <v>1095</v>
      </c>
      <c r="D327" t="s">
        <v>1073</v>
      </c>
      <c r="E327" t="s">
        <v>1086</v>
      </c>
      <c r="F327">
        <v>619.04999999999995</v>
      </c>
    </row>
    <row r="328" spans="1:6" hidden="1" x14ac:dyDescent="0.25">
      <c r="A328" s="70">
        <v>3611325</v>
      </c>
      <c r="B328" t="s">
        <v>486</v>
      </c>
      <c r="C328" t="s">
        <v>1076</v>
      </c>
      <c r="D328" t="s">
        <v>1073</v>
      </c>
      <c r="E328" t="s">
        <v>1086</v>
      </c>
      <c r="F328">
        <v>618.92999999999995</v>
      </c>
    </row>
    <row r="329" spans="1:6" hidden="1" x14ac:dyDescent="0.25">
      <c r="A329" s="70">
        <v>3561207</v>
      </c>
      <c r="B329" t="s">
        <v>54</v>
      </c>
      <c r="C329" t="s">
        <v>1128</v>
      </c>
      <c r="D329" t="s">
        <v>1073</v>
      </c>
      <c r="E329" t="s">
        <v>1086</v>
      </c>
      <c r="F329">
        <v>618.91</v>
      </c>
    </row>
    <row r="330" spans="1:6" hidden="1" x14ac:dyDescent="0.25">
      <c r="A330" s="70">
        <v>1211054</v>
      </c>
      <c r="B330" t="s">
        <v>49</v>
      </c>
      <c r="C330" t="s">
        <v>1094</v>
      </c>
      <c r="D330" t="s">
        <v>1073</v>
      </c>
      <c r="E330" t="s">
        <v>1086</v>
      </c>
      <c r="F330">
        <v>618.78</v>
      </c>
    </row>
    <row r="331" spans="1:6" hidden="1" x14ac:dyDescent="0.25">
      <c r="A331" s="70">
        <v>3411145</v>
      </c>
      <c r="B331" t="s">
        <v>1137</v>
      </c>
      <c r="C331" t="s">
        <v>1098</v>
      </c>
      <c r="D331" t="s">
        <v>1073</v>
      </c>
      <c r="E331" t="s">
        <v>1086</v>
      </c>
      <c r="F331">
        <v>618.23</v>
      </c>
    </row>
    <row r="332" spans="1:6" hidden="1" x14ac:dyDescent="0.25">
      <c r="A332" s="70">
        <v>3561181</v>
      </c>
      <c r="B332" t="s">
        <v>51</v>
      </c>
      <c r="C332" t="s">
        <v>1128</v>
      </c>
      <c r="D332" t="s">
        <v>1073</v>
      </c>
      <c r="E332" t="s">
        <v>1086</v>
      </c>
      <c r="F332">
        <v>618.15</v>
      </c>
    </row>
    <row r="333" spans="1:6" hidden="1" x14ac:dyDescent="0.25">
      <c r="A333" s="70">
        <v>3731211</v>
      </c>
      <c r="B333" t="s">
        <v>50</v>
      </c>
      <c r="C333" t="s">
        <v>1129</v>
      </c>
      <c r="D333" t="s">
        <v>1073</v>
      </c>
      <c r="E333" t="s">
        <v>1086</v>
      </c>
      <c r="F333">
        <v>617.85</v>
      </c>
    </row>
    <row r="334" spans="1:6" hidden="1" x14ac:dyDescent="0.25">
      <c r="A334" s="70">
        <v>1711013</v>
      </c>
      <c r="B334" t="s">
        <v>54</v>
      </c>
      <c r="C334" t="s">
        <v>1097</v>
      </c>
      <c r="D334" t="s">
        <v>1073</v>
      </c>
      <c r="E334" t="s">
        <v>1086</v>
      </c>
      <c r="F334">
        <v>617.74</v>
      </c>
    </row>
    <row r="335" spans="1:6" hidden="1" x14ac:dyDescent="0.25">
      <c r="A335" s="70">
        <v>3721294</v>
      </c>
      <c r="B335" t="s">
        <v>86</v>
      </c>
      <c r="C335" t="s">
        <v>1083</v>
      </c>
      <c r="D335" t="s">
        <v>1073</v>
      </c>
      <c r="E335" t="s">
        <v>1086</v>
      </c>
      <c r="F335">
        <v>617.63</v>
      </c>
    </row>
    <row r="336" spans="1:6" hidden="1" x14ac:dyDescent="0.25">
      <c r="A336" s="70">
        <v>3711172</v>
      </c>
      <c r="B336" t="s">
        <v>54</v>
      </c>
      <c r="C336" t="s">
        <v>1089</v>
      </c>
      <c r="D336" t="s">
        <v>1073</v>
      </c>
      <c r="E336" t="s">
        <v>1086</v>
      </c>
      <c r="F336">
        <v>617.52</v>
      </c>
    </row>
    <row r="337" spans="1:6" hidden="1" x14ac:dyDescent="0.25">
      <c r="A337" s="70">
        <v>3721391</v>
      </c>
      <c r="B337" t="s">
        <v>91</v>
      </c>
      <c r="C337" t="s">
        <v>1083</v>
      </c>
      <c r="D337" t="s">
        <v>1073</v>
      </c>
      <c r="E337" t="s">
        <v>1086</v>
      </c>
      <c r="F337">
        <v>617.39</v>
      </c>
    </row>
    <row r="338" spans="1:6" hidden="1" x14ac:dyDescent="0.25">
      <c r="A338" s="70">
        <v>3341077</v>
      </c>
      <c r="B338" t="s">
        <v>1138</v>
      </c>
      <c r="C338" t="s">
        <v>1124</v>
      </c>
      <c r="D338" t="s">
        <v>1073</v>
      </c>
      <c r="E338" t="s">
        <v>1086</v>
      </c>
      <c r="F338">
        <v>617.38</v>
      </c>
    </row>
    <row r="339" spans="1:6" hidden="1" x14ac:dyDescent="0.25">
      <c r="A339" s="70">
        <v>3561014</v>
      </c>
      <c r="B339" t="s">
        <v>44</v>
      </c>
      <c r="C339" t="s">
        <v>1128</v>
      </c>
      <c r="D339" t="s">
        <v>1073</v>
      </c>
      <c r="E339" t="s">
        <v>1086</v>
      </c>
      <c r="F339">
        <v>617.21</v>
      </c>
    </row>
    <row r="340" spans="1:6" hidden="1" x14ac:dyDescent="0.25">
      <c r="A340" s="70">
        <v>5311384</v>
      </c>
      <c r="B340" t="s">
        <v>436</v>
      </c>
      <c r="C340" t="s">
        <v>1104</v>
      </c>
      <c r="D340" t="s">
        <v>1073</v>
      </c>
      <c r="E340" t="s">
        <v>1086</v>
      </c>
      <c r="F340">
        <v>617.17999999999995</v>
      </c>
    </row>
    <row r="341" spans="1:6" hidden="1" x14ac:dyDescent="0.25">
      <c r="A341" s="70">
        <v>3621134</v>
      </c>
      <c r="B341" t="s">
        <v>21</v>
      </c>
      <c r="C341" t="s">
        <v>1113</v>
      </c>
      <c r="D341" t="s">
        <v>1073</v>
      </c>
      <c r="E341" t="s">
        <v>1086</v>
      </c>
      <c r="F341">
        <v>617.04999999999995</v>
      </c>
    </row>
    <row r="342" spans="1:6" hidden="1" x14ac:dyDescent="0.25">
      <c r="A342" s="70">
        <v>3551155</v>
      </c>
      <c r="B342" t="s">
        <v>437</v>
      </c>
      <c r="C342" t="s">
        <v>1082</v>
      </c>
      <c r="D342" t="s">
        <v>1073</v>
      </c>
      <c r="E342" t="s">
        <v>1086</v>
      </c>
      <c r="F342">
        <v>616.78</v>
      </c>
    </row>
    <row r="343" spans="1:6" hidden="1" x14ac:dyDescent="0.25">
      <c r="A343" s="70">
        <v>3241053</v>
      </c>
      <c r="B343" t="s">
        <v>46</v>
      </c>
      <c r="C343" t="s">
        <v>1095</v>
      </c>
      <c r="D343" t="s">
        <v>1073</v>
      </c>
      <c r="E343" t="s">
        <v>1086</v>
      </c>
      <c r="F343">
        <v>616.78</v>
      </c>
    </row>
    <row r="344" spans="1:6" hidden="1" x14ac:dyDescent="0.25">
      <c r="A344" s="70">
        <v>3721201</v>
      </c>
      <c r="B344" t="s">
        <v>166</v>
      </c>
      <c r="C344" t="s">
        <v>1083</v>
      </c>
      <c r="D344" t="s">
        <v>1073</v>
      </c>
      <c r="E344" t="s">
        <v>1086</v>
      </c>
      <c r="F344">
        <v>616.67999999999995</v>
      </c>
    </row>
    <row r="345" spans="1:6" hidden="1" x14ac:dyDescent="0.25">
      <c r="A345" s="70">
        <v>3511115</v>
      </c>
      <c r="B345" t="s">
        <v>107</v>
      </c>
      <c r="C345" t="s">
        <v>1088</v>
      </c>
      <c r="D345" t="s">
        <v>1073</v>
      </c>
      <c r="E345" t="s">
        <v>1086</v>
      </c>
      <c r="F345">
        <v>616.47</v>
      </c>
    </row>
    <row r="346" spans="1:6" hidden="1" x14ac:dyDescent="0.25">
      <c r="A346" s="70">
        <v>3631047</v>
      </c>
      <c r="B346" t="s">
        <v>25</v>
      </c>
      <c r="C346" t="s">
        <v>1119</v>
      </c>
      <c r="D346" t="s">
        <v>1073</v>
      </c>
      <c r="E346" t="s">
        <v>1086</v>
      </c>
      <c r="F346">
        <v>616.4</v>
      </c>
    </row>
    <row r="347" spans="1:6" hidden="1" x14ac:dyDescent="0.25">
      <c r="A347" s="70">
        <v>5411323</v>
      </c>
      <c r="B347" t="s">
        <v>436</v>
      </c>
      <c r="C347" t="s">
        <v>1110</v>
      </c>
      <c r="D347" t="s">
        <v>1073</v>
      </c>
      <c r="E347" t="s">
        <v>1086</v>
      </c>
      <c r="F347">
        <v>616.30999999999995</v>
      </c>
    </row>
    <row r="348" spans="1:6" hidden="1" x14ac:dyDescent="0.25">
      <c r="A348" s="70">
        <v>1411226</v>
      </c>
      <c r="B348" t="s">
        <v>36</v>
      </c>
      <c r="C348" t="s">
        <v>1096</v>
      </c>
      <c r="D348" t="s">
        <v>1073</v>
      </c>
      <c r="E348" t="s">
        <v>1086</v>
      </c>
      <c r="F348">
        <v>616.27</v>
      </c>
    </row>
    <row r="349" spans="1:6" hidden="1" x14ac:dyDescent="0.25">
      <c r="A349" s="70">
        <v>3631136</v>
      </c>
      <c r="B349" t="s">
        <v>46</v>
      </c>
      <c r="C349" t="s">
        <v>1119</v>
      </c>
      <c r="D349" t="s">
        <v>1073</v>
      </c>
      <c r="E349" t="s">
        <v>1086</v>
      </c>
      <c r="F349">
        <v>615.9</v>
      </c>
    </row>
    <row r="350" spans="1:6" hidden="1" x14ac:dyDescent="0.25">
      <c r="A350" s="70">
        <v>1411176</v>
      </c>
      <c r="B350" t="s">
        <v>48</v>
      </c>
      <c r="C350" t="s">
        <v>1096</v>
      </c>
      <c r="D350" t="s">
        <v>1073</v>
      </c>
      <c r="E350" t="s">
        <v>1086</v>
      </c>
      <c r="F350">
        <v>615.84</v>
      </c>
    </row>
    <row r="351" spans="1:6" hidden="1" x14ac:dyDescent="0.25">
      <c r="A351" s="70">
        <v>3531046</v>
      </c>
      <c r="B351" t="s">
        <v>37</v>
      </c>
      <c r="C351" t="s">
        <v>1084</v>
      </c>
      <c r="D351" t="s">
        <v>1073</v>
      </c>
      <c r="E351" t="s">
        <v>1086</v>
      </c>
      <c r="F351">
        <v>615.65</v>
      </c>
    </row>
    <row r="352" spans="1:6" hidden="1" x14ac:dyDescent="0.25">
      <c r="A352" s="70">
        <v>3341197</v>
      </c>
      <c r="B352" t="s">
        <v>54</v>
      </c>
      <c r="C352" t="s">
        <v>1124</v>
      </c>
      <c r="D352" t="s">
        <v>1073</v>
      </c>
      <c r="E352" t="s">
        <v>1086</v>
      </c>
      <c r="F352">
        <v>615.63</v>
      </c>
    </row>
    <row r="353" spans="1:6" hidden="1" x14ac:dyDescent="0.25">
      <c r="A353" s="70">
        <v>3531135</v>
      </c>
      <c r="B353" t="s">
        <v>65</v>
      </c>
      <c r="C353" t="s">
        <v>1084</v>
      </c>
      <c r="D353" t="s">
        <v>1073</v>
      </c>
      <c r="E353" t="s">
        <v>1086</v>
      </c>
      <c r="F353">
        <v>615.57000000000005</v>
      </c>
    </row>
    <row r="354" spans="1:6" hidden="1" x14ac:dyDescent="0.25">
      <c r="A354" s="70">
        <v>3811061</v>
      </c>
      <c r="B354" t="s">
        <v>21</v>
      </c>
      <c r="C354" t="s">
        <v>1075</v>
      </c>
      <c r="D354" t="s">
        <v>1073</v>
      </c>
      <c r="E354" t="s">
        <v>1086</v>
      </c>
      <c r="F354">
        <v>615.27</v>
      </c>
    </row>
    <row r="355" spans="1:6" x14ac:dyDescent="0.25">
      <c r="A355" s="70">
        <v>3331075</v>
      </c>
      <c r="B355" t="s">
        <v>64</v>
      </c>
      <c r="C355" t="s">
        <v>1077</v>
      </c>
      <c r="D355" t="s">
        <v>1073</v>
      </c>
      <c r="E355" t="s">
        <v>1086</v>
      </c>
      <c r="F355">
        <v>615.21</v>
      </c>
    </row>
    <row r="356" spans="1:6" hidden="1" x14ac:dyDescent="0.25">
      <c r="A356" s="70">
        <v>1411161</v>
      </c>
      <c r="B356" t="s">
        <v>25</v>
      </c>
      <c r="C356" t="s">
        <v>1096</v>
      </c>
      <c r="D356" t="s">
        <v>1073</v>
      </c>
      <c r="E356" t="s">
        <v>1086</v>
      </c>
      <c r="F356">
        <v>615.16</v>
      </c>
    </row>
    <row r="357" spans="1:6" hidden="1" x14ac:dyDescent="0.25">
      <c r="A357" s="70">
        <v>3411377</v>
      </c>
      <c r="B357" t="s">
        <v>352</v>
      </c>
      <c r="C357" t="s">
        <v>1098</v>
      </c>
      <c r="D357" t="s">
        <v>1073</v>
      </c>
      <c r="E357" t="s">
        <v>1086</v>
      </c>
      <c r="F357">
        <v>615.13</v>
      </c>
    </row>
    <row r="358" spans="1:6" hidden="1" x14ac:dyDescent="0.25">
      <c r="A358" s="70">
        <v>1411095</v>
      </c>
      <c r="B358" t="s">
        <v>66</v>
      </c>
      <c r="C358" t="s">
        <v>1096</v>
      </c>
      <c r="D358" t="s">
        <v>1073</v>
      </c>
      <c r="E358" t="s">
        <v>1086</v>
      </c>
      <c r="F358">
        <v>615.04</v>
      </c>
    </row>
    <row r="359" spans="1:6" hidden="1" x14ac:dyDescent="0.25">
      <c r="A359" s="70">
        <v>6111223</v>
      </c>
      <c r="B359" t="s">
        <v>602</v>
      </c>
      <c r="C359" t="s">
        <v>1087</v>
      </c>
      <c r="D359" t="s">
        <v>1073</v>
      </c>
      <c r="E359" t="s">
        <v>1086</v>
      </c>
      <c r="F359">
        <v>615.03</v>
      </c>
    </row>
    <row r="360" spans="1:6" hidden="1" x14ac:dyDescent="0.25">
      <c r="A360" s="70">
        <v>1211232</v>
      </c>
      <c r="B360" t="s">
        <v>111</v>
      </c>
      <c r="C360" t="s">
        <v>1094</v>
      </c>
      <c r="D360" t="s">
        <v>1073</v>
      </c>
      <c r="E360" t="s">
        <v>1086</v>
      </c>
      <c r="F360">
        <v>614.91</v>
      </c>
    </row>
    <row r="361" spans="1:6" hidden="1" x14ac:dyDescent="0.25">
      <c r="A361" s="70">
        <v>3731114</v>
      </c>
      <c r="B361" t="s">
        <v>66</v>
      </c>
      <c r="C361" t="s">
        <v>1129</v>
      </c>
      <c r="D361" t="s">
        <v>1073</v>
      </c>
      <c r="E361" t="s">
        <v>1086</v>
      </c>
      <c r="F361">
        <v>614.89</v>
      </c>
    </row>
    <row r="362" spans="1:6" hidden="1" x14ac:dyDescent="0.25">
      <c r="A362" s="70">
        <v>3511081</v>
      </c>
      <c r="B362" t="s">
        <v>48</v>
      </c>
      <c r="C362" t="s">
        <v>1088</v>
      </c>
      <c r="D362" t="s">
        <v>1073</v>
      </c>
      <c r="E362" t="s">
        <v>1086</v>
      </c>
      <c r="F362">
        <v>614.79999999999995</v>
      </c>
    </row>
    <row r="363" spans="1:6" hidden="1" x14ac:dyDescent="0.25">
      <c r="A363" s="70">
        <v>1711214</v>
      </c>
      <c r="B363" t="s">
        <v>19</v>
      </c>
      <c r="C363" t="s">
        <v>1097</v>
      </c>
      <c r="D363" t="s">
        <v>1073</v>
      </c>
      <c r="E363" t="s">
        <v>1086</v>
      </c>
      <c r="F363">
        <v>614.66</v>
      </c>
    </row>
    <row r="364" spans="1:6" hidden="1" x14ac:dyDescent="0.25">
      <c r="A364" s="70">
        <v>3631055</v>
      </c>
      <c r="B364" t="s">
        <v>91</v>
      </c>
      <c r="C364" t="s">
        <v>1119</v>
      </c>
      <c r="D364" t="s">
        <v>1073</v>
      </c>
      <c r="E364" t="s">
        <v>1086</v>
      </c>
      <c r="F364">
        <v>614.66</v>
      </c>
    </row>
    <row r="365" spans="1:6" hidden="1" x14ac:dyDescent="0.25">
      <c r="A365" s="70">
        <v>1711036</v>
      </c>
      <c r="B365" t="s">
        <v>51</v>
      </c>
      <c r="C365" t="s">
        <v>1097</v>
      </c>
      <c r="D365" t="s">
        <v>1073</v>
      </c>
      <c r="E365" t="s">
        <v>1086</v>
      </c>
      <c r="F365">
        <v>614.55999999999995</v>
      </c>
    </row>
    <row r="366" spans="1:6" hidden="1" x14ac:dyDescent="0.25">
      <c r="A366" s="70">
        <v>3851062</v>
      </c>
      <c r="B366" t="s">
        <v>50</v>
      </c>
      <c r="C366" t="s">
        <v>1139</v>
      </c>
      <c r="D366" t="s">
        <v>1073</v>
      </c>
      <c r="E366" t="s">
        <v>1086</v>
      </c>
      <c r="F366">
        <v>614.36</v>
      </c>
    </row>
    <row r="367" spans="1:6" hidden="1" x14ac:dyDescent="0.25">
      <c r="A367" s="70">
        <v>3851031</v>
      </c>
      <c r="B367" t="s">
        <v>51</v>
      </c>
      <c r="C367" t="s">
        <v>1139</v>
      </c>
      <c r="D367" t="s">
        <v>1073</v>
      </c>
      <c r="E367" t="s">
        <v>1086</v>
      </c>
      <c r="F367">
        <v>613.83000000000004</v>
      </c>
    </row>
    <row r="368" spans="1:6" hidden="1" x14ac:dyDescent="0.25">
      <c r="A368" s="70">
        <v>3531255</v>
      </c>
      <c r="B368" t="s">
        <v>79</v>
      </c>
      <c r="C368" t="s">
        <v>1084</v>
      </c>
      <c r="D368" t="s">
        <v>1073</v>
      </c>
      <c r="E368" t="s">
        <v>1086</v>
      </c>
      <c r="F368">
        <v>613.79</v>
      </c>
    </row>
    <row r="369" spans="1:6" hidden="1" x14ac:dyDescent="0.25">
      <c r="A369" s="70">
        <v>3721112</v>
      </c>
      <c r="B369" t="s">
        <v>65</v>
      </c>
      <c r="C369" t="s">
        <v>1083</v>
      </c>
      <c r="D369" t="s">
        <v>1073</v>
      </c>
      <c r="E369" t="s">
        <v>1086</v>
      </c>
      <c r="F369">
        <v>613.58000000000004</v>
      </c>
    </row>
    <row r="370" spans="1:6" hidden="1" x14ac:dyDescent="0.25">
      <c r="A370" s="70">
        <v>3741074</v>
      </c>
      <c r="B370" t="s">
        <v>77</v>
      </c>
      <c r="C370" t="s">
        <v>1099</v>
      </c>
      <c r="D370" t="s">
        <v>1073</v>
      </c>
      <c r="E370" t="s">
        <v>1086</v>
      </c>
      <c r="F370">
        <v>613.55999999999995</v>
      </c>
    </row>
    <row r="371" spans="1:6" hidden="1" x14ac:dyDescent="0.25">
      <c r="A371" s="70">
        <v>3551035</v>
      </c>
      <c r="B371" t="s">
        <v>339</v>
      </c>
      <c r="C371" t="s">
        <v>1082</v>
      </c>
      <c r="D371" t="s">
        <v>1073</v>
      </c>
      <c r="E371" t="s">
        <v>1086</v>
      </c>
      <c r="F371">
        <v>613.51</v>
      </c>
    </row>
    <row r="372" spans="1:6" hidden="1" x14ac:dyDescent="0.25">
      <c r="A372" s="70">
        <v>3341174</v>
      </c>
      <c r="B372" t="s">
        <v>48</v>
      </c>
      <c r="C372" t="s">
        <v>1124</v>
      </c>
      <c r="D372" t="s">
        <v>1073</v>
      </c>
      <c r="E372" t="s">
        <v>1086</v>
      </c>
      <c r="F372">
        <v>613.5</v>
      </c>
    </row>
    <row r="373" spans="1:6" hidden="1" x14ac:dyDescent="0.25">
      <c r="A373" s="70">
        <v>3411385</v>
      </c>
      <c r="B373" t="s">
        <v>89</v>
      </c>
      <c r="C373" t="s">
        <v>1098</v>
      </c>
      <c r="D373" t="s">
        <v>1073</v>
      </c>
      <c r="E373" t="s">
        <v>1086</v>
      </c>
      <c r="F373">
        <v>613.49</v>
      </c>
    </row>
    <row r="374" spans="1:6" hidden="1" x14ac:dyDescent="0.25">
      <c r="A374" s="70">
        <v>3531031</v>
      </c>
      <c r="B374" t="s">
        <v>463</v>
      </c>
      <c r="C374" t="s">
        <v>1084</v>
      </c>
      <c r="D374" t="s">
        <v>1073</v>
      </c>
      <c r="E374" t="s">
        <v>1086</v>
      </c>
      <c r="F374">
        <v>613.36</v>
      </c>
    </row>
    <row r="375" spans="1:6" hidden="1" x14ac:dyDescent="0.25">
      <c r="A375" s="70">
        <v>3721383</v>
      </c>
      <c r="B375" t="s">
        <v>540</v>
      </c>
      <c r="C375" t="s">
        <v>1083</v>
      </c>
      <c r="D375" t="s">
        <v>1073</v>
      </c>
      <c r="E375" t="s">
        <v>1086</v>
      </c>
      <c r="F375">
        <v>613.33000000000004</v>
      </c>
    </row>
    <row r="376" spans="1:6" hidden="1" x14ac:dyDescent="0.25">
      <c r="A376" s="70">
        <v>3411234</v>
      </c>
      <c r="B376" t="s">
        <v>356</v>
      </c>
      <c r="C376" t="s">
        <v>1098</v>
      </c>
      <c r="D376" t="s">
        <v>1073</v>
      </c>
      <c r="E376" t="s">
        <v>1086</v>
      </c>
      <c r="F376">
        <v>613.21</v>
      </c>
    </row>
    <row r="377" spans="1:6" hidden="1" x14ac:dyDescent="0.25">
      <c r="A377" s="70">
        <v>3621111</v>
      </c>
      <c r="B377" t="s">
        <v>65</v>
      </c>
      <c r="C377" t="s">
        <v>1113</v>
      </c>
      <c r="D377" t="s">
        <v>1073</v>
      </c>
      <c r="E377" t="s">
        <v>1086</v>
      </c>
      <c r="F377">
        <v>612.89</v>
      </c>
    </row>
    <row r="378" spans="1:6" hidden="1" x14ac:dyDescent="0.25">
      <c r="A378" s="70">
        <v>3241084</v>
      </c>
      <c r="B378" t="s">
        <v>107</v>
      </c>
      <c r="C378" t="s">
        <v>1095</v>
      </c>
      <c r="D378" t="s">
        <v>1073</v>
      </c>
      <c r="E378" t="s">
        <v>1086</v>
      </c>
      <c r="F378">
        <v>612.84</v>
      </c>
    </row>
    <row r="379" spans="1:6" hidden="1" x14ac:dyDescent="0.25">
      <c r="A379" s="70">
        <v>3511026</v>
      </c>
      <c r="B379" t="s">
        <v>22</v>
      </c>
      <c r="C379" t="s">
        <v>1088</v>
      </c>
      <c r="D379" t="s">
        <v>1073</v>
      </c>
      <c r="E379" t="s">
        <v>1086</v>
      </c>
      <c r="F379">
        <v>612.73</v>
      </c>
    </row>
    <row r="380" spans="1:6" hidden="1" x14ac:dyDescent="0.25">
      <c r="A380" s="70">
        <v>3531197</v>
      </c>
      <c r="B380" t="s">
        <v>43</v>
      </c>
      <c r="C380" t="s">
        <v>1084</v>
      </c>
      <c r="D380" t="s">
        <v>1073</v>
      </c>
      <c r="E380" t="s">
        <v>1086</v>
      </c>
      <c r="F380">
        <v>612.71</v>
      </c>
    </row>
    <row r="381" spans="1:6" hidden="1" x14ac:dyDescent="0.25">
      <c r="A381" s="70">
        <v>5311295</v>
      </c>
      <c r="B381" t="s">
        <v>77</v>
      </c>
      <c r="C381" t="s">
        <v>1104</v>
      </c>
      <c r="D381" t="s">
        <v>1073</v>
      </c>
      <c r="E381" t="s">
        <v>1086</v>
      </c>
      <c r="F381">
        <v>612.63</v>
      </c>
    </row>
    <row r="382" spans="1:6" hidden="1" x14ac:dyDescent="0.25">
      <c r="A382" s="70">
        <v>1711342</v>
      </c>
      <c r="B382" t="s">
        <v>36</v>
      </c>
      <c r="C382" t="s">
        <v>1097</v>
      </c>
      <c r="D382" t="s">
        <v>1073</v>
      </c>
      <c r="E382" t="s">
        <v>1086</v>
      </c>
      <c r="F382">
        <v>612.53</v>
      </c>
    </row>
    <row r="383" spans="1:6" hidden="1" x14ac:dyDescent="0.25">
      <c r="A383" s="70">
        <v>1411137</v>
      </c>
      <c r="B383" t="s">
        <v>53</v>
      </c>
      <c r="C383" t="s">
        <v>1096</v>
      </c>
      <c r="D383" t="s">
        <v>1073</v>
      </c>
      <c r="E383" t="s">
        <v>1086</v>
      </c>
      <c r="F383">
        <v>612.45000000000005</v>
      </c>
    </row>
    <row r="384" spans="1:6" hidden="1" x14ac:dyDescent="0.25">
      <c r="A384" s="70">
        <v>6111207</v>
      </c>
      <c r="B384" t="s">
        <v>603</v>
      </c>
      <c r="C384" t="s">
        <v>1087</v>
      </c>
      <c r="D384" t="s">
        <v>1073</v>
      </c>
      <c r="E384" t="s">
        <v>1086</v>
      </c>
      <c r="F384">
        <v>612.39</v>
      </c>
    </row>
    <row r="385" spans="1:6" hidden="1" x14ac:dyDescent="0.25">
      <c r="A385" s="70">
        <v>3511243</v>
      </c>
      <c r="B385" t="s">
        <v>49</v>
      </c>
      <c r="C385" t="s">
        <v>1088</v>
      </c>
      <c r="D385" t="s">
        <v>1073</v>
      </c>
      <c r="E385" t="s">
        <v>1086</v>
      </c>
      <c r="F385">
        <v>612.21</v>
      </c>
    </row>
    <row r="386" spans="1:6" hidden="1" x14ac:dyDescent="0.25">
      <c r="A386" s="70">
        <v>3411281</v>
      </c>
      <c r="B386" t="s">
        <v>354</v>
      </c>
      <c r="C386" t="s">
        <v>1098</v>
      </c>
      <c r="D386" t="s">
        <v>1073</v>
      </c>
      <c r="E386" t="s">
        <v>1086</v>
      </c>
      <c r="F386">
        <v>612.14</v>
      </c>
    </row>
    <row r="387" spans="1:6" hidden="1" x14ac:dyDescent="0.25">
      <c r="A387" s="70">
        <v>3731161</v>
      </c>
      <c r="B387" t="s">
        <v>54</v>
      </c>
      <c r="C387" t="s">
        <v>1129</v>
      </c>
      <c r="D387" t="s">
        <v>1073</v>
      </c>
      <c r="E387" t="s">
        <v>1086</v>
      </c>
      <c r="F387">
        <v>612.14</v>
      </c>
    </row>
    <row r="388" spans="1:6" hidden="1" x14ac:dyDescent="0.25">
      <c r="A388" s="70">
        <v>3721321</v>
      </c>
      <c r="B388" t="s">
        <v>162</v>
      </c>
      <c r="C388" t="s">
        <v>1083</v>
      </c>
      <c r="D388" t="s">
        <v>1073</v>
      </c>
      <c r="E388" t="s">
        <v>1086</v>
      </c>
      <c r="F388">
        <v>612.04</v>
      </c>
    </row>
    <row r="389" spans="1:6" hidden="1" x14ac:dyDescent="0.25">
      <c r="A389" s="70">
        <v>3411412</v>
      </c>
      <c r="B389" t="s">
        <v>362</v>
      </c>
      <c r="C389" t="s">
        <v>1098</v>
      </c>
      <c r="D389" t="s">
        <v>1073</v>
      </c>
      <c r="E389" t="s">
        <v>1086</v>
      </c>
      <c r="F389">
        <v>611.99</v>
      </c>
    </row>
    <row r="390" spans="1:6" hidden="1" x14ac:dyDescent="0.25">
      <c r="A390" s="70">
        <v>3821287</v>
      </c>
      <c r="B390" t="s">
        <v>432</v>
      </c>
      <c r="C390" t="s">
        <v>1090</v>
      </c>
      <c r="D390" t="s">
        <v>1073</v>
      </c>
      <c r="E390" t="s">
        <v>1086</v>
      </c>
      <c r="F390">
        <v>611.9</v>
      </c>
    </row>
    <row r="391" spans="1:6" hidden="1" x14ac:dyDescent="0.25">
      <c r="A391" s="70">
        <v>3231066</v>
      </c>
      <c r="B391" t="s">
        <v>65</v>
      </c>
      <c r="C391" t="s">
        <v>1111</v>
      </c>
      <c r="D391" t="s">
        <v>1073</v>
      </c>
      <c r="E391" t="s">
        <v>1086</v>
      </c>
      <c r="F391">
        <v>611.86</v>
      </c>
    </row>
    <row r="392" spans="1:6" hidden="1" x14ac:dyDescent="0.25">
      <c r="A392" s="70">
        <v>3241092</v>
      </c>
      <c r="B392" t="s">
        <v>113</v>
      </c>
      <c r="C392" t="s">
        <v>1095</v>
      </c>
      <c r="D392" t="s">
        <v>1073</v>
      </c>
      <c r="E392" t="s">
        <v>1086</v>
      </c>
      <c r="F392">
        <v>611.83000000000004</v>
      </c>
    </row>
    <row r="393" spans="1:6" hidden="1" x14ac:dyDescent="0.25">
      <c r="A393" s="70">
        <v>3631105</v>
      </c>
      <c r="B393" t="s">
        <v>37</v>
      </c>
      <c r="C393" t="s">
        <v>1119</v>
      </c>
      <c r="D393" t="s">
        <v>1073</v>
      </c>
      <c r="E393" t="s">
        <v>1086</v>
      </c>
      <c r="F393">
        <v>611.79</v>
      </c>
    </row>
    <row r="394" spans="1:6" hidden="1" x14ac:dyDescent="0.25">
      <c r="A394" s="70">
        <v>7311183</v>
      </c>
      <c r="B394" t="s">
        <v>215</v>
      </c>
      <c r="C394" t="s">
        <v>1140</v>
      </c>
      <c r="D394" t="s">
        <v>1073</v>
      </c>
      <c r="E394" t="s">
        <v>1086</v>
      </c>
      <c r="F394">
        <v>611.69000000000005</v>
      </c>
    </row>
    <row r="395" spans="1:6" hidden="1" x14ac:dyDescent="0.25">
      <c r="A395" s="70">
        <v>3511123</v>
      </c>
      <c r="B395" t="s">
        <v>339</v>
      </c>
      <c r="C395" t="s">
        <v>1088</v>
      </c>
      <c r="D395" t="s">
        <v>1073</v>
      </c>
      <c r="E395" t="s">
        <v>1086</v>
      </c>
      <c r="F395">
        <v>611.65</v>
      </c>
    </row>
    <row r="396" spans="1:6" hidden="1" x14ac:dyDescent="0.25">
      <c r="A396" s="70">
        <v>3831057</v>
      </c>
      <c r="B396" t="s">
        <v>66</v>
      </c>
      <c r="C396" t="s">
        <v>1141</v>
      </c>
      <c r="D396" t="s">
        <v>1073</v>
      </c>
      <c r="E396" t="s">
        <v>1086</v>
      </c>
      <c r="F396">
        <v>611.58000000000004</v>
      </c>
    </row>
    <row r="397" spans="1:6" x14ac:dyDescent="0.25">
      <c r="A397" s="70">
        <v>3331133</v>
      </c>
      <c r="B397" t="s">
        <v>40</v>
      </c>
      <c r="C397" t="s">
        <v>1077</v>
      </c>
      <c r="D397" t="s">
        <v>1073</v>
      </c>
      <c r="E397" t="s">
        <v>1086</v>
      </c>
      <c r="F397">
        <v>611.53</v>
      </c>
    </row>
    <row r="398" spans="1:6" hidden="1" x14ac:dyDescent="0.25">
      <c r="A398" s="70">
        <v>3551147</v>
      </c>
      <c r="B398" t="s">
        <v>40</v>
      </c>
      <c r="C398" t="s">
        <v>1082</v>
      </c>
      <c r="D398" t="s">
        <v>1073</v>
      </c>
      <c r="E398" t="s">
        <v>1086</v>
      </c>
      <c r="F398">
        <v>611.37</v>
      </c>
    </row>
    <row r="399" spans="1:6" hidden="1" x14ac:dyDescent="0.25">
      <c r="A399" s="70">
        <v>3621463</v>
      </c>
      <c r="B399" t="s">
        <v>54</v>
      </c>
      <c r="C399" t="s">
        <v>1113</v>
      </c>
      <c r="D399" t="s">
        <v>1073</v>
      </c>
      <c r="E399" t="s">
        <v>1086</v>
      </c>
      <c r="F399">
        <v>611.34</v>
      </c>
    </row>
    <row r="400" spans="1:6" hidden="1" x14ac:dyDescent="0.25">
      <c r="A400" s="70">
        <v>3631113</v>
      </c>
      <c r="B400" t="s">
        <v>513</v>
      </c>
      <c r="C400" t="s">
        <v>1119</v>
      </c>
      <c r="D400" t="s">
        <v>1073</v>
      </c>
      <c r="E400" t="s">
        <v>1086</v>
      </c>
      <c r="F400">
        <v>611.01</v>
      </c>
    </row>
    <row r="401" spans="1:6" hidden="1" x14ac:dyDescent="0.25">
      <c r="A401" s="70">
        <v>8111246</v>
      </c>
      <c r="B401" t="s">
        <v>41</v>
      </c>
      <c r="C401" t="s">
        <v>1142</v>
      </c>
      <c r="D401" t="s">
        <v>1073</v>
      </c>
      <c r="E401" t="s">
        <v>1086</v>
      </c>
      <c r="F401">
        <v>610.80999999999995</v>
      </c>
    </row>
    <row r="402" spans="1:6" hidden="1" x14ac:dyDescent="0.25">
      <c r="A402" s="70">
        <v>3821225</v>
      </c>
      <c r="B402" t="s">
        <v>515</v>
      </c>
      <c r="C402" t="s">
        <v>1090</v>
      </c>
      <c r="D402" t="s">
        <v>1073</v>
      </c>
      <c r="E402" t="s">
        <v>1086</v>
      </c>
      <c r="F402">
        <v>610.73</v>
      </c>
    </row>
    <row r="403" spans="1:6" hidden="1" x14ac:dyDescent="0.25">
      <c r="A403" s="70">
        <v>3651067</v>
      </c>
      <c r="B403" t="s">
        <v>49</v>
      </c>
      <c r="C403" t="s">
        <v>1125</v>
      </c>
      <c r="D403" t="s">
        <v>1073</v>
      </c>
      <c r="E403" t="s">
        <v>1086</v>
      </c>
      <c r="F403">
        <v>610.70000000000005</v>
      </c>
    </row>
    <row r="404" spans="1:6" hidden="1" x14ac:dyDescent="0.25">
      <c r="A404" s="70">
        <v>3831011</v>
      </c>
      <c r="B404" t="s">
        <v>218</v>
      </c>
      <c r="C404" t="s">
        <v>1141</v>
      </c>
      <c r="D404" t="s">
        <v>1073</v>
      </c>
      <c r="E404" t="s">
        <v>1086</v>
      </c>
      <c r="F404">
        <v>610.65</v>
      </c>
    </row>
    <row r="405" spans="1:6" hidden="1" x14ac:dyDescent="0.25">
      <c r="A405" s="70">
        <v>3411393</v>
      </c>
      <c r="B405" t="s">
        <v>213</v>
      </c>
      <c r="C405" t="s">
        <v>1098</v>
      </c>
      <c r="D405" t="s">
        <v>1073</v>
      </c>
      <c r="E405" t="s">
        <v>1086</v>
      </c>
      <c r="F405">
        <v>610.44000000000005</v>
      </c>
    </row>
    <row r="406" spans="1:6" hidden="1" x14ac:dyDescent="0.25">
      <c r="A406" s="70">
        <v>3341031</v>
      </c>
      <c r="B406" t="s">
        <v>67</v>
      </c>
      <c r="C406" t="s">
        <v>1124</v>
      </c>
      <c r="D406" t="s">
        <v>1073</v>
      </c>
      <c r="E406" t="s">
        <v>1086</v>
      </c>
      <c r="F406">
        <v>610.29999999999995</v>
      </c>
    </row>
    <row r="407" spans="1:6" hidden="1" x14ac:dyDescent="0.25">
      <c r="A407" s="70">
        <v>6111022</v>
      </c>
      <c r="B407" t="s">
        <v>348</v>
      </c>
      <c r="C407" t="s">
        <v>1087</v>
      </c>
      <c r="D407" t="s">
        <v>1073</v>
      </c>
      <c r="E407" t="s">
        <v>1086</v>
      </c>
      <c r="F407">
        <v>610.27</v>
      </c>
    </row>
    <row r="408" spans="1:6" hidden="1" x14ac:dyDescent="0.25">
      <c r="A408" s="70">
        <v>5111215</v>
      </c>
      <c r="B408" t="s">
        <v>77</v>
      </c>
      <c r="C408" t="s">
        <v>1109</v>
      </c>
      <c r="D408" t="s">
        <v>1073</v>
      </c>
      <c r="E408" t="s">
        <v>1086</v>
      </c>
      <c r="F408">
        <v>610.24</v>
      </c>
    </row>
    <row r="409" spans="1:6" hidden="1" x14ac:dyDescent="0.25">
      <c r="A409" s="70">
        <v>3721433</v>
      </c>
      <c r="B409" t="s">
        <v>296</v>
      </c>
      <c r="C409" t="s">
        <v>1083</v>
      </c>
      <c r="D409" t="s">
        <v>1073</v>
      </c>
      <c r="E409" t="s">
        <v>1086</v>
      </c>
      <c r="F409">
        <v>610.21</v>
      </c>
    </row>
    <row r="410" spans="1:6" hidden="1" x14ac:dyDescent="0.25">
      <c r="A410" s="70">
        <v>3561165</v>
      </c>
      <c r="B410" t="s">
        <v>47</v>
      </c>
      <c r="C410" t="s">
        <v>1128</v>
      </c>
      <c r="D410" t="s">
        <v>1073</v>
      </c>
      <c r="E410" t="s">
        <v>1086</v>
      </c>
      <c r="F410">
        <v>610.16</v>
      </c>
    </row>
    <row r="411" spans="1:6" hidden="1" x14ac:dyDescent="0.25">
      <c r="A411" s="70">
        <v>3411466</v>
      </c>
      <c r="B411" t="s">
        <v>347</v>
      </c>
      <c r="C411" t="s">
        <v>1098</v>
      </c>
      <c r="D411" t="s">
        <v>1073</v>
      </c>
      <c r="E411" t="s">
        <v>1086</v>
      </c>
      <c r="F411">
        <v>610.1</v>
      </c>
    </row>
    <row r="412" spans="1:6" hidden="1" x14ac:dyDescent="0.25">
      <c r="A412" s="70">
        <v>1711326</v>
      </c>
      <c r="B412" t="s">
        <v>77</v>
      </c>
      <c r="C412" t="s">
        <v>1097</v>
      </c>
      <c r="D412" t="s">
        <v>1073</v>
      </c>
      <c r="E412" t="s">
        <v>1086</v>
      </c>
      <c r="F412">
        <v>610.08000000000004</v>
      </c>
    </row>
    <row r="413" spans="1:6" hidden="1" x14ac:dyDescent="0.25">
      <c r="A413" s="70">
        <v>3811103</v>
      </c>
      <c r="B413" t="s">
        <v>1143</v>
      </c>
      <c r="C413" t="s">
        <v>1075</v>
      </c>
      <c r="D413" t="s">
        <v>1073</v>
      </c>
      <c r="E413" t="s">
        <v>1086</v>
      </c>
      <c r="F413">
        <v>610.03</v>
      </c>
    </row>
    <row r="414" spans="1:6" x14ac:dyDescent="0.25">
      <c r="A414" s="70">
        <v>3331156</v>
      </c>
      <c r="B414" t="s">
        <v>95</v>
      </c>
      <c r="C414" t="s">
        <v>1077</v>
      </c>
      <c r="D414" t="s">
        <v>1073</v>
      </c>
      <c r="E414" t="s">
        <v>1086</v>
      </c>
      <c r="F414">
        <v>609.92999999999995</v>
      </c>
    </row>
    <row r="415" spans="1:6" hidden="1" x14ac:dyDescent="0.25">
      <c r="A415" s="70">
        <v>6111037</v>
      </c>
      <c r="B415" t="s">
        <v>47</v>
      </c>
      <c r="C415" t="s">
        <v>1087</v>
      </c>
      <c r="D415" t="s">
        <v>1073</v>
      </c>
      <c r="E415" t="s">
        <v>1086</v>
      </c>
      <c r="F415">
        <v>609.86</v>
      </c>
    </row>
    <row r="416" spans="1:6" hidden="1" x14ac:dyDescent="0.25">
      <c r="A416" s="70">
        <v>3511146</v>
      </c>
      <c r="B416" t="s">
        <v>92</v>
      </c>
      <c r="C416" t="s">
        <v>1088</v>
      </c>
      <c r="D416" t="s">
        <v>1073</v>
      </c>
      <c r="E416" t="s">
        <v>1086</v>
      </c>
      <c r="F416">
        <v>609.49</v>
      </c>
    </row>
    <row r="417" spans="1:6" hidden="1" x14ac:dyDescent="0.25">
      <c r="A417" s="70">
        <v>1211062</v>
      </c>
      <c r="B417" t="s">
        <v>51</v>
      </c>
      <c r="C417" t="s">
        <v>1094</v>
      </c>
      <c r="D417" t="s">
        <v>1073</v>
      </c>
      <c r="E417" t="s">
        <v>1086</v>
      </c>
      <c r="F417">
        <v>609.41</v>
      </c>
    </row>
    <row r="418" spans="1:6" hidden="1" x14ac:dyDescent="0.25">
      <c r="A418" s="70">
        <v>3851085</v>
      </c>
      <c r="B418" t="s">
        <v>19</v>
      </c>
      <c r="C418" t="s">
        <v>1139</v>
      </c>
      <c r="D418" t="s">
        <v>1073</v>
      </c>
      <c r="E418" t="s">
        <v>1086</v>
      </c>
      <c r="F418">
        <v>609.36</v>
      </c>
    </row>
    <row r="419" spans="1:6" hidden="1" x14ac:dyDescent="0.25">
      <c r="A419" s="70">
        <v>3531201</v>
      </c>
      <c r="B419" t="s">
        <v>67</v>
      </c>
      <c r="C419" t="s">
        <v>1084</v>
      </c>
      <c r="D419" t="s">
        <v>1073</v>
      </c>
      <c r="E419" t="s">
        <v>1086</v>
      </c>
      <c r="F419">
        <v>609.22</v>
      </c>
    </row>
    <row r="420" spans="1:6" hidden="1" x14ac:dyDescent="0.25">
      <c r="A420" s="70">
        <v>3561111</v>
      </c>
      <c r="B420" t="s">
        <v>22</v>
      </c>
      <c r="C420" t="s">
        <v>1128</v>
      </c>
      <c r="D420" t="s">
        <v>1073</v>
      </c>
      <c r="E420" t="s">
        <v>1086</v>
      </c>
      <c r="F420">
        <v>609</v>
      </c>
    </row>
    <row r="421" spans="1:6" hidden="1" x14ac:dyDescent="0.25">
      <c r="A421" s="70">
        <v>3621165</v>
      </c>
      <c r="B421" t="s">
        <v>115</v>
      </c>
      <c r="C421" t="s">
        <v>1113</v>
      </c>
      <c r="D421" t="s">
        <v>1073</v>
      </c>
      <c r="E421" t="s">
        <v>1086</v>
      </c>
      <c r="F421">
        <v>608.98</v>
      </c>
    </row>
    <row r="422" spans="1:6" hidden="1" x14ac:dyDescent="0.25">
      <c r="A422" s="70">
        <v>1711021</v>
      </c>
      <c r="B422" t="s">
        <v>239</v>
      </c>
      <c r="C422" t="s">
        <v>1097</v>
      </c>
      <c r="D422" t="s">
        <v>1073</v>
      </c>
      <c r="E422" t="s">
        <v>1086</v>
      </c>
      <c r="F422">
        <v>608.91999999999996</v>
      </c>
    </row>
    <row r="423" spans="1:6" hidden="1" x14ac:dyDescent="0.25">
      <c r="A423" s="70">
        <v>3561231</v>
      </c>
      <c r="B423" t="s">
        <v>113</v>
      </c>
      <c r="C423" t="s">
        <v>1128</v>
      </c>
      <c r="D423" t="s">
        <v>1073</v>
      </c>
      <c r="E423" t="s">
        <v>1086</v>
      </c>
      <c r="F423">
        <v>608.74</v>
      </c>
    </row>
    <row r="424" spans="1:6" hidden="1" x14ac:dyDescent="0.25">
      <c r="A424" s="70">
        <v>3621157</v>
      </c>
      <c r="B424" t="s">
        <v>502</v>
      </c>
      <c r="C424" t="s">
        <v>1113</v>
      </c>
      <c r="D424" t="s">
        <v>1073</v>
      </c>
      <c r="E424" t="s">
        <v>1086</v>
      </c>
      <c r="F424">
        <v>608.62</v>
      </c>
    </row>
    <row r="425" spans="1:6" hidden="1" x14ac:dyDescent="0.25">
      <c r="A425" s="70">
        <v>1211023</v>
      </c>
      <c r="B425" t="s">
        <v>54</v>
      </c>
      <c r="C425" t="s">
        <v>1094</v>
      </c>
      <c r="D425" t="s">
        <v>1073</v>
      </c>
      <c r="E425" t="s">
        <v>1086</v>
      </c>
      <c r="F425">
        <v>608.17999999999995</v>
      </c>
    </row>
    <row r="426" spans="1:6" hidden="1" x14ac:dyDescent="0.25">
      <c r="A426" s="70">
        <v>3561223</v>
      </c>
      <c r="B426" t="s">
        <v>48</v>
      </c>
      <c r="C426" t="s">
        <v>1128</v>
      </c>
      <c r="D426" t="s">
        <v>1073</v>
      </c>
      <c r="E426" t="s">
        <v>1086</v>
      </c>
      <c r="F426">
        <v>608.05999999999995</v>
      </c>
    </row>
    <row r="427" spans="1:6" hidden="1" x14ac:dyDescent="0.25">
      <c r="A427" s="70">
        <v>3231082</v>
      </c>
      <c r="B427" t="s">
        <v>21</v>
      </c>
      <c r="C427" t="s">
        <v>1111</v>
      </c>
      <c r="D427" t="s">
        <v>1073</v>
      </c>
      <c r="E427" t="s">
        <v>1086</v>
      </c>
      <c r="F427">
        <v>607.91999999999996</v>
      </c>
    </row>
    <row r="428" spans="1:6" hidden="1" x14ac:dyDescent="0.25">
      <c r="A428" s="70">
        <v>3721271</v>
      </c>
      <c r="B428" t="s">
        <v>37</v>
      </c>
      <c r="C428" t="s">
        <v>1083</v>
      </c>
      <c r="D428" t="s">
        <v>1073</v>
      </c>
      <c r="E428" t="s">
        <v>1086</v>
      </c>
      <c r="F428">
        <v>607.85</v>
      </c>
    </row>
    <row r="429" spans="1:6" hidden="1" x14ac:dyDescent="0.25">
      <c r="A429" s="70">
        <v>6111045</v>
      </c>
      <c r="B429" t="s">
        <v>54</v>
      </c>
      <c r="C429" t="s">
        <v>1087</v>
      </c>
      <c r="D429" t="s">
        <v>1073</v>
      </c>
      <c r="E429" t="s">
        <v>1086</v>
      </c>
      <c r="F429">
        <v>607.84</v>
      </c>
    </row>
    <row r="430" spans="1:6" hidden="1" x14ac:dyDescent="0.25">
      <c r="A430" s="70">
        <v>3511042</v>
      </c>
      <c r="B430" t="s">
        <v>65</v>
      </c>
      <c r="C430" t="s">
        <v>1088</v>
      </c>
      <c r="D430" t="s">
        <v>1073</v>
      </c>
      <c r="E430" t="s">
        <v>1086</v>
      </c>
      <c r="F430">
        <v>607.71</v>
      </c>
    </row>
    <row r="431" spans="1:6" hidden="1" x14ac:dyDescent="0.25">
      <c r="A431" s="70">
        <v>1711284</v>
      </c>
      <c r="B431" t="s">
        <v>50</v>
      </c>
      <c r="C431" t="s">
        <v>1097</v>
      </c>
      <c r="D431" t="s">
        <v>1073</v>
      </c>
      <c r="E431" t="s">
        <v>1086</v>
      </c>
      <c r="F431">
        <v>607.65</v>
      </c>
    </row>
    <row r="432" spans="1:6" hidden="1" x14ac:dyDescent="0.25">
      <c r="A432" s="70">
        <v>3411404</v>
      </c>
      <c r="B432" t="s">
        <v>359</v>
      </c>
      <c r="C432" t="s">
        <v>1098</v>
      </c>
      <c r="D432" t="s">
        <v>1073</v>
      </c>
      <c r="E432" t="s">
        <v>1086</v>
      </c>
      <c r="F432">
        <v>606.91999999999996</v>
      </c>
    </row>
    <row r="433" spans="1:6" hidden="1" x14ac:dyDescent="0.25">
      <c r="A433" s="70">
        <v>3851093</v>
      </c>
      <c r="B433" t="s">
        <v>25</v>
      </c>
      <c r="C433" t="s">
        <v>1139</v>
      </c>
      <c r="D433" t="s">
        <v>1073</v>
      </c>
      <c r="E433" t="s">
        <v>1086</v>
      </c>
      <c r="F433">
        <v>606.79999999999995</v>
      </c>
    </row>
    <row r="434" spans="1:6" hidden="1" x14ac:dyDescent="0.25">
      <c r="A434" s="70">
        <v>3711206</v>
      </c>
      <c r="B434" t="s">
        <v>46</v>
      </c>
      <c r="C434" t="s">
        <v>1089</v>
      </c>
      <c r="D434" t="s">
        <v>1073</v>
      </c>
      <c r="E434" t="s">
        <v>1086</v>
      </c>
      <c r="F434">
        <v>606.66</v>
      </c>
    </row>
    <row r="435" spans="1:6" hidden="1" x14ac:dyDescent="0.25">
      <c r="A435" s="70">
        <v>1411273</v>
      </c>
      <c r="B435" t="s">
        <v>113</v>
      </c>
      <c r="C435" t="s">
        <v>1096</v>
      </c>
      <c r="D435" t="s">
        <v>1073</v>
      </c>
      <c r="E435" t="s">
        <v>1086</v>
      </c>
      <c r="F435">
        <v>606.65</v>
      </c>
    </row>
    <row r="436" spans="1:6" hidden="1" x14ac:dyDescent="0.25">
      <c r="A436" s="70">
        <v>3241014</v>
      </c>
      <c r="B436" t="s">
        <v>53</v>
      </c>
      <c r="C436" t="s">
        <v>1095</v>
      </c>
      <c r="D436" t="s">
        <v>1073</v>
      </c>
      <c r="E436" t="s">
        <v>1086</v>
      </c>
      <c r="F436">
        <v>606.25</v>
      </c>
    </row>
    <row r="437" spans="1:6" hidden="1" x14ac:dyDescent="0.25">
      <c r="A437" s="70">
        <v>3851046</v>
      </c>
      <c r="B437" t="s">
        <v>49</v>
      </c>
      <c r="C437" t="s">
        <v>1139</v>
      </c>
      <c r="D437" t="s">
        <v>1073</v>
      </c>
      <c r="E437" t="s">
        <v>1086</v>
      </c>
      <c r="F437">
        <v>606.16999999999996</v>
      </c>
    </row>
    <row r="438" spans="1:6" hidden="1" x14ac:dyDescent="0.25">
      <c r="A438" s="70">
        <v>3231035</v>
      </c>
      <c r="B438" t="s">
        <v>43</v>
      </c>
      <c r="C438" t="s">
        <v>1111</v>
      </c>
      <c r="D438" t="s">
        <v>1073</v>
      </c>
      <c r="E438" t="s">
        <v>1086</v>
      </c>
      <c r="F438">
        <v>605.77</v>
      </c>
    </row>
    <row r="439" spans="1:6" hidden="1" x14ac:dyDescent="0.25">
      <c r="A439" s="70">
        <v>3731137</v>
      </c>
      <c r="B439" t="s">
        <v>22</v>
      </c>
      <c r="C439" t="s">
        <v>1129</v>
      </c>
      <c r="D439" t="s">
        <v>1073</v>
      </c>
      <c r="E439" t="s">
        <v>1086</v>
      </c>
      <c r="F439">
        <v>605.77</v>
      </c>
    </row>
    <row r="440" spans="1:6" hidden="1" x14ac:dyDescent="0.25">
      <c r="A440" s="70">
        <v>3411153</v>
      </c>
      <c r="B440" t="s">
        <v>351</v>
      </c>
      <c r="C440" t="s">
        <v>1098</v>
      </c>
      <c r="D440" t="s">
        <v>1073</v>
      </c>
      <c r="E440" t="s">
        <v>1086</v>
      </c>
      <c r="F440">
        <v>605.75</v>
      </c>
    </row>
    <row r="441" spans="1:6" hidden="1" x14ac:dyDescent="0.25">
      <c r="A441" s="70">
        <v>3221025</v>
      </c>
      <c r="B441" t="s">
        <v>50</v>
      </c>
      <c r="C441" t="s">
        <v>1100</v>
      </c>
      <c r="D441" t="s">
        <v>1073</v>
      </c>
      <c r="E441" t="s">
        <v>1086</v>
      </c>
      <c r="F441">
        <v>605.65</v>
      </c>
    </row>
    <row r="442" spans="1:6" hidden="1" x14ac:dyDescent="0.25">
      <c r="A442" s="70">
        <v>3551124</v>
      </c>
      <c r="B442" t="s">
        <v>106</v>
      </c>
      <c r="C442" t="s">
        <v>1082</v>
      </c>
      <c r="D442" t="s">
        <v>1073</v>
      </c>
      <c r="E442" t="s">
        <v>1086</v>
      </c>
      <c r="F442">
        <v>605.36</v>
      </c>
    </row>
    <row r="443" spans="1:6" hidden="1" x14ac:dyDescent="0.25">
      <c r="A443" s="70">
        <v>3221041</v>
      </c>
      <c r="B443" t="s">
        <v>66</v>
      </c>
      <c r="C443" t="s">
        <v>1100</v>
      </c>
      <c r="D443" t="s">
        <v>1073</v>
      </c>
      <c r="E443" t="s">
        <v>1086</v>
      </c>
      <c r="F443">
        <v>605.29</v>
      </c>
    </row>
    <row r="444" spans="1:6" hidden="1" x14ac:dyDescent="0.25">
      <c r="A444" s="70">
        <v>3851104</v>
      </c>
      <c r="B444" t="s">
        <v>54</v>
      </c>
      <c r="C444" t="s">
        <v>1139</v>
      </c>
      <c r="D444" t="s">
        <v>1073</v>
      </c>
      <c r="E444" t="s">
        <v>1086</v>
      </c>
      <c r="F444">
        <v>605.19000000000005</v>
      </c>
    </row>
    <row r="445" spans="1:6" hidden="1" x14ac:dyDescent="0.25">
      <c r="A445" s="70">
        <v>3721313</v>
      </c>
      <c r="B445" t="s">
        <v>40</v>
      </c>
      <c r="C445" t="s">
        <v>1083</v>
      </c>
      <c r="D445" t="s">
        <v>1073</v>
      </c>
      <c r="E445" t="s">
        <v>1086</v>
      </c>
      <c r="F445">
        <v>605.14</v>
      </c>
    </row>
    <row r="446" spans="1:6" hidden="1" x14ac:dyDescent="0.25">
      <c r="A446" s="70">
        <v>3411482</v>
      </c>
      <c r="B446" t="s">
        <v>360</v>
      </c>
      <c r="C446" t="s">
        <v>1098</v>
      </c>
      <c r="D446" t="s">
        <v>1073</v>
      </c>
      <c r="E446" t="s">
        <v>1086</v>
      </c>
      <c r="F446">
        <v>604.94000000000005</v>
      </c>
    </row>
    <row r="447" spans="1:6" hidden="1" x14ac:dyDescent="0.25">
      <c r="A447" s="70">
        <v>3531313</v>
      </c>
      <c r="B447" t="s">
        <v>445</v>
      </c>
      <c r="C447" t="s">
        <v>1084</v>
      </c>
      <c r="D447" t="s">
        <v>1073</v>
      </c>
      <c r="E447" t="s">
        <v>1086</v>
      </c>
      <c r="F447">
        <v>604.91</v>
      </c>
    </row>
    <row r="448" spans="1:6" hidden="1" x14ac:dyDescent="0.25">
      <c r="A448" s="70">
        <v>3341023</v>
      </c>
      <c r="B448" t="s">
        <v>42</v>
      </c>
      <c r="C448" t="s">
        <v>1124</v>
      </c>
      <c r="D448" t="s">
        <v>1073</v>
      </c>
      <c r="E448" t="s">
        <v>1086</v>
      </c>
      <c r="F448">
        <v>604.86</v>
      </c>
    </row>
    <row r="449" spans="1:6" hidden="1" x14ac:dyDescent="0.25">
      <c r="A449" s="70">
        <v>3341046</v>
      </c>
      <c r="B449" t="s">
        <v>43</v>
      </c>
      <c r="C449" t="s">
        <v>1124</v>
      </c>
      <c r="D449" t="s">
        <v>1073</v>
      </c>
      <c r="E449" t="s">
        <v>1086</v>
      </c>
      <c r="F449">
        <v>604.75</v>
      </c>
    </row>
    <row r="450" spans="1:6" hidden="1" x14ac:dyDescent="0.25">
      <c r="A450" s="70">
        <v>3561134</v>
      </c>
      <c r="B450" t="s">
        <v>107</v>
      </c>
      <c r="C450" t="s">
        <v>1128</v>
      </c>
      <c r="D450" t="s">
        <v>1073</v>
      </c>
      <c r="E450" t="s">
        <v>1086</v>
      </c>
      <c r="F450">
        <v>604.65</v>
      </c>
    </row>
    <row r="451" spans="1:6" hidden="1" x14ac:dyDescent="0.25">
      <c r="A451" s="70">
        <v>3651013</v>
      </c>
      <c r="B451" t="s">
        <v>66</v>
      </c>
      <c r="C451" t="s">
        <v>1125</v>
      </c>
      <c r="D451" t="s">
        <v>1073</v>
      </c>
      <c r="E451" t="s">
        <v>1086</v>
      </c>
      <c r="F451">
        <v>604.46</v>
      </c>
    </row>
    <row r="452" spans="1:6" hidden="1" x14ac:dyDescent="0.25">
      <c r="A452" s="70">
        <v>3811076</v>
      </c>
      <c r="B452" t="s">
        <v>65</v>
      </c>
      <c r="C452" t="s">
        <v>1075</v>
      </c>
      <c r="D452" t="s">
        <v>1073</v>
      </c>
      <c r="E452" t="s">
        <v>1086</v>
      </c>
      <c r="F452">
        <v>604.42999999999995</v>
      </c>
    </row>
    <row r="453" spans="1:6" hidden="1" x14ac:dyDescent="0.25">
      <c r="A453" s="70">
        <v>3551325</v>
      </c>
      <c r="B453" t="s">
        <v>37</v>
      </c>
      <c r="C453" t="s">
        <v>1082</v>
      </c>
      <c r="D453" t="s">
        <v>1073</v>
      </c>
      <c r="E453" t="s">
        <v>1086</v>
      </c>
      <c r="F453">
        <v>604.37</v>
      </c>
    </row>
    <row r="454" spans="1:6" hidden="1" x14ac:dyDescent="0.25">
      <c r="A454" s="70">
        <v>3341112</v>
      </c>
      <c r="B454" t="s">
        <v>397</v>
      </c>
      <c r="C454" t="s">
        <v>1124</v>
      </c>
      <c r="D454" t="s">
        <v>1073</v>
      </c>
      <c r="E454" t="s">
        <v>1086</v>
      </c>
      <c r="F454">
        <v>604.32000000000005</v>
      </c>
    </row>
    <row r="455" spans="1:6" hidden="1" x14ac:dyDescent="0.25">
      <c r="A455" s="70">
        <v>3551317</v>
      </c>
      <c r="B455" t="s">
        <v>38</v>
      </c>
      <c r="C455" t="s">
        <v>1082</v>
      </c>
      <c r="D455" t="s">
        <v>1073</v>
      </c>
      <c r="E455" t="s">
        <v>1086</v>
      </c>
      <c r="F455">
        <v>604.24</v>
      </c>
    </row>
    <row r="456" spans="1:6" hidden="1" x14ac:dyDescent="0.25">
      <c r="A456" s="70">
        <v>3511011</v>
      </c>
      <c r="B456" t="s">
        <v>21</v>
      </c>
      <c r="C456" t="s">
        <v>1088</v>
      </c>
      <c r="D456" t="s">
        <v>1073</v>
      </c>
      <c r="E456" t="s">
        <v>1086</v>
      </c>
      <c r="F456">
        <v>604.17999999999995</v>
      </c>
    </row>
    <row r="457" spans="1:6" hidden="1" x14ac:dyDescent="0.25">
      <c r="A457" s="70">
        <v>3631144</v>
      </c>
      <c r="B457" t="s">
        <v>268</v>
      </c>
      <c r="C457" t="s">
        <v>1119</v>
      </c>
      <c r="D457" t="s">
        <v>1073</v>
      </c>
      <c r="E457" t="s">
        <v>1086</v>
      </c>
      <c r="F457">
        <v>604.17999999999995</v>
      </c>
    </row>
    <row r="458" spans="1:6" hidden="1" x14ac:dyDescent="0.25">
      <c r="A458" s="70">
        <v>3831073</v>
      </c>
      <c r="B458" t="s">
        <v>22</v>
      </c>
      <c r="C458" t="s">
        <v>1141</v>
      </c>
      <c r="D458" t="s">
        <v>1073</v>
      </c>
      <c r="E458" t="s">
        <v>1086</v>
      </c>
      <c r="F458">
        <v>604.15</v>
      </c>
    </row>
    <row r="459" spans="1:6" hidden="1" x14ac:dyDescent="0.25">
      <c r="A459" s="70">
        <v>3221087</v>
      </c>
      <c r="B459" t="s">
        <v>107</v>
      </c>
      <c r="C459" t="s">
        <v>1100</v>
      </c>
      <c r="D459" t="s">
        <v>1073</v>
      </c>
      <c r="E459" t="s">
        <v>1086</v>
      </c>
      <c r="F459">
        <v>604.09</v>
      </c>
    </row>
    <row r="460" spans="1:6" hidden="1" x14ac:dyDescent="0.25">
      <c r="A460" s="70">
        <v>3731033</v>
      </c>
      <c r="B460" t="s">
        <v>43</v>
      </c>
      <c r="C460" t="s">
        <v>1129</v>
      </c>
      <c r="D460" t="s">
        <v>1073</v>
      </c>
      <c r="E460" t="s">
        <v>1086</v>
      </c>
      <c r="F460">
        <v>604.08000000000004</v>
      </c>
    </row>
    <row r="461" spans="1:6" hidden="1" x14ac:dyDescent="0.25">
      <c r="A461" s="70">
        <v>3531182</v>
      </c>
      <c r="B461" t="s">
        <v>42</v>
      </c>
      <c r="C461" t="s">
        <v>1084</v>
      </c>
      <c r="D461" t="s">
        <v>1073</v>
      </c>
      <c r="E461" t="s">
        <v>1086</v>
      </c>
      <c r="F461">
        <v>603.92999999999995</v>
      </c>
    </row>
    <row r="462" spans="1:6" hidden="1" x14ac:dyDescent="0.25">
      <c r="A462" s="70">
        <v>3361066</v>
      </c>
      <c r="B462" t="s">
        <v>50</v>
      </c>
      <c r="C462" t="s">
        <v>1144</v>
      </c>
      <c r="D462" t="s">
        <v>1073</v>
      </c>
      <c r="E462" t="s">
        <v>1086</v>
      </c>
      <c r="F462">
        <v>603.88</v>
      </c>
    </row>
    <row r="463" spans="1:6" hidden="1" x14ac:dyDescent="0.25">
      <c r="A463" s="70">
        <v>3621432</v>
      </c>
      <c r="B463" t="s">
        <v>48</v>
      </c>
      <c r="C463" t="s">
        <v>1113</v>
      </c>
      <c r="D463" t="s">
        <v>1073</v>
      </c>
      <c r="E463" t="s">
        <v>1086</v>
      </c>
      <c r="F463">
        <v>603.73</v>
      </c>
    </row>
    <row r="464" spans="1:6" hidden="1" x14ac:dyDescent="0.25">
      <c r="A464" s="70">
        <v>3731203</v>
      </c>
      <c r="B464" t="s">
        <v>48</v>
      </c>
      <c r="C464" t="s">
        <v>1129</v>
      </c>
      <c r="D464" t="s">
        <v>1073</v>
      </c>
      <c r="E464" t="s">
        <v>1086</v>
      </c>
      <c r="F464">
        <v>603.66999999999996</v>
      </c>
    </row>
    <row r="465" spans="1:6" hidden="1" x14ac:dyDescent="0.25">
      <c r="A465" s="70">
        <v>3731192</v>
      </c>
      <c r="B465" t="s">
        <v>53</v>
      </c>
      <c r="C465" t="s">
        <v>1129</v>
      </c>
      <c r="D465" t="s">
        <v>1073</v>
      </c>
      <c r="E465" t="s">
        <v>1086</v>
      </c>
      <c r="F465">
        <v>603.14</v>
      </c>
    </row>
    <row r="466" spans="1:6" hidden="1" x14ac:dyDescent="0.25">
      <c r="A466" s="70">
        <v>3711141</v>
      </c>
      <c r="B466" t="s">
        <v>107</v>
      </c>
      <c r="C466" t="s">
        <v>1089</v>
      </c>
      <c r="D466" t="s">
        <v>1073</v>
      </c>
      <c r="E466" t="s">
        <v>1086</v>
      </c>
      <c r="F466">
        <v>603.08000000000004</v>
      </c>
    </row>
    <row r="467" spans="1:6" hidden="1" x14ac:dyDescent="0.25">
      <c r="A467" s="70">
        <v>3851077</v>
      </c>
      <c r="B467" t="s">
        <v>46</v>
      </c>
      <c r="C467" t="s">
        <v>1139</v>
      </c>
      <c r="D467" t="s">
        <v>1073</v>
      </c>
      <c r="E467" t="s">
        <v>1086</v>
      </c>
      <c r="F467">
        <v>602.88</v>
      </c>
    </row>
    <row r="468" spans="1:6" hidden="1" x14ac:dyDescent="0.25">
      <c r="A468" s="70">
        <v>3561246</v>
      </c>
      <c r="B468" t="s">
        <v>46</v>
      </c>
      <c r="C468" t="s">
        <v>1128</v>
      </c>
      <c r="D468" t="s">
        <v>1073</v>
      </c>
      <c r="E468" t="s">
        <v>1086</v>
      </c>
      <c r="F468">
        <v>602.64</v>
      </c>
    </row>
    <row r="469" spans="1:6" hidden="1" x14ac:dyDescent="0.25">
      <c r="A469" s="70">
        <v>1311167</v>
      </c>
      <c r="B469" t="s">
        <v>51</v>
      </c>
      <c r="C469" t="s">
        <v>1106</v>
      </c>
      <c r="D469" t="s">
        <v>1073</v>
      </c>
      <c r="E469" t="s">
        <v>1086</v>
      </c>
      <c r="F469">
        <v>601.72</v>
      </c>
    </row>
    <row r="470" spans="1:6" hidden="1" x14ac:dyDescent="0.25">
      <c r="A470" s="70">
        <v>1411056</v>
      </c>
      <c r="B470" t="s">
        <v>110</v>
      </c>
      <c r="C470" t="s">
        <v>1096</v>
      </c>
      <c r="D470" t="s">
        <v>1073</v>
      </c>
      <c r="E470" t="s">
        <v>1086</v>
      </c>
      <c r="F470">
        <v>601.49</v>
      </c>
    </row>
    <row r="471" spans="1:6" hidden="1" x14ac:dyDescent="0.25">
      <c r="A471" s="70">
        <v>3511177</v>
      </c>
      <c r="B471" t="s">
        <v>37</v>
      </c>
      <c r="C471" t="s">
        <v>1088</v>
      </c>
      <c r="D471" t="s">
        <v>1073</v>
      </c>
      <c r="E471" t="s">
        <v>1086</v>
      </c>
      <c r="F471">
        <v>601.29999999999995</v>
      </c>
    </row>
    <row r="472" spans="1:6" hidden="1" x14ac:dyDescent="0.25">
      <c r="A472" s="70">
        <v>3561196</v>
      </c>
      <c r="B472" t="s">
        <v>53</v>
      </c>
      <c r="C472" t="s">
        <v>1128</v>
      </c>
      <c r="D472" t="s">
        <v>1073</v>
      </c>
      <c r="E472" t="s">
        <v>1086</v>
      </c>
      <c r="F472">
        <v>601.09</v>
      </c>
    </row>
    <row r="473" spans="1:6" hidden="1" x14ac:dyDescent="0.25">
      <c r="A473" s="70">
        <v>1911352</v>
      </c>
      <c r="B473" t="s">
        <v>77</v>
      </c>
      <c r="C473" t="s">
        <v>1104</v>
      </c>
      <c r="D473" t="s">
        <v>1073</v>
      </c>
      <c r="E473" t="s">
        <v>1086</v>
      </c>
      <c r="F473">
        <v>601.05999999999995</v>
      </c>
    </row>
    <row r="474" spans="1:6" hidden="1" x14ac:dyDescent="0.25">
      <c r="A474" s="70">
        <v>3621092</v>
      </c>
      <c r="B474" t="s">
        <v>504</v>
      </c>
      <c r="C474" t="s">
        <v>1113</v>
      </c>
      <c r="D474" t="s">
        <v>1073</v>
      </c>
      <c r="E474" t="s">
        <v>1086</v>
      </c>
      <c r="F474">
        <v>601.04</v>
      </c>
    </row>
    <row r="475" spans="1:6" hidden="1" x14ac:dyDescent="0.25">
      <c r="A475" s="70">
        <v>3621455</v>
      </c>
      <c r="B475" t="s">
        <v>506</v>
      </c>
      <c r="C475" t="s">
        <v>1113</v>
      </c>
      <c r="D475" t="s">
        <v>1073</v>
      </c>
      <c r="E475" t="s">
        <v>1145</v>
      </c>
      <c r="F475">
        <v>600.75</v>
      </c>
    </row>
    <row r="476" spans="1:6" hidden="1" x14ac:dyDescent="0.25">
      <c r="A476" s="70">
        <v>3561126</v>
      </c>
      <c r="B476" t="s">
        <v>21</v>
      </c>
      <c r="C476" t="s">
        <v>1128</v>
      </c>
      <c r="D476" t="s">
        <v>1073</v>
      </c>
      <c r="E476" t="s">
        <v>1145</v>
      </c>
      <c r="F476">
        <v>600.51</v>
      </c>
    </row>
    <row r="477" spans="1:6" hidden="1" x14ac:dyDescent="0.25">
      <c r="A477" s="70">
        <v>3631094</v>
      </c>
      <c r="B477" t="s">
        <v>64</v>
      </c>
      <c r="C477" t="s">
        <v>1119</v>
      </c>
      <c r="D477" t="s">
        <v>1073</v>
      </c>
      <c r="E477" t="s">
        <v>1145</v>
      </c>
      <c r="F477">
        <v>600.47</v>
      </c>
    </row>
    <row r="478" spans="1:6" hidden="1" x14ac:dyDescent="0.25">
      <c r="A478" s="70">
        <v>3411427</v>
      </c>
      <c r="B478" t="s">
        <v>355</v>
      </c>
      <c r="C478" t="s">
        <v>1098</v>
      </c>
      <c r="D478" t="s">
        <v>1073</v>
      </c>
      <c r="E478" t="s">
        <v>1145</v>
      </c>
      <c r="F478">
        <v>599.96</v>
      </c>
    </row>
    <row r="479" spans="1:6" hidden="1" x14ac:dyDescent="0.25">
      <c r="A479" s="70">
        <v>1411072</v>
      </c>
      <c r="B479" t="s">
        <v>22</v>
      </c>
      <c r="C479" t="s">
        <v>1096</v>
      </c>
      <c r="D479" t="s">
        <v>1073</v>
      </c>
      <c r="E479" t="s">
        <v>1145</v>
      </c>
      <c r="F479">
        <v>599.89</v>
      </c>
    </row>
    <row r="480" spans="1:6" hidden="1" x14ac:dyDescent="0.25">
      <c r="A480" s="70">
        <v>3651036</v>
      </c>
      <c r="B480" t="s">
        <v>22</v>
      </c>
      <c r="C480" t="s">
        <v>1125</v>
      </c>
      <c r="D480" t="s">
        <v>1073</v>
      </c>
      <c r="E480" t="s">
        <v>1145</v>
      </c>
      <c r="F480">
        <v>599.65</v>
      </c>
    </row>
    <row r="481" spans="1:6" hidden="1" x14ac:dyDescent="0.25">
      <c r="A481" s="70">
        <v>3561037</v>
      </c>
      <c r="B481" t="s">
        <v>43</v>
      </c>
      <c r="C481" t="s">
        <v>1128</v>
      </c>
      <c r="D481" t="s">
        <v>1073</v>
      </c>
      <c r="E481" t="s">
        <v>1145</v>
      </c>
      <c r="F481">
        <v>599.5</v>
      </c>
    </row>
    <row r="482" spans="1:6" hidden="1" x14ac:dyDescent="0.25">
      <c r="A482" s="70">
        <v>3221064</v>
      </c>
      <c r="B482" t="s">
        <v>22</v>
      </c>
      <c r="C482" t="s">
        <v>1100</v>
      </c>
      <c r="D482" t="s">
        <v>1073</v>
      </c>
      <c r="E482" t="s">
        <v>1145</v>
      </c>
      <c r="F482">
        <v>599.45000000000005</v>
      </c>
    </row>
    <row r="483" spans="1:6" hidden="1" x14ac:dyDescent="0.25">
      <c r="A483" s="70">
        <v>3241022</v>
      </c>
      <c r="B483" t="s">
        <v>295</v>
      </c>
      <c r="C483" t="s">
        <v>1095</v>
      </c>
      <c r="D483" t="s">
        <v>1073</v>
      </c>
      <c r="E483" t="s">
        <v>1145</v>
      </c>
      <c r="F483">
        <v>599.16</v>
      </c>
    </row>
    <row r="484" spans="1:6" hidden="1" x14ac:dyDescent="0.25">
      <c r="A484" s="70">
        <v>3521021</v>
      </c>
      <c r="B484" t="s">
        <v>54</v>
      </c>
      <c r="C484" t="s">
        <v>1146</v>
      </c>
      <c r="D484" t="s">
        <v>1073</v>
      </c>
      <c r="E484" t="s">
        <v>1145</v>
      </c>
      <c r="F484">
        <v>598.97</v>
      </c>
    </row>
    <row r="485" spans="1:6" hidden="1" x14ac:dyDescent="0.25">
      <c r="A485" s="70">
        <v>3561045</v>
      </c>
      <c r="B485" t="s">
        <v>67</v>
      </c>
      <c r="C485" t="s">
        <v>1128</v>
      </c>
      <c r="D485" t="s">
        <v>1073</v>
      </c>
      <c r="E485" t="s">
        <v>1145</v>
      </c>
      <c r="F485">
        <v>598.91999999999996</v>
      </c>
    </row>
    <row r="486" spans="1:6" hidden="1" x14ac:dyDescent="0.25">
      <c r="A486" s="70">
        <v>3731184</v>
      </c>
      <c r="B486" t="s">
        <v>110</v>
      </c>
      <c r="C486" t="s">
        <v>1129</v>
      </c>
      <c r="D486" t="s">
        <v>1073</v>
      </c>
      <c r="E486" t="s">
        <v>1145</v>
      </c>
      <c r="F486">
        <v>598.79</v>
      </c>
    </row>
    <row r="487" spans="1:6" hidden="1" x14ac:dyDescent="0.25">
      <c r="A487" s="70">
        <v>1411114</v>
      </c>
      <c r="B487" t="s">
        <v>165</v>
      </c>
      <c r="C487" t="s">
        <v>1096</v>
      </c>
      <c r="D487" t="s">
        <v>1073</v>
      </c>
      <c r="E487" t="s">
        <v>1145</v>
      </c>
      <c r="F487">
        <v>598.45000000000005</v>
      </c>
    </row>
    <row r="488" spans="1:6" hidden="1" x14ac:dyDescent="0.25">
      <c r="A488" s="70">
        <v>3231043</v>
      </c>
      <c r="B488" t="s">
        <v>67</v>
      </c>
      <c r="C488" t="s">
        <v>1111</v>
      </c>
      <c r="D488" t="s">
        <v>1073</v>
      </c>
      <c r="E488" t="s">
        <v>1145</v>
      </c>
      <c r="F488">
        <v>598.20000000000005</v>
      </c>
    </row>
    <row r="489" spans="1:6" hidden="1" x14ac:dyDescent="0.25">
      <c r="A489" s="70">
        <v>3731145</v>
      </c>
      <c r="B489" t="s">
        <v>21</v>
      </c>
      <c r="C489" t="s">
        <v>1129</v>
      </c>
      <c r="D489" t="s">
        <v>1073</v>
      </c>
      <c r="E489" t="s">
        <v>1145</v>
      </c>
      <c r="F489">
        <v>597.97</v>
      </c>
    </row>
    <row r="490" spans="1:6" hidden="1" x14ac:dyDescent="0.25">
      <c r="A490" s="70">
        <v>3731226</v>
      </c>
      <c r="B490" t="s">
        <v>49</v>
      </c>
      <c r="C490" t="s">
        <v>1129</v>
      </c>
      <c r="D490" t="s">
        <v>1073</v>
      </c>
      <c r="E490" t="s">
        <v>1145</v>
      </c>
      <c r="F490">
        <v>597.91</v>
      </c>
    </row>
    <row r="491" spans="1:6" hidden="1" x14ac:dyDescent="0.25">
      <c r="A491" s="70">
        <v>3241076</v>
      </c>
      <c r="B491" t="s">
        <v>339</v>
      </c>
      <c r="C491" t="s">
        <v>1095</v>
      </c>
      <c r="D491" t="s">
        <v>1073</v>
      </c>
      <c r="E491" t="s">
        <v>1145</v>
      </c>
      <c r="F491">
        <v>597.71</v>
      </c>
    </row>
    <row r="492" spans="1:6" hidden="1" x14ac:dyDescent="0.25">
      <c r="A492" s="70">
        <v>3721263</v>
      </c>
      <c r="B492" t="s">
        <v>38</v>
      </c>
      <c r="C492" t="s">
        <v>1083</v>
      </c>
      <c r="D492" t="s">
        <v>1073</v>
      </c>
      <c r="E492" t="s">
        <v>1145</v>
      </c>
      <c r="F492">
        <v>597.59</v>
      </c>
    </row>
    <row r="493" spans="1:6" hidden="1" x14ac:dyDescent="0.25">
      <c r="A493" s="70">
        <v>3631121</v>
      </c>
      <c r="B493" t="s">
        <v>79</v>
      </c>
      <c r="C493" t="s">
        <v>1119</v>
      </c>
      <c r="D493" t="s">
        <v>1073</v>
      </c>
      <c r="E493" t="s">
        <v>1145</v>
      </c>
      <c r="F493">
        <v>597.33000000000004</v>
      </c>
    </row>
    <row r="494" spans="1:6" hidden="1" x14ac:dyDescent="0.25">
      <c r="A494" s="70">
        <v>3531305</v>
      </c>
      <c r="B494" t="s">
        <v>115</v>
      </c>
      <c r="C494" t="s">
        <v>1084</v>
      </c>
      <c r="D494" t="s">
        <v>1073</v>
      </c>
      <c r="E494" t="s">
        <v>1145</v>
      </c>
      <c r="F494">
        <v>596.62</v>
      </c>
    </row>
    <row r="495" spans="1:6" hidden="1" x14ac:dyDescent="0.25">
      <c r="A495" s="70">
        <v>3561103</v>
      </c>
      <c r="B495" t="s">
        <v>65</v>
      </c>
      <c r="C495" t="s">
        <v>1128</v>
      </c>
      <c r="D495" t="s">
        <v>1073</v>
      </c>
      <c r="E495" t="s">
        <v>1145</v>
      </c>
      <c r="F495">
        <v>596.61</v>
      </c>
    </row>
    <row r="496" spans="1:6" hidden="1" x14ac:dyDescent="0.25">
      <c r="A496" s="70">
        <v>3341201</v>
      </c>
      <c r="B496" t="s">
        <v>176</v>
      </c>
      <c r="C496" t="s">
        <v>1124</v>
      </c>
      <c r="D496" t="s">
        <v>1073</v>
      </c>
      <c r="E496" t="s">
        <v>1145</v>
      </c>
      <c r="F496">
        <v>596.48</v>
      </c>
    </row>
    <row r="497" spans="1:6" hidden="1" x14ac:dyDescent="0.25">
      <c r="A497" s="70">
        <v>3561022</v>
      </c>
      <c r="B497" t="s">
        <v>42</v>
      </c>
      <c r="C497" t="s">
        <v>1128</v>
      </c>
      <c r="D497" t="s">
        <v>1073</v>
      </c>
      <c r="E497" t="s">
        <v>1145</v>
      </c>
      <c r="F497">
        <v>596.48</v>
      </c>
    </row>
    <row r="498" spans="1:6" hidden="1" x14ac:dyDescent="0.25">
      <c r="A498" s="70">
        <v>3531263</v>
      </c>
      <c r="B498" t="s">
        <v>466</v>
      </c>
      <c r="C498" t="s">
        <v>1084</v>
      </c>
      <c r="D498" t="s">
        <v>1073</v>
      </c>
      <c r="E498" t="s">
        <v>1145</v>
      </c>
      <c r="F498">
        <v>596.1</v>
      </c>
    </row>
    <row r="499" spans="1:6" hidden="1" x14ac:dyDescent="0.25">
      <c r="A499" s="70">
        <v>7211023</v>
      </c>
      <c r="B499" t="s">
        <v>85</v>
      </c>
      <c r="C499" t="s">
        <v>1112</v>
      </c>
      <c r="D499" t="s">
        <v>1073</v>
      </c>
      <c r="E499" t="s">
        <v>1145</v>
      </c>
      <c r="F499">
        <v>595.66999999999996</v>
      </c>
    </row>
    <row r="500" spans="1:6" hidden="1" x14ac:dyDescent="0.25">
      <c r="A500" s="70">
        <v>3561142</v>
      </c>
      <c r="B500" t="s">
        <v>115</v>
      </c>
      <c r="C500" t="s">
        <v>1128</v>
      </c>
      <c r="D500" t="s">
        <v>1073</v>
      </c>
      <c r="E500" t="s">
        <v>1145</v>
      </c>
      <c r="F500">
        <v>594.6</v>
      </c>
    </row>
    <row r="501" spans="1:6" hidden="1" x14ac:dyDescent="0.25">
      <c r="A501" s="70">
        <v>1212011</v>
      </c>
      <c r="B501" t="s">
        <v>1147</v>
      </c>
      <c r="C501" t="s">
        <v>1094</v>
      </c>
      <c r="D501" t="s">
        <v>1073</v>
      </c>
      <c r="E501" t="s">
        <v>1145</v>
      </c>
      <c r="F501">
        <v>582.11</v>
      </c>
    </row>
    <row r="502" spans="1:6" hidden="1" x14ac:dyDescent="0.25">
      <c r="A502" s="70">
        <v>1212042</v>
      </c>
      <c r="B502" t="s">
        <v>1148</v>
      </c>
      <c r="C502" t="s">
        <v>1094</v>
      </c>
      <c r="D502" t="s">
        <v>1073</v>
      </c>
      <c r="E502" t="s">
        <v>1086</v>
      </c>
      <c r="F502">
        <v>604.04</v>
      </c>
    </row>
    <row r="503" spans="1:6" hidden="1" x14ac:dyDescent="0.25">
      <c r="A503" s="70">
        <v>1212081</v>
      </c>
      <c r="B503" t="s">
        <v>1149</v>
      </c>
      <c r="C503" t="s">
        <v>1094</v>
      </c>
      <c r="D503" t="s">
        <v>1073</v>
      </c>
      <c r="E503" t="s">
        <v>1145</v>
      </c>
      <c r="F503">
        <v>580.64</v>
      </c>
    </row>
    <row r="504" spans="1:6" hidden="1" x14ac:dyDescent="0.25">
      <c r="A504" s="70">
        <v>1212096</v>
      </c>
      <c r="B504" t="s">
        <v>1150</v>
      </c>
      <c r="C504" t="s">
        <v>1094</v>
      </c>
      <c r="D504" t="s">
        <v>1073</v>
      </c>
      <c r="E504" t="s">
        <v>1145</v>
      </c>
      <c r="F504">
        <v>585.07000000000005</v>
      </c>
    </row>
    <row r="505" spans="1:6" hidden="1" x14ac:dyDescent="0.25">
      <c r="A505" s="70">
        <v>1212107</v>
      </c>
      <c r="B505" t="s">
        <v>69</v>
      </c>
      <c r="C505" t="s">
        <v>1094</v>
      </c>
      <c r="D505" t="s">
        <v>1073</v>
      </c>
      <c r="E505" t="s">
        <v>1145</v>
      </c>
      <c r="F505">
        <v>586.20000000000005</v>
      </c>
    </row>
    <row r="506" spans="1:6" hidden="1" x14ac:dyDescent="0.25">
      <c r="A506" s="70">
        <v>1212146</v>
      </c>
      <c r="B506" t="s">
        <v>1151</v>
      </c>
      <c r="C506" t="s">
        <v>1094</v>
      </c>
      <c r="D506" t="s">
        <v>1073</v>
      </c>
      <c r="E506" t="s">
        <v>1145</v>
      </c>
      <c r="F506">
        <v>570.33000000000004</v>
      </c>
    </row>
    <row r="507" spans="1:6" hidden="1" x14ac:dyDescent="0.25">
      <c r="A507" s="70">
        <v>1212227</v>
      </c>
      <c r="B507" t="s">
        <v>1152</v>
      </c>
      <c r="C507" t="s">
        <v>1094</v>
      </c>
      <c r="D507" t="s">
        <v>1073</v>
      </c>
      <c r="E507" t="s">
        <v>1145</v>
      </c>
      <c r="F507">
        <v>576.64</v>
      </c>
    </row>
    <row r="508" spans="1:6" hidden="1" x14ac:dyDescent="0.25">
      <c r="A508" s="70">
        <v>1212235</v>
      </c>
      <c r="B508" t="s">
        <v>1153</v>
      </c>
      <c r="C508" t="s">
        <v>1094</v>
      </c>
      <c r="D508" t="s">
        <v>1073</v>
      </c>
      <c r="E508" t="s">
        <v>1145</v>
      </c>
      <c r="F508">
        <v>583.26</v>
      </c>
    </row>
    <row r="509" spans="1:6" hidden="1" x14ac:dyDescent="0.25">
      <c r="A509" s="70">
        <v>1312012</v>
      </c>
      <c r="B509" t="s">
        <v>1154</v>
      </c>
      <c r="C509" t="s">
        <v>1106</v>
      </c>
      <c r="D509" t="s">
        <v>1073</v>
      </c>
      <c r="E509" t="s">
        <v>1145</v>
      </c>
      <c r="F509">
        <v>587.65</v>
      </c>
    </row>
    <row r="510" spans="1:6" hidden="1" x14ac:dyDescent="0.25">
      <c r="A510" s="70">
        <v>1312101</v>
      </c>
      <c r="B510" t="s">
        <v>1148</v>
      </c>
      <c r="C510" t="s">
        <v>1106</v>
      </c>
      <c r="D510" t="s">
        <v>1073</v>
      </c>
      <c r="E510" t="s">
        <v>1145</v>
      </c>
      <c r="F510">
        <v>578.54</v>
      </c>
    </row>
    <row r="511" spans="1:6" hidden="1" x14ac:dyDescent="0.25">
      <c r="A511" s="70">
        <v>1412013</v>
      </c>
      <c r="B511" t="s">
        <v>1155</v>
      </c>
      <c r="C511" t="s">
        <v>1096</v>
      </c>
      <c r="D511" t="s">
        <v>1073</v>
      </c>
      <c r="E511" t="s">
        <v>1145</v>
      </c>
      <c r="F511">
        <v>584.66</v>
      </c>
    </row>
    <row r="512" spans="1:6" hidden="1" x14ac:dyDescent="0.25">
      <c r="A512" s="70">
        <v>1412021</v>
      </c>
      <c r="B512" t="s">
        <v>1147</v>
      </c>
      <c r="C512" t="s">
        <v>1096</v>
      </c>
      <c r="D512" t="s">
        <v>1073</v>
      </c>
      <c r="E512" t="s">
        <v>1145</v>
      </c>
      <c r="F512">
        <v>584.79999999999995</v>
      </c>
    </row>
    <row r="513" spans="1:6" hidden="1" x14ac:dyDescent="0.25">
      <c r="A513" s="70">
        <v>1412067</v>
      </c>
      <c r="B513" t="s">
        <v>1150</v>
      </c>
      <c r="C513" t="s">
        <v>1096</v>
      </c>
      <c r="D513" t="s">
        <v>1073</v>
      </c>
      <c r="E513" t="s">
        <v>1145</v>
      </c>
      <c r="F513">
        <v>599.28</v>
      </c>
    </row>
    <row r="514" spans="1:6" hidden="1" x14ac:dyDescent="0.25">
      <c r="A514" s="70">
        <v>1412075</v>
      </c>
      <c r="B514" t="s">
        <v>1148</v>
      </c>
      <c r="C514" t="s">
        <v>1096</v>
      </c>
      <c r="D514" t="s">
        <v>1073</v>
      </c>
      <c r="E514" t="s">
        <v>1086</v>
      </c>
      <c r="F514">
        <v>619.6</v>
      </c>
    </row>
    <row r="515" spans="1:6" hidden="1" x14ac:dyDescent="0.25">
      <c r="A515" s="70">
        <v>1412091</v>
      </c>
      <c r="B515" t="s">
        <v>1156</v>
      </c>
      <c r="C515" t="s">
        <v>1096</v>
      </c>
      <c r="D515" t="s">
        <v>1073</v>
      </c>
      <c r="E515" t="s">
        <v>1145</v>
      </c>
      <c r="F515">
        <v>579.64</v>
      </c>
    </row>
    <row r="516" spans="1:6" hidden="1" x14ac:dyDescent="0.25">
      <c r="A516" s="70">
        <v>1412117</v>
      </c>
      <c r="B516" t="s">
        <v>1151</v>
      </c>
      <c r="C516" t="s">
        <v>1096</v>
      </c>
      <c r="D516" t="s">
        <v>1073</v>
      </c>
      <c r="E516" t="s">
        <v>1145</v>
      </c>
      <c r="F516">
        <v>586.83000000000004</v>
      </c>
    </row>
    <row r="517" spans="1:6" hidden="1" x14ac:dyDescent="0.25">
      <c r="A517" s="70">
        <v>1412141</v>
      </c>
      <c r="B517" t="s">
        <v>1157</v>
      </c>
      <c r="C517" t="s">
        <v>1096</v>
      </c>
      <c r="D517" t="s">
        <v>1073</v>
      </c>
      <c r="E517" t="s">
        <v>1086</v>
      </c>
      <c r="F517">
        <v>603.6</v>
      </c>
    </row>
    <row r="518" spans="1:6" hidden="1" x14ac:dyDescent="0.25">
      <c r="A518" s="70">
        <v>1412156</v>
      </c>
      <c r="B518" t="s">
        <v>1149</v>
      </c>
      <c r="C518" t="s">
        <v>1096</v>
      </c>
      <c r="D518" t="s">
        <v>1073</v>
      </c>
      <c r="E518" t="s">
        <v>1145</v>
      </c>
      <c r="F518">
        <v>593.44000000000005</v>
      </c>
    </row>
    <row r="519" spans="1:6" hidden="1" x14ac:dyDescent="0.25">
      <c r="A519" s="70">
        <v>1422127</v>
      </c>
      <c r="B519" t="s">
        <v>1158</v>
      </c>
      <c r="C519" t="s">
        <v>1159</v>
      </c>
      <c r="D519" t="s">
        <v>1073</v>
      </c>
      <c r="E519" t="s">
        <v>1145</v>
      </c>
      <c r="F519">
        <v>565.89</v>
      </c>
    </row>
    <row r="520" spans="1:6" hidden="1" x14ac:dyDescent="0.25">
      <c r="A520" s="70">
        <v>1422216</v>
      </c>
      <c r="B520" t="s">
        <v>1160</v>
      </c>
      <c r="C520" t="s">
        <v>1159</v>
      </c>
      <c r="D520" t="s">
        <v>1073</v>
      </c>
      <c r="E520" t="s">
        <v>1145</v>
      </c>
      <c r="F520">
        <v>565.03</v>
      </c>
    </row>
    <row r="521" spans="1:6" hidden="1" x14ac:dyDescent="0.25">
      <c r="A521" s="70">
        <v>1422224</v>
      </c>
      <c r="B521" t="s">
        <v>1161</v>
      </c>
      <c r="C521" t="s">
        <v>1159</v>
      </c>
      <c r="D521" t="s">
        <v>1073</v>
      </c>
      <c r="E521" t="s">
        <v>1145</v>
      </c>
      <c r="F521">
        <v>575.28</v>
      </c>
    </row>
    <row r="522" spans="1:6" hidden="1" x14ac:dyDescent="0.25">
      <c r="A522" s="70">
        <v>1712032</v>
      </c>
      <c r="B522" t="s">
        <v>1150</v>
      </c>
      <c r="C522" t="s">
        <v>1097</v>
      </c>
      <c r="D522" t="s">
        <v>1073</v>
      </c>
      <c r="E522" t="s">
        <v>1145</v>
      </c>
      <c r="F522">
        <v>571.61</v>
      </c>
    </row>
    <row r="523" spans="1:6" hidden="1" x14ac:dyDescent="0.25">
      <c r="A523" s="70">
        <v>1712047</v>
      </c>
      <c r="B523" t="s">
        <v>1148</v>
      </c>
      <c r="C523" t="s">
        <v>1097</v>
      </c>
      <c r="D523" t="s">
        <v>1073</v>
      </c>
      <c r="E523" t="s">
        <v>1145</v>
      </c>
      <c r="F523">
        <v>582.57000000000005</v>
      </c>
    </row>
    <row r="524" spans="1:6" hidden="1" x14ac:dyDescent="0.25">
      <c r="A524" s="70">
        <v>1912042</v>
      </c>
      <c r="B524" t="s">
        <v>1150</v>
      </c>
      <c r="C524" t="s">
        <v>1162</v>
      </c>
      <c r="D524" t="s">
        <v>1073</v>
      </c>
      <c r="E524" t="s">
        <v>1145</v>
      </c>
      <c r="F524">
        <v>584.91999999999996</v>
      </c>
    </row>
    <row r="525" spans="1:6" hidden="1" x14ac:dyDescent="0.25">
      <c r="A525" s="70">
        <v>1912057</v>
      </c>
      <c r="B525" t="s">
        <v>1163</v>
      </c>
      <c r="C525" t="s">
        <v>1162</v>
      </c>
      <c r="D525" t="s">
        <v>1073</v>
      </c>
      <c r="E525" t="s">
        <v>1145</v>
      </c>
      <c r="F525">
        <v>575.99</v>
      </c>
    </row>
    <row r="526" spans="1:6" hidden="1" x14ac:dyDescent="0.25">
      <c r="A526" s="70">
        <v>1912065</v>
      </c>
      <c r="B526" t="s">
        <v>1148</v>
      </c>
      <c r="C526" t="s">
        <v>1162</v>
      </c>
      <c r="D526" t="s">
        <v>1073</v>
      </c>
      <c r="E526" t="s">
        <v>1086</v>
      </c>
      <c r="F526">
        <v>605.71</v>
      </c>
    </row>
    <row r="527" spans="1:6" hidden="1" x14ac:dyDescent="0.25">
      <c r="A527" s="70">
        <v>1912073</v>
      </c>
      <c r="B527" t="s">
        <v>1149</v>
      </c>
      <c r="C527" t="s">
        <v>1162</v>
      </c>
      <c r="D527" t="s">
        <v>1073</v>
      </c>
      <c r="E527" t="s">
        <v>1145</v>
      </c>
      <c r="F527">
        <v>579.6</v>
      </c>
    </row>
    <row r="528" spans="1:6" hidden="1" x14ac:dyDescent="0.25">
      <c r="A528" s="70">
        <v>1912096</v>
      </c>
      <c r="B528" t="s">
        <v>1164</v>
      </c>
      <c r="C528" t="s">
        <v>1162</v>
      </c>
      <c r="D528" t="s">
        <v>1073</v>
      </c>
      <c r="E528" t="s">
        <v>1145</v>
      </c>
      <c r="F528">
        <v>573.42999999999995</v>
      </c>
    </row>
    <row r="529" spans="1:6" hidden="1" x14ac:dyDescent="0.25">
      <c r="A529" s="70">
        <v>1912212</v>
      </c>
      <c r="B529" t="s">
        <v>1154</v>
      </c>
      <c r="C529" t="s">
        <v>1162</v>
      </c>
      <c r="D529" t="s">
        <v>1073</v>
      </c>
      <c r="E529" t="s">
        <v>1145</v>
      </c>
      <c r="F529">
        <v>576.04</v>
      </c>
    </row>
    <row r="530" spans="1:6" hidden="1" x14ac:dyDescent="0.25">
      <c r="A530" s="70">
        <v>3112025</v>
      </c>
      <c r="B530" t="s">
        <v>1150</v>
      </c>
      <c r="C530" t="s">
        <v>1165</v>
      </c>
      <c r="D530" t="s">
        <v>1073</v>
      </c>
      <c r="E530" t="s">
        <v>1145</v>
      </c>
      <c r="F530">
        <v>568.6</v>
      </c>
    </row>
    <row r="531" spans="1:6" hidden="1" x14ac:dyDescent="0.25">
      <c r="A531" s="70">
        <v>3112033</v>
      </c>
      <c r="B531" t="s">
        <v>1148</v>
      </c>
      <c r="C531" t="s">
        <v>1165</v>
      </c>
      <c r="D531" t="s">
        <v>1073</v>
      </c>
      <c r="E531" t="s">
        <v>1145</v>
      </c>
      <c r="F531">
        <v>587.02</v>
      </c>
    </row>
    <row r="532" spans="1:6" hidden="1" x14ac:dyDescent="0.25">
      <c r="A532" s="70">
        <v>3112041</v>
      </c>
      <c r="B532" t="s">
        <v>1155</v>
      </c>
      <c r="C532" t="s">
        <v>1165</v>
      </c>
      <c r="D532" t="s">
        <v>1073</v>
      </c>
      <c r="E532" t="s">
        <v>1145</v>
      </c>
      <c r="F532">
        <v>565.9</v>
      </c>
    </row>
    <row r="533" spans="1:6" hidden="1" x14ac:dyDescent="0.25">
      <c r="A533" s="70">
        <v>3112056</v>
      </c>
      <c r="B533" t="s">
        <v>1166</v>
      </c>
      <c r="C533" t="s">
        <v>1165</v>
      </c>
      <c r="D533" t="s">
        <v>1073</v>
      </c>
      <c r="E533" t="s">
        <v>1145</v>
      </c>
      <c r="F533">
        <v>572.08000000000004</v>
      </c>
    </row>
    <row r="534" spans="1:6" hidden="1" x14ac:dyDescent="0.25">
      <c r="A534" s="70">
        <v>3112064</v>
      </c>
      <c r="B534" t="s">
        <v>1149</v>
      </c>
      <c r="C534" t="s">
        <v>1165</v>
      </c>
      <c r="D534" t="s">
        <v>1073</v>
      </c>
      <c r="E534" t="s">
        <v>1145</v>
      </c>
      <c r="F534">
        <v>571.14</v>
      </c>
    </row>
    <row r="535" spans="1:6" hidden="1" x14ac:dyDescent="0.25">
      <c r="A535" s="70">
        <v>3212011</v>
      </c>
      <c r="B535" t="s">
        <v>31</v>
      </c>
      <c r="C535" t="s">
        <v>1072</v>
      </c>
      <c r="D535" t="s">
        <v>1073</v>
      </c>
      <c r="E535" t="s">
        <v>1086</v>
      </c>
      <c r="F535">
        <v>676.25</v>
      </c>
    </row>
    <row r="536" spans="1:6" hidden="1" x14ac:dyDescent="0.25">
      <c r="A536" s="70">
        <v>3212026</v>
      </c>
      <c r="B536" t="s">
        <v>297</v>
      </c>
      <c r="C536" t="s">
        <v>1072</v>
      </c>
      <c r="D536" t="s">
        <v>1073</v>
      </c>
      <c r="E536" t="s">
        <v>1086</v>
      </c>
      <c r="F536">
        <v>623.49</v>
      </c>
    </row>
    <row r="537" spans="1:6" hidden="1" x14ac:dyDescent="0.25">
      <c r="A537" s="70">
        <v>3212034</v>
      </c>
      <c r="B537" t="s">
        <v>148</v>
      </c>
      <c r="C537" t="s">
        <v>1072</v>
      </c>
      <c r="D537" t="s">
        <v>1073</v>
      </c>
      <c r="E537" t="s">
        <v>1086</v>
      </c>
      <c r="F537">
        <v>649.61</v>
      </c>
    </row>
    <row r="538" spans="1:6" hidden="1" x14ac:dyDescent="0.25">
      <c r="A538" s="70">
        <v>3212042</v>
      </c>
      <c r="B538" t="s">
        <v>303</v>
      </c>
      <c r="C538" t="s">
        <v>1072</v>
      </c>
      <c r="D538" t="s">
        <v>1073</v>
      </c>
      <c r="E538" t="s">
        <v>1086</v>
      </c>
      <c r="F538">
        <v>684.05</v>
      </c>
    </row>
    <row r="539" spans="1:6" hidden="1" x14ac:dyDescent="0.25">
      <c r="A539" s="70">
        <v>3212057</v>
      </c>
      <c r="B539" t="s">
        <v>60</v>
      </c>
      <c r="C539" t="s">
        <v>1072</v>
      </c>
      <c r="D539" t="s">
        <v>1073</v>
      </c>
      <c r="E539" t="s">
        <v>1086</v>
      </c>
      <c r="F539">
        <v>672.74</v>
      </c>
    </row>
    <row r="540" spans="1:6" hidden="1" x14ac:dyDescent="0.25">
      <c r="A540" s="70">
        <v>3212065</v>
      </c>
      <c r="B540" t="s">
        <v>33</v>
      </c>
      <c r="C540" t="s">
        <v>1072</v>
      </c>
      <c r="D540" t="s">
        <v>1073</v>
      </c>
      <c r="E540" t="s">
        <v>1086</v>
      </c>
      <c r="F540">
        <v>654.62</v>
      </c>
    </row>
    <row r="541" spans="1:6" hidden="1" x14ac:dyDescent="0.25">
      <c r="A541" s="70">
        <v>3212073</v>
      </c>
      <c r="B541" t="s">
        <v>29</v>
      </c>
      <c r="C541" t="s">
        <v>1072</v>
      </c>
      <c r="D541" t="s">
        <v>1073</v>
      </c>
      <c r="E541" t="s">
        <v>1086</v>
      </c>
      <c r="F541">
        <v>656.52</v>
      </c>
    </row>
    <row r="542" spans="1:6" hidden="1" x14ac:dyDescent="0.25">
      <c r="A542" s="70">
        <v>3212081</v>
      </c>
      <c r="B542" t="s">
        <v>304</v>
      </c>
      <c r="C542" t="s">
        <v>1072</v>
      </c>
      <c r="D542" t="s">
        <v>1073</v>
      </c>
      <c r="E542" t="s">
        <v>1086</v>
      </c>
      <c r="F542">
        <v>658.79</v>
      </c>
    </row>
    <row r="543" spans="1:6" hidden="1" x14ac:dyDescent="0.25">
      <c r="A543" s="70">
        <v>3212096</v>
      </c>
      <c r="B543" t="s">
        <v>63</v>
      </c>
      <c r="C543" t="s">
        <v>1072</v>
      </c>
      <c r="D543" t="s">
        <v>1073</v>
      </c>
      <c r="E543" t="s">
        <v>1086</v>
      </c>
      <c r="F543">
        <v>648.66999999999996</v>
      </c>
    </row>
    <row r="544" spans="1:6" hidden="1" x14ac:dyDescent="0.25">
      <c r="A544" s="70">
        <v>3212107</v>
      </c>
      <c r="B544" t="s">
        <v>147</v>
      </c>
      <c r="C544" t="s">
        <v>1072</v>
      </c>
      <c r="D544" t="s">
        <v>1073</v>
      </c>
      <c r="E544" t="s">
        <v>1086</v>
      </c>
      <c r="F544">
        <v>649.33000000000004</v>
      </c>
    </row>
    <row r="545" spans="1:6" hidden="1" x14ac:dyDescent="0.25">
      <c r="A545" s="70">
        <v>3212115</v>
      </c>
      <c r="B545" t="s">
        <v>144</v>
      </c>
      <c r="C545" t="s">
        <v>1072</v>
      </c>
      <c r="D545" t="s">
        <v>1073</v>
      </c>
      <c r="E545" t="s">
        <v>1086</v>
      </c>
      <c r="F545">
        <v>647.84</v>
      </c>
    </row>
    <row r="546" spans="1:6" hidden="1" x14ac:dyDescent="0.25">
      <c r="A546" s="70">
        <v>3212123</v>
      </c>
      <c r="B546" t="s">
        <v>30</v>
      </c>
      <c r="C546" t="s">
        <v>1072</v>
      </c>
      <c r="D546" t="s">
        <v>1073</v>
      </c>
      <c r="E546" t="s">
        <v>1086</v>
      </c>
      <c r="F546">
        <v>699.46</v>
      </c>
    </row>
    <row r="547" spans="1:6" hidden="1" x14ac:dyDescent="0.25">
      <c r="A547" s="70">
        <v>3212131</v>
      </c>
      <c r="B547" t="s">
        <v>58</v>
      </c>
      <c r="C547" t="s">
        <v>1072</v>
      </c>
      <c r="D547" t="s">
        <v>1073</v>
      </c>
      <c r="E547" t="s">
        <v>1086</v>
      </c>
      <c r="F547">
        <v>660.76</v>
      </c>
    </row>
    <row r="548" spans="1:6" hidden="1" x14ac:dyDescent="0.25">
      <c r="A548" s="70">
        <v>3212146</v>
      </c>
      <c r="B548" t="s">
        <v>300</v>
      </c>
      <c r="C548" t="s">
        <v>1072</v>
      </c>
      <c r="D548" t="s">
        <v>1073</v>
      </c>
      <c r="E548" t="s">
        <v>1086</v>
      </c>
      <c r="F548">
        <v>667.11</v>
      </c>
    </row>
    <row r="549" spans="1:6" hidden="1" x14ac:dyDescent="0.25">
      <c r="A549" s="70">
        <v>3212154</v>
      </c>
      <c r="B549" t="s">
        <v>61</v>
      </c>
      <c r="C549" t="s">
        <v>1072</v>
      </c>
      <c r="D549" t="s">
        <v>1073</v>
      </c>
      <c r="E549" t="s">
        <v>1086</v>
      </c>
      <c r="F549">
        <v>681.26</v>
      </c>
    </row>
    <row r="550" spans="1:6" hidden="1" x14ac:dyDescent="0.25">
      <c r="A550" s="70">
        <v>3212162</v>
      </c>
      <c r="B550" t="s">
        <v>55</v>
      </c>
      <c r="C550" t="s">
        <v>1072</v>
      </c>
      <c r="D550" t="s">
        <v>1073</v>
      </c>
      <c r="E550" t="s">
        <v>1086</v>
      </c>
      <c r="F550">
        <v>684.97</v>
      </c>
    </row>
    <row r="551" spans="1:6" hidden="1" x14ac:dyDescent="0.25">
      <c r="A551" s="70">
        <v>3212177</v>
      </c>
      <c r="B551" t="s">
        <v>168</v>
      </c>
      <c r="C551" t="s">
        <v>1072</v>
      </c>
      <c r="D551" t="s">
        <v>1073</v>
      </c>
      <c r="E551" t="s">
        <v>1074</v>
      </c>
      <c r="F551">
        <v>702.17</v>
      </c>
    </row>
    <row r="552" spans="1:6" hidden="1" x14ac:dyDescent="0.25">
      <c r="A552" s="70">
        <v>3212185</v>
      </c>
      <c r="B552" t="s">
        <v>32</v>
      </c>
      <c r="C552" t="s">
        <v>1072</v>
      </c>
      <c r="D552" t="s">
        <v>1073</v>
      </c>
      <c r="E552" t="s">
        <v>1086</v>
      </c>
      <c r="F552">
        <v>650.02</v>
      </c>
    </row>
    <row r="553" spans="1:6" hidden="1" x14ac:dyDescent="0.25">
      <c r="A553" s="70">
        <v>3212193</v>
      </c>
      <c r="B553" t="s">
        <v>302</v>
      </c>
      <c r="C553" t="s">
        <v>1072</v>
      </c>
      <c r="D553" t="s">
        <v>1073</v>
      </c>
      <c r="E553" t="s">
        <v>1086</v>
      </c>
      <c r="F553">
        <v>627.84</v>
      </c>
    </row>
    <row r="554" spans="1:6" hidden="1" x14ac:dyDescent="0.25">
      <c r="A554" s="70">
        <v>3212204</v>
      </c>
      <c r="B554" t="s">
        <v>62</v>
      </c>
      <c r="C554" t="s">
        <v>1072</v>
      </c>
      <c r="D554" t="s">
        <v>1073</v>
      </c>
      <c r="E554" t="s">
        <v>1086</v>
      </c>
      <c r="F554">
        <v>639.30999999999995</v>
      </c>
    </row>
    <row r="555" spans="1:6" hidden="1" x14ac:dyDescent="0.25">
      <c r="A555" s="70">
        <v>3212212</v>
      </c>
      <c r="B555" t="s">
        <v>306</v>
      </c>
      <c r="C555" t="s">
        <v>1072</v>
      </c>
      <c r="D555" t="s">
        <v>1073</v>
      </c>
      <c r="E555" t="s">
        <v>1086</v>
      </c>
      <c r="F555">
        <v>610.30999999999995</v>
      </c>
    </row>
    <row r="556" spans="1:6" hidden="1" x14ac:dyDescent="0.25">
      <c r="A556" s="70">
        <v>3212227</v>
      </c>
      <c r="B556" t="s">
        <v>153</v>
      </c>
      <c r="C556" t="s">
        <v>1072</v>
      </c>
      <c r="D556" t="s">
        <v>1073</v>
      </c>
      <c r="E556" t="s">
        <v>1086</v>
      </c>
      <c r="F556">
        <v>661.37</v>
      </c>
    </row>
    <row r="557" spans="1:6" hidden="1" x14ac:dyDescent="0.25">
      <c r="A557" s="70">
        <v>3212235</v>
      </c>
      <c r="B557" t="s">
        <v>150</v>
      </c>
      <c r="C557" t="s">
        <v>1072</v>
      </c>
      <c r="D557" t="s">
        <v>1073</v>
      </c>
      <c r="E557" t="s">
        <v>1086</v>
      </c>
      <c r="F557">
        <v>640.66</v>
      </c>
    </row>
    <row r="558" spans="1:6" hidden="1" x14ac:dyDescent="0.25">
      <c r="A558" s="70">
        <v>3212243</v>
      </c>
      <c r="B558" t="s">
        <v>149</v>
      </c>
      <c r="C558" t="s">
        <v>1072</v>
      </c>
      <c r="D558" t="s">
        <v>1073</v>
      </c>
      <c r="E558" t="s">
        <v>1086</v>
      </c>
      <c r="F558">
        <v>637.25</v>
      </c>
    </row>
    <row r="559" spans="1:6" hidden="1" x14ac:dyDescent="0.25">
      <c r="A559" s="70">
        <v>3212251</v>
      </c>
      <c r="B559" t="s">
        <v>308</v>
      </c>
      <c r="C559" t="s">
        <v>1072</v>
      </c>
      <c r="D559" t="s">
        <v>1073</v>
      </c>
      <c r="E559" t="s">
        <v>1086</v>
      </c>
      <c r="F559">
        <v>633.41999999999996</v>
      </c>
    </row>
    <row r="560" spans="1:6" hidden="1" x14ac:dyDescent="0.25">
      <c r="A560" s="70">
        <v>3212266</v>
      </c>
      <c r="B560" t="s">
        <v>139</v>
      </c>
      <c r="C560" t="s">
        <v>1072</v>
      </c>
      <c r="D560" t="s">
        <v>1073</v>
      </c>
      <c r="E560" t="s">
        <v>1086</v>
      </c>
      <c r="F560">
        <v>656.35</v>
      </c>
    </row>
    <row r="561" spans="1:6" hidden="1" x14ac:dyDescent="0.25">
      <c r="A561" s="70">
        <v>3212274</v>
      </c>
      <c r="B561" t="s">
        <v>307</v>
      </c>
      <c r="C561" t="s">
        <v>1072</v>
      </c>
      <c r="D561" t="s">
        <v>1073</v>
      </c>
      <c r="E561" t="s">
        <v>1086</v>
      </c>
      <c r="F561">
        <v>640.29999999999995</v>
      </c>
    </row>
    <row r="562" spans="1:6" hidden="1" x14ac:dyDescent="0.25">
      <c r="A562" s="70">
        <v>3212282</v>
      </c>
      <c r="B562" t="s">
        <v>305</v>
      </c>
      <c r="C562" t="s">
        <v>1072</v>
      </c>
      <c r="D562" t="s">
        <v>1073</v>
      </c>
      <c r="E562" t="s">
        <v>1086</v>
      </c>
      <c r="F562">
        <v>631.42999999999995</v>
      </c>
    </row>
    <row r="563" spans="1:6" hidden="1" x14ac:dyDescent="0.25">
      <c r="A563" s="70">
        <v>3212297</v>
      </c>
      <c r="B563" t="s">
        <v>309</v>
      </c>
      <c r="C563" t="s">
        <v>1072</v>
      </c>
      <c r="D563" t="s">
        <v>1073</v>
      </c>
      <c r="E563" t="s">
        <v>1086</v>
      </c>
      <c r="F563">
        <v>625.83000000000004</v>
      </c>
    </row>
    <row r="564" spans="1:6" hidden="1" x14ac:dyDescent="0.25">
      <c r="A564" s="70">
        <v>3212301</v>
      </c>
      <c r="B564" t="s">
        <v>298</v>
      </c>
      <c r="C564" t="s">
        <v>1072</v>
      </c>
      <c r="D564" t="s">
        <v>1073</v>
      </c>
      <c r="E564" t="s">
        <v>1086</v>
      </c>
      <c r="F564">
        <v>655.89</v>
      </c>
    </row>
    <row r="565" spans="1:6" hidden="1" x14ac:dyDescent="0.25">
      <c r="A565" s="70">
        <v>3212316</v>
      </c>
      <c r="B565" t="s">
        <v>301</v>
      </c>
      <c r="C565" t="s">
        <v>1072</v>
      </c>
      <c r="D565" t="s">
        <v>1073</v>
      </c>
      <c r="E565" t="s">
        <v>1086</v>
      </c>
      <c r="F565">
        <v>672.65</v>
      </c>
    </row>
    <row r="566" spans="1:6" hidden="1" x14ac:dyDescent="0.25">
      <c r="A566" s="70">
        <v>3212324</v>
      </c>
      <c r="B566" t="s">
        <v>299</v>
      </c>
      <c r="C566" t="s">
        <v>1072</v>
      </c>
      <c r="D566" t="s">
        <v>1073</v>
      </c>
      <c r="E566" t="s">
        <v>1086</v>
      </c>
      <c r="F566">
        <v>651.45000000000005</v>
      </c>
    </row>
    <row r="567" spans="1:6" hidden="1" x14ac:dyDescent="0.25">
      <c r="A567" s="70">
        <v>3222021</v>
      </c>
      <c r="B567" t="s">
        <v>1148</v>
      </c>
      <c r="C567" t="s">
        <v>1167</v>
      </c>
      <c r="D567" t="s">
        <v>1073</v>
      </c>
      <c r="E567" t="s">
        <v>1086</v>
      </c>
      <c r="F567">
        <v>604.89</v>
      </c>
    </row>
    <row r="568" spans="1:6" hidden="1" x14ac:dyDescent="0.25">
      <c r="A568" s="70">
        <v>3222075</v>
      </c>
      <c r="B568" t="s">
        <v>1168</v>
      </c>
      <c r="C568" t="s">
        <v>1167</v>
      </c>
      <c r="D568" t="s">
        <v>1073</v>
      </c>
      <c r="E568" t="s">
        <v>1145</v>
      </c>
      <c r="F568">
        <v>588.12</v>
      </c>
    </row>
    <row r="569" spans="1:6" hidden="1" x14ac:dyDescent="0.25">
      <c r="A569" s="70">
        <v>3222083</v>
      </c>
      <c r="B569" t="s">
        <v>1157</v>
      </c>
      <c r="C569" t="s">
        <v>1167</v>
      </c>
      <c r="D569" t="s">
        <v>1073</v>
      </c>
      <c r="E569" t="s">
        <v>1086</v>
      </c>
      <c r="F569">
        <v>611.85</v>
      </c>
    </row>
    <row r="570" spans="1:6" hidden="1" x14ac:dyDescent="0.25">
      <c r="A570" s="70">
        <v>3222102</v>
      </c>
      <c r="B570" t="s">
        <v>1147</v>
      </c>
      <c r="C570" t="s">
        <v>1167</v>
      </c>
      <c r="D570" t="s">
        <v>1073</v>
      </c>
      <c r="E570" t="s">
        <v>1145</v>
      </c>
      <c r="F570">
        <v>592.09</v>
      </c>
    </row>
    <row r="571" spans="1:6" hidden="1" x14ac:dyDescent="0.25">
      <c r="A571" s="70">
        <v>3222117</v>
      </c>
      <c r="B571" t="s">
        <v>1169</v>
      </c>
      <c r="C571" t="s">
        <v>1167</v>
      </c>
      <c r="D571" t="s">
        <v>1073</v>
      </c>
      <c r="E571" t="s">
        <v>1145</v>
      </c>
      <c r="F571">
        <v>578.62</v>
      </c>
    </row>
    <row r="572" spans="1:6" hidden="1" x14ac:dyDescent="0.25">
      <c r="A572" s="70">
        <v>3222133</v>
      </c>
      <c r="B572" t="s">
        <v>1170</v>
      </c>
      <c r="C572" t="s">
        <v>1167</v>
      </c>
      <c r="D572" t="s">
        <v>1073</v>
      </c>
      <c r="E572" t="s">
        <v>1145</v>
      </c>
      <c r="F572">
        <v>576.72</v>
      </c>
    </row>
    <row r="573" spans="1:6" hidden="1" x14ac:dyDescent="0.25">
      <c r="A573" s="70">
        <v>3222141</v>
      </c>
      <c r="B573" t="s">
        <v>1150</v>
      </c>
      <c r="C573" t="s">
        <v>1167</v>
      </c>
      <c r="D573" t="s">
        <v>1073</v>
      </c>
      <c r="E573" t="s">
        <v>1145</v>
      </c>
      <c r="F573">
        <v>594.02</v>
      </c>
    </row>
    <row r="574" spans="1:6" hidden="1" x14ac:dyDescent="0.25">
      <c r="A574" s="70">
        <v>3222187</v>
      </c>
      <c r="B574" t="s">
        <v>1171</v>
      </c>
      <c r="C574" t="s">
        <v>1167</v>
      </c>
      <c r="D574" t="s">
        <v>1073</v>
      </c>
      <c r="E574" t="s">
        <v>1145</v>
      </c>
      <c r="F574">
        <v>588.33000000000004</v>
      </c>
    </row>
    <row r="575" spans="1:6" hidden="1" x14ac:dyDescent="0.25">
      <c r="A575" s="70">
        <v>3222206</v>
      </c>
      <c r="B575" t="s">
        <v>1172</v>
      </c>
      <c r="C575" t="s">
        <v>1167</v>
      </c>
      <c r="D575" t="s">
        <v>1073</v>
      </c>
      <c r="E575" t="s">
        <v>1145</v>
      </c>
      <c r="F575">
        <v>578.24</v>
      </c>
    </row>
    <row r="576" spans="1:6" hidden="1" x14ac:dyDescent="0.25">
      <c r="A576" s="70">
        <v>3222214</v>
      </c>
      <c r="B576" t="s">
        <v>1153</v>
      </c>
      <c r="C576" t="s">
        <v>1167</v>
      </c>
      <c r="D576" t="s">
        <v>1073</v>
      </c>
      <c r="E576" t="s">
        <v>1086</v>
      </c>
      <c r="F576">
        <v>605.22</v>
      </c>
    </row>
    <row r="577" spans="1:6" hidden="1" x14ac:dyDescent="0.25">
      <c r="A577" s="70">
        <v>3222431</v>
      </c>
      <c r="B577" t="s">
        <v>1173</v>
      </c>
      <c r="C577" t="s">
        <v>1167</v>
      </c>
      <c r="D577" t="s">
        <v>1073</v>
      </c>
      <c r="E577" t="s">
        <v>1145</v>
      </c>
      <c r="F577">
        <v>581.33000000000004</v>
      </c>
    </row>
    <row r="578" spans="1:6" hidden="1" x14ac:dyDescent="0.25">
      <c r="A578" s="70">
        <v>3222454</v>
      </c>
      <c r="B578" t="s">
        <v>1174</v>
      </c>
      <c r="C578" t="s">
        <v>1167</v>
      </c>
      <c r="D578" t="s">
        <v>1073</v>
      </c>
      <c r="E578" t="s">
        <v>1145</v>
      </c>
      <c r="F578">
        <v>589.71</v>
      </c>
    </row>
    <row r="579" spans="1:6" hidden="1" x14ac:dyDescent="0.25">
      <c r="A579" s="70">
        <v>3232015</v>
      </c>
      <c r="B579" t="s">
        <v>210</v>
      </c>
      <c r="C579" t="s">
        <v>1111</v>
      </c>
      <c r="D579" t="s">
        <v>1073</v>
      </c>
      <c r="E579" t="s">
        <v>1145</v>
      </c>
      <c r="F579">
        <v>599.52</v>
      </c>
    </row>
    <row r="580" spans="1:6" hidden="1" x14ac:dyDescent="0.25">
      <c r="A580" s="70">
        <v>3232023</v>
      </c>
      <c r="B580" t="s">
        <v>331</v>
      </c>
      <c r="C580" t="s">
        <v>1111</v>
      </c>
      <c r="D580" t="s">
        <v>1073</v>
      </c>
      <c r="E580" t="s">
        <v>1145</v>
      </c>
      <c r="F580">
        <v>568.94000000000005</v>
      </c>
    </row>
    <row r="581" spans="1:6" hidden="1" x14ac:dyDescent="0.25">
      <c r="A581" s="70">
        <v>3232031</v>
      </c>
      <c r="B581" t="s">
        <v>321</v>
      </c>
      <c r="C581" t="s">
        <v>1111</v>
      </c>
      <c r="D581" t="s">
        <v>1073</v>
      </c>
      <c r="E581" t="s">
        <v>1145</v>
      </c>
      <c r="F581">
        <v>595.04999999999995</v>
      </c>
    </row>
    <row r="582" spans="1:6" hidden="1" x14ac:dyDescent="0.25">
      <c r="A582" s="70">
        <v>3232046</v>
      </c>
      <c r="B582" t="s">
        <v>332</v>
      </c>
      <c r="C582" t="s">
        <v>1111</v>
      </c>
      <c r="D582" t="s">
        <v>1073</v>
      </c>
      <c r="E582" t="s">
        <v>1145</v>
      </c>
      <c r="F582">
        <v>573.54999999999995</v>
      </c>
    </row>
    <row r="583" spans="1:6" hidden="1" x14ac:dyDescent="0.25">
      <c r="A583" s="70">
        <v>3232062</v>
      </c>
      <c r="B583" t="s">
        <v>1175</v>
      </c>
      <c r="C583" t="s">
        <v>1111</v>
      </c>
      <c r="D583" t="s">
        <v>1073</v>
      </c>
      <c r="E583" t="s">
        <v>1145</v>
      </c>
      <c r="F583">
        <v>593.03</v>
      </c>
    </row>
    <row r="584" spans="1:6" hidden="1" x14ac:dyDescent="0.25">
      <c r="A584" s="70">
        <v>3232077</v>
      </c>
      <c r="B584" t="s">
        <v>1176</v>
      </c>
      <c r="C584" t="s">
        <v>1111</v>
      </c>
      <c r="D584" t="s">
        <v>1073</v>
      </c>
      <c r="E584" t="s">
        <v>1145</v>
      </c>
      <c r="F584">
        <v>583.63</v>
      </c>
    </row>
    <row r="585" spans="1:6" hidden="1" x14ac:dyDescent="0.25">
      <c r="A585" s="70">
        <v>3232085</v>
      </c>
      <c r="B585" t="s">
        <v>36</v>
      </c>
      <c r="C585" t="s">
        <v>1111</v>
      </c>
      <c r="D585" t="s">
        <v>1073</v>
      </c>
      <c r="E585" t="s">
        <v>1086</v>
      </c>
      <c r="F585">
        <v>619.44000000000005</v>
      </c>
    </row>
    <row r="586" spans="1:6" hidden="1" x14ac:dyDescent="0.25">
      <c r="A586" s="70">
        <v>3232093</v>
      </c>
      <c r="B586" t="s">
        <v>1177</v>
      </c>
      <c r="C586" t="s">
        <v>1111</v>
      </c>
      <c r="D586" t="s">
        <v>1073</v>
      </c>
      <c r="E586" t="s">
        <v>1145</v>
      </c>
      <c r="F586">
        <v>581.63</v>
      </c>
    </row>
    <row r="587" spans="1:6" hidden="1" x14ac:dyDescent="0.25">
      <c r="A587" s="70">
        <v>3232104</v>
      </c>
      <c r="B587" t="s">
        <v>62</v>
      </c>
      <c r="C587" t="s">
        <v>1111</v>
      </c>
      <c r="D587" t="s">
        <v>1073</v>
      </c>
      <c r="E587" t="s">
        <v>1145</v>
      </c>
      <c r="F587">
        <v>587.38</v>
      </c>
    </row>
    <row r="588" spans="1:6" hidden="1" x14ac:dyDescent="0.25">
      <c r="A588" s="70">
        <v>3232112</v>
      </c>
      <c r="B588" t="s">
        <v>1178</v>
      </c>
      <c r="C588" t="s">
        <v>1111</v>
      </c>
      <c r="D588" t="s">
        <v>1073</v>
      </c>
      <c r="E588" t="s">
        <v>1086</v>
      </c>
      <c r="F588">
        <v>614.41</v>
      </c>
    </row>
    <row r="589" spans="1:6" hidden="1" x14ac:dyDescent="0.25">
      <c r="A589" s="70">
        <v>3232127</v>
      </c>
      <c r="B589" t="s">
        <v>1151</v>
      </c>
      <c r="C589" t="s">
        <v>1111</v>
      </c>
      <c r="D589" t="s">
        <v>1073</v>
      </c>
      <c r="E589" t="s">
        <v>1086</v>
      </c>
      <c r="F589">
        <v>623.89</v>
      </c>
    </row>
    <row r="590" spans="1:6" hidden="1" x14ac:dyDescent="0.25">
      <c r="A590" s="70">
        <v>3232135</v>
      </c>
      <c r="B590" t="s">
        <v>326</v>
      </c>
      <c r="C590" t="s">
        <v>1111</v>
      </c>
      <c r="D590" t="s">
        <v>1073</v>
      </c>
      <c r="E590" t="s">
        <v>1145</v>
      </c>
      <c r="F590">
        <v>588.38</v>
      </c>
    </row>
    <row r="591" spans="1:6" hidden="1" x14ac:dyDescent="0.25">
      <c r="A591" s="70">
        <v>3232143</v>
      </c>
      <c r="B591" t="s">
        <v>1179</v>
      </c>
      <c r="C591" t="s">
        <v>1111</v>
      </c>
      <c r="D591" t="s">
        <v>1073</v>
      </c>
      <c r="E591" t="s">
        <v>1145</v>
      </c>
      <c r="F591">
        <v>586.77</v>
      </c>
    </row>
    <row r="592" spans="1:6" hidden="1" x14ac:dyDescent="0.25">
      <c r="A592" s="70">
        <v>3232151</v>
      </c>
      <c r="B592" t="s">
        <v>1180</v>
      </c>
      <c r="C592" t="s">
        <v>1111</v>
      </c>
      <c r="D592" t="s">
        <v>1073</v>
      </c>
      <c r="E592" t="s">
        <v>1145</v>
      </c>
      <c r="F592">
        <v>569.48</v>
      </c>
    </row>
    <row r="593" spans="1:6" hidden="1" x14ac:dyDescent="0.25">
      <c r="A593" s="70">
        <v>3232166</v>
      </c>
      <c r="B593" t="s">
        <v>1181</v>
      </c>
      <c r="C593" t="s">
        <v>1111</v>
      </c>
      <c r="D593" t="s">
        <v>1073</v>
      </c>
      <c r="E593" t="s">
        <v>1086</v>
      </c>
      <c r="F593">
        <v>612.03</v>
      </c>
    </row>
    <row r="594" spans="1:6" hidden="1" x14ac:dyDescent="0.25">
      <c r="A594" s="70">
        <v>3232201</v>
      </c>
      <c r="B594" t="s">
        <v>333</v>
      </c>
      <c r="C594" t="s">
        <v>1111</v>
      </c>
      <c r="D594" t="s">
        <v>1073</v>
      </c>
      <c r="E594" t="s">
        <v>1145</v>
      </c>
      <c r="F594">
        <v>572.74</v>
      </c>
    </row>
    <row r="595" spans="1:6" hidden="1" x14ac:dyDescent="0.25">
      <c r="A595" s="70">
        <v>3232216</v>
      </c>
      <c r="B595" t="s">
        <v>1182</v>
      </c>
      <c r="C595" t="s">
        <v>1111</v>
      </c>
      <c r="D595" t="s">
        <v>1073</v>
      </c>
      <c r="E595" t="s">
        <v>1145</v>
      </c>
      <c r="F595">
        <v>595.1</v>
      </c>
    </row>
    <row r="596" spans="1:6" hidden="1" x14ac:dyDescent="0.25">
      <c r="A596" s="70">
        <v>3232224</v>
      </c>
      <c r="B596" t="s">
        <v>75</v>
      </c>
      <c r="C596" t="s">
        <v>1111</v>
      </c>
      <c r="D596" t="s">
        <v>1073</v>
      </c>
      <c r="E596" t="s">
        <v>1145</v>
      </c>
      <c r="F596">
        <v>598.05999999999995</v>
      </c>
    </row>
    <row r="597" spans="1:6" hidden="1" x14ac:dyDescent="0.25">
      <c r="A597" s="70">
        <v>3232232</v>
      </c>
      <c r="B597" t="s">
        <v>1183</v>
      </c>
      <c r="C597" t="s">
        <v>1111</v>
      </c>
      <c r="D597" t="s">
        <v>1073</v>
      </c>
      <c r="E597" t="s">
        <v>1145</v>
      </c>
      <c r="F597">
        <v>571.07000000000005</v>
      </c>
    </row>
    <row r="598" spans="1:6" hidden="1" x14ac:dyDescent="0.25">
      <c r="A598" s="70">
        <v>3232247</v>
      </c>
      <c r="B598" t="s">
        <v>1173</v>
      </c>
      <c r="C598" t="s">
        <v>1111</v>
      </c>
      <c r="D598" t="s">
        <v>1073</v>
      </c>
      <c r="E598" t="s">
        <v>1086</v>
      </c>
      <c r="F598">
        <v>605.66</v>
      </c>
    </row>
    <row r="599" spans="1:6" hidden="1" x14ac:dyDescent="0.25">
      <c r="A599" s="70">
        <v>3232255</v>
      </c>
      <c r="B599" t="s">
        <v>1184</v>
      </c>
      <c r="C599" t="s">
        <v>1111</v>
      </c>
      <c r="D599" t="s">
        <v>1073</v>
      </c>
      <c r="E599" t="s">
        <v>1145</v>
      </c>
      <c r="F599">
        <v>596.87</v>
      </c>
    </row>
    <row r="600" spans="1:6" hidden="1" x14ac:dyDescent="0.25">
      <c r="A600" s="70">
        <v>3232263</v>
      </c>
      <c r="B600" t="s">
        <v>1185</v>
      </c>
      <c r="C600" t="s">
        <v>1111</v>
      </c>
      <c r="D600" t="s">
        <v>1073</v>
      </c>
      <c r="E600" t="s">
        <v>1145</v>
      </c>
      <c r="F600">
        <v>572.37</v>
      </c>
    </row>
    <row r="601" spans="1:6" hidden="1" x14ac:dyDescent="0.25">
      <c r="A601" s="70">
        <v>3232294</v>
      </c>
      <c r="B601" t="s">
        <v>1186</v>
      </c>
      <c r="C601" t="s">
        <v>1111</v>
      </c>
      <c r="D601" t="s">
        <v>1073</v>
      </c>
      <c r="E601" t="s">
        <v>1145</v>
      </c>
      <c r="F601">
        <v>595.52</v>
      </c>
    </row>
    <row r="602" spans="1:6" hidden="1" x14ac:dyDescent="0.25">
      <c r="A602" s="70">
        <v>3232305</v>
      </c>
      <c r="B602" t="s">
        <v>1150</v>
      </c>
      <c r="C602" t="s">
        <v>1111</v>
      </c>
      <c r="D602" t="s">
        <v>1073</v>
      </c>
      <c r="E602" t="s">
        <v>1086</v>
      </c>
      <c r="F602">
        <v>611.16999999999996</v>
      </c>
    </row>
    <row r="603" spans="1:6" hidden="1" x14ac:dyDescent="0.25">
      <c r="A603" s="70">
        <v>3232313</v>
      </c>
      <c r="B603" t="s">
        <v>1148</v>
      </c>
      <c r="C603" t="s">
        <v>1111</v>
      </c>
      <c r="D603" t="s">
        <v>1073</v>
      </c>
      <c r="E603" t="s">
        <v>1086</v>
      </c>
      <c r="F603">
        <v>628.33000000000004</v>
      </c>
    </row>
    <row r="604" spans="1:6" hidden="1" x14ac:dyDescent="0.25">
      <c r="A604" s="70">
        <v>3232321</v>
      </c>
      <c r="B604" t="s">
        <v>1187</v>
      </c>
      <c r="C604" t="s">
        <v>1111</v>
      </c>
      <c r="D604" t="s">
        <v>1073</v>
      </c>
      <c r="E604" t="s">
        <v>1145</v>
      </c>
      <c r="F604">
        <v>581.5</v>
      </c>
    </row>
    <row r="605" spans="1:6" hidden="1" x14ac:dyDescent="0.25">
      <c r="A605" s="70">
        <v>3232336</v>
      </c>
      <c r="B605" t="s">
        <v>1188</v>
      </c>
      <c r="C605" t="s">
        <v>1111</v>
      </c>
      <c r="D605" t="s">
        <v>1073</v>
      </c>
      <c r="E605" t="s">
        <v>1145</v>
      </c>
      <c r="F605">
        <v>583.27</v>
      </c>
    </row>
    <row r="606" spans="1:6" hidden="1" x14ac:dyDescent="0.25">
      <c r="A606" s="70">
        <v>3232344</v>
      </c>
      <c r="B606" t="s">
        <v>1189</v>
      </c>
      <c r="C606" t="s">
        <v>1111</v>
      </c>
      <c r="D606" t="s">
        <v>1073</v>
      </c>
      <c r="E606" t="s">
        <v>1145</v>
      </c>
      <c r="F606">
        <v>585.92999999999995</v>
      </c>
    </row>
    <row r="607" spans="1:6" hidden="1" x14ac:dyDescent="0.25">
      <c r="A607" s="70">
        <v>3232352</v>
      </c>
      <c r="B607" t="s">
        <v>1190</v>
      </c>
      <c r="C607" t="s">
        <v>1111</v>
      </c>
      <c r="D607" t="s">
        <v>1073</v>
      </c>
      <c r="E607" t="s">
        <v>1145</v>
      </c>
      <c r="F607">
        <v>587.4</v>
      </c>
    </row>
    <row r="608" spans="1:6" hidden="1" x14ac:dyDescent="0.25">
      <c r="A608" s="70">
        <v>3232367</v>
      </c>
      <c r="B608" t="s">
        <v>1191</v>
      </c>
      <c r="C608" t="s">
        <v>1111</v>
      </c>
      <c r="D608" t="s">
        <v>1073</v>
      </c>
      <c r="E608" t="s">
        <v>1145</v>
      </c>
      <c r="F608">
        <v>584.29</v>
      </c>
    </row>
    <row r="609" spans="1:6" hidden="1" x14ac:dyDescent="0.25">
      <c r="A609" s="70">
        <v>3232375</v>
      </c>
      <c r="B609" t="s">
        <v>325</v>
      </c>
      <c r="C609" t="s">
        <v>1111</v>
      </c>
      <c r="D609" t="s">
        <v>1073</v>
      </c>
      <c r="E609" t="s">
        <v>1145</v>
      </c>
      <c r="F609">
        <v>587.54</v>
      </c>
    </row>
    <row r="610" spans="1:6" hidden="1" x14ac:dyDescent="0.25">
      <c r="A610" s="70">
        <v>3232383</v>
      </c>
      <c r="B610" t="s">
        <v>1192</v>
      </c>
      <c r="C610" t="s">
        <v>1111</v>
      </c>
      <c r="D610" t="s">
        <v>1073</v>
      </c>
      <c r="E610" t="s">
        <v>1145</v>
      </c>
      <c r="F610">
        <v>584.4</v>
      </c>
    </row>
    <row r="611" spans="1:6" hidden="1" x14ac:dyDescent="0.25">
      <c r="A611" s="70">
        <v>3232417</v>
      </c>
      <c r="B611" t="s">
        <v>1149</v>
      </c>
      <c r="C611" t="s">
        <v>1111</v>
      </c>
      <c r="D611" t="s">
        <v>1073</v>
      </c>
      <c r="E611" t="s">
        <v>1086</v>
      </c>
      <c r="F611">
        <v>612.66999999999996</v>
      </c>
    </row>
    <row r="612" spans="1:6" hidden="1" x14ac:dyDescent="0.25">
      <c r="A612" s="70">
        <v>3242017</v>
      </c>
      <c r="B612" t="s">
        <v>1150</v>
      </c>
      <c r="C612" t="s">
        <v>1193</v>
      </c>
      <c r="D612" t="s">
        <v>1073</v>
      </c>
      <c r="E612" t="s">
        <v>1086</v>
      </c>
      <c r="F612">
        <v>605.41</v>
      </c>
    </row>
    <row r="613" spans="1:6" hidden="1" x14ac:dyDescent="0.25">
      <c r="A613" s="70">
        <v>3242025</v>
      </c>
      <c r="B613" t="s">
        <v>1148</v>
      </c>
      <c r="C613" t="s">
        <v>1193</v>
      </c>
      <c r="D613" t="s">
        <v>1073</v>
      </c>
      <c r="E613" t="s">
        <v>1086</v>
      </c>
      <c r="F613">
        <v>617.63</v>
      </c>
    </row>
    <row r="614" spans="1:6" hidden="1" x14ac:dyDescent="0.25">
      <c r="A614" s="70">
        <v>3242033</v>
      </c>
      <c r="B614" t="s">
        <v>1154</v>
      </c>
      <c r="C614" t="s">
        <v>1193</v>
      </c>
      <c r="D614" t="s">
        <v>1073</v>
      </c>
      <c r="E614" t="s">
        <v>1086</v>
      </c>
      <c r="F614">
        <v>608.46</v>
      </c>
    </row>
    <row r="615" spans="1:6" hidden="1" x14ac:dyDescent="0.25">
      <c r="A615" s="70">
        <v>3242041</v>
      </c>
      <c r="B615" t="s">
        <v>1149</v>
      </c>
      <c r="C615" t="s">
        <v>1193</v>
      </c>
      <c r="D615" t="s">
        <v>1073</v>
      </c>
      <c r="E615" t="s">
        <v>1086</v>
      </c>
      <c r="F615">
        <v>606.97</v>
      </c>
    </row>
    <row r="616" spans="1:6" hidden="1" x14ac:dyDescent="0.25">
      <c r="A616" s="70">
        <v>3242056</v>
      </c>
      <c r="B616" t="s">
        <v>1194</v>
      </c>
      <c r="C616" t="s">
        <v>1193</v>
      </c>
      <c r="D616" t="s">
        <v>1073</v>
      </c>
      <c r="E616" t="s">
        <v>1086</v>
      </c>
      <c r="F616">
        <v>604.29</v>
      </c>
    </row>
    <row r="617" spans="1:6" hidden="1" x14ac:dyDescent="0.25">
      <c r="A617" s="70">
        <v>3242064</v>
      </c>
      <c r="B617" t="s">
        <v>1155</v>
      </c>
      <c r="C617" t="s">
        <v>1193</v>
      </c>
      <c r="D617" t="s">
        <v>1073</v>
      </c>
      <c r="E617" t="s">
        <v>1086</v>
      </c>
      <c r="F617">
        <v>606.5</v>
      </c>
    </row>
    <row r="618" spans="1:6" hidden="1" x14ac:dyDescent="0.25">
      <c r="A618" s="70">
        <v>3242072</v>
      </c>
      <c r="B618" t="s">
        <v>1195</v>
      </c>
      <c r="C618" t="s">
        <v>1193</v>
      </c>
      <c r="D618" t="s">
        <v>1073</v>
      </c>
      <c r="E618" t="s">
        <v>1145</v>
      </c>
      <c r="F618">
        <v>596.76</v>
      </c>
    </row>
    <row r="619" spans="1:6" hidden="1" x14ac:dyDescent="0.25">
      <c r="A619" s="70">
        <v>3242087</v>
      </c>
      <c r="B619" t="s">
        <v>33</v>
      </c>
      <c r="C619" t="s">
        <v>1193</v>
      </c>
      <c r="D619" t="s">
        <v>1073</v>
      </c>
      <c r="E619" t="s">
        <v>1145</v>
      </c>
      <c r="F619">
        <v>586.89</v>
      </c>
    </row>
    <row r="620" spans="1:6" hidden="1" x14ac:dyDescent="0.25">
      <c r="A620" s="70">
        <v>3312035</v>
      </c>
      <c r="B620" t="s">
        <v>1148</v>
      </c>
      <c r="C620" t="s">
        <v>1196</v>
      </c>
      <c r="D620" t="s">
        <v>1073</v>
      </c>
      <c r="E620" t="s">
        <v>1145</v>
      </c>
      <c r="F620">
        <v>574.98</v>
      </c>
    </row>
    <row r="621" spans="1:6" hidden="1" x14ac:dyDescent="0.25">
      <c r="A621" s="70">
        <v>3312097</v>
      </c>
      <c r="B621" t="s">
        <v>1149</v>
      </c>
      <c r="C621" t="s">
        <v>1196</v>
      </c>
      <c r="D621" t="s">
        <v>1073</v>
      </c>
      <c r="E621" t="s">
        <v>1145</v>
      </c>
      <c r="F621">
        <v>566.07000000000005</v>
      </c>
    </row>
    <row r="622" spans="1:6" hidden="1" x14ac:dyDescent="0.25">
      <c r="A622" s="70">
        <v>3322014</v>
      </c>
      <c r="B622" t="s">
        <v>379</v>
      </c>
      <c r="C622" t="s">
        <v>1079</v>
      </c>
      <c r="D622" t="s">
        <v>1073</v>
      </c>
      <c r="E622" t="s">
        <v>1086</v>
      </c>
      <c r="F622">
        <v>648.64</v>
      </c>
    </row>
    <row r="623" spans="1:6" hidden="1" x14ac:dyDescent="0.25">
      <c r="A623" s="70">
        <v>3322022</v>
      </c>
      <c r="B623" t="s">
        <v>381</v>
      </c>
      <c r="C623" t="s">
        <v>1079</v>
      </c>
      <c r="D623" t="s">
        <v>1073</v>
      </c>
      <c r="E623" t="s">
        <v>1086</v>
      </c>
      <c r="F623">
        <v>683.51</v>
      </c>
    </row>
    <row r="624" spans="1:6" hidden="1" x14ac:dyDescent="0.25">
      <c r="A624" s="70">
        <v>3322037</v>
      </c>
      <c r="B624" t="s">
        <v>380</v>
      </c>
      <c r="C624" t="s">
        <v>1079</v>
      </c>
      <c r="D624" t="s">
        <v>1073</v>
      </c>
      <c r="E624" t="s">
        <v>1086</v>
      </c>
      <c r="F624">
        <v>612.28</v>
      </c>
    </row>
    <row r="625" spans="1:6" x14ac:dyDescent="0.25">
      <c r="A625" s="70">
        <v>3332016</v>
      </c>
      <c r="B625" t="s">
        <v>31</v>
      </c>
      <c r="C625" t="s">
        <v>1077</v>
      </c>
      <c r="D625" t="s">
        <v>1073</v>
      </c>
      <c r="E625" t="s">
        <v>1086</v>
      </c>
      <c r="F625">
        <v>643.46</v>
      </c>
    </row>
    <row r="626" spans="1:6" x14ac:dyDescent="0.25">
      <c r="A626" s="70">
        <v>3332024</v>
      </c>
      <c r="B626" t="s">
        <v>55</v>
      </c>
      <c r="C626" t="s">
        <v>1077</v>
      </c>
      <c r="D626" t="s">
        <v>1073</v>
      </c>
      <c r="E626" t="s">
        <v>1086</v>
      </c>
      <c r="F626">
        <v>662.04</v>
      </c>
    </row>
    <row r="627" spans="1:6" x14ac:dyDescent="0.25">
      <c r="A627" s="70">
        <v>3332032</v>
      </c>
      <c r="B627" t="s">
        <v>69</v>
      </c>
      <c r="C627" t="s">
        <v>1077</v>
      </c>
      <c r="D627" t="s">
        <v>1073</v>
      </c>
      <c r="E627" t="s">
        <v>1086</v>
      </c>
      <c r="F627">
        <v>643.29999999999995</v>
      </c>
    </row>
    <row r="628" spans="1:6" x14ac:dyDescent="0.25">
      <c r="A628" s="70">
        <v>3332047</v>
      </c>
      <c r="B628" t="s">
        <v>61</v>
      </c>
      <c r="C628" t="s">
        <v>1077</v>
      </c>
      <c r="D628" t="s">
        <v>1073</v>
      </c>
      <c r="E628" t="s">
        <v>1086</v>
      </c>
      <c r="F628">
        <v>644.26</v>
      </c>
    </row>
    <row r="629" spans="1:6" x14ac:dyDescent="0.25">
      <c r="A629" s="70">
        <v>3332055</v>
      </c>
      <c r="B629" t="s">
        <v>29</v>
      </c>
      <c r="C629" t="s">
        <v>1077</v>
      </c>
      <c r="D629" t="s">
        <v>1073</v>
      </c>
      <c r="E629" t="s">
        <v>1086</v>
      </c>
      <c r="F629">
        <v>631.15</v>
      </c>
    </row>
    <row r="630" spans="1:6" x14ac:dyDescent="0.25">
      <c r="A630" s="70">
        <v>3332063</v>
      </c>
      <c r="B630" t="s">
        <v>168</v>
      </c>
      <c r="C630" t="s">
        <v>1077</v>
      </c>
      <c r="D630" t="s">
        <v>1073</v>
      </c>
      <c r="E630" t="s">
        <v>1086</v>
      </c>
      <c r="F630">
        <v>666.77</v>
      </c>
    </row>
    <row r="631" spans="1:6" x14ac:dyDescent="0.25">
      <c r="A631" s="70">
        <v>3332071</v>
      </c>
      <c r="B631" t="s">
        <v>147</v>
      </c>
      <c r="C631" t="s">
        <v>1077</v>
      </c>
      <c r="D631" t="s">
        <v>1073</v>
      </c>
      <c r="E631" t="s">
        <v>1086</v>
      </c>
      <c r="F631">
        <v>624.04</v>
      </c>
    </row>
    <row r="632" spans="1:6" x14ac:dyDescent="0.25">
      <c r="A632" s="70">
        <v>3332086</v>
      </c>
      <c r="B632" t="s">
        <v>97</v>
      </c>
      <c r="C632" t="s">
        <v>1077</v>
      </c>
      <c r="D632" t="s">
        <v>1073</v>
      </c>
      <c r="E632" t="s">
        <v>1086</v>
      </c>
      <c r="F632">
        <v>625.96</v>
      </c>
    </row>
    <row r="633" spans="1:6" x14ac:dyDescent="0.25">
      <c r="A633" s="70">
        <v>3332094</v>
      </c>
      <c r="B633" t="s">
        <v>56</v>
      </c>
      <c r="C633" t="s">
        <v>1077</v>
      </c>
      <c r="D633" t="s">
        <v>1073</v>
      </c>
      <c r="E633" t="s">
        <v>1086</v>
      </c>
      <c r="F633">
        <v>619.25</v>
      </c>
    </row>
    <row r="634" spans="1:6" x14ac:dyDescent="0.25">
      <c r="A634" s="70">
        <v>3332105</v>
      </c>
      <c r="B634" t="s">
        <v>389</v>
      </c>
      <c r="C634" t="s">
        <v>1077</v>
      </c>
      <c r="D634" t="s">
        <v>1073</v>
      </c>
      <c r="E634" t="s">
        <v>1086</v>
      </c>
      <c r="F634">
        <v>641.20000000000005</v>
      </c>
    </row>
    <row r="635" spans="1:6" x14ac:dyDescent="0.25">
      <c r="A635" s="70">
        <v>3332113</v>
      </c>
      <c r="B635" t="s">
        <v>62</v>
      </c>
      <c r="C635" t="s">
        <v>1077</v>
      </c>
      <c r="D635" t="s">
        <v>1073</v>
      </c>
      <c r="E635" t="s">
        <v>1145</v>
      </c>
      <c r="F635">
        <v>600.48</v>
      </c>
    </row>
    <row r="636" spans="1:6" x14ac:dyDescent="0.25">
      <c r="A636" s="70">
        <v>3332136</v>
      </c>
      <c r="B636" t="s">
        <v>148</v>
      </c>
      <c r="C636" t="s">
        <v>1077</v>
      </c>
      <c r="D636" t="s">
        <v>1073</v>
      </c>
      <c r="E636" t="s">
        <v>1145</v>
      </c>
      <c r="F636">
        <v>594.79</v>
      </c>
    </row>
    <row r="637" spans="1:6" x14ac:dyDescent="0.25">
      <c r="A637" s="70">
        <v>3332144</v>
      </c>
      <c r="B637" t="s">
        <v>139</v>
      </c>
      <c r="C637" t="s">
        <v>1077</v>
      </c>
      <c r="D637" t="s">
        <v>1073</v>
      </c>
      <c r="E637" t="s">
        <v>1086</v>
      </c>
      <c r="F637">
        <v>631.12</v>
      </c>
    </row>
    <row r="638" spans="1:6" x14ac:dyDescent="0.25">
      <c r="A638" s="70">
        <v>3332152</v>
      </c>
      <c r="B638" t="s">
        <v>308</v>
      </c>
      <c r="C638" t="s">
        <v>1077</v>
      </c>
      <c r="D638" t="s">
        <v>1073</v>
      </c>
      <c r="E638" t="s">
        <v>1086</v>
      </c>
      <c r="F638">
        <v>612.45000000000005</v>
      </c>
    </row>
    <row r="639" spans="1:6" x14ac:dyDescent="0.25">
      <c r="A639" s="70">
        <v>3332167</v>
      </c>
      <c r="B639" t="s">
        <v>153</v>
      </c>
      <c r="C639" t="s">
        <v>1077</v>
      </c>
      <c r="D639" t="s">
        <v>1073</v>
      </c>
      <c r="E639" t="s">
        <v>1086</v>
      </c>
      <c r="F639">
        <v>626.29999999999995</v>
      </c>
    </row>
    <row r="640" spans="1:6" x14ac:dyDescent="0.25">
      <c r="A640" s="70">
        <v>3332175</v>
      </c>
      <c r="B640" t="s">
        <v>309</v>
      </c>
      <c r="C640" t="s">
        <v>1077</v>
      </c>
      <c r="D640" t="s">
        <v>1073</v>
      </c>
      <c r="E640" t="s">
        <v>1145</v>
      </c>
      <c r="F640">
        <v>591.82000000000005</v>
      </c>
    </row>
    <row r="641" spans="1:6" x14ac:dyDescent="0.25">
      <c r="A641" s="70">
        <v>3332183</v>
      </c>
      <c r="B641" t="s">
        <v>307</v>
      </c>
      <c r="C641" t="s">
        <v>1077</v>
      </c>
      <c r="D641" t="s">
        <v>1073</v>
      </c>
      <c r="E641" t="s">
        <v>1086</v>
      </c>
      <c r="F641">
        <v>607.21</v>
      </c>
    </row>
    <row r="642" spans="1:6" x14ac:dyDescent="0.25">
      <c r="A642" s="70">
        <v>3332191</v>
      </c>
      <c r="B642" t="s">
        <v>149</v>
      </c>
      <c r="C642" t="s">
        <v>1077</v>
      </c>
      <c r="D642" t="s">
        <v>1073</v>
      </c>
      <c r="E642" t="s">
        <v>1145</v>
      </c>
      <c r="F642">
        <v>593.28</v>
      </c>
    </row>
    <row r="643" spans="1:6" x14ac:dyDescent="0.25">
      <c r="A643" s="70">
        <v>3332202</v>
      </c>
      <c r="B643" t="s">
        <v>60</v>
      </c>
      <c r="C643" t="s">
        <v>1077</v>
      </c>
      <c r="D643" t="s">
        <v>1073</v>
      </c>
      <c r="E643" t="s">
        <v>1086</v>
      </c>
      <c r="F643">
        <v>640.29999999999995</v>
      </c>
    </row>
    <row r="644" spans="1:6" x14ac:dyDescent="0.25">
      <c r="A644" s="70">
        <v>3332217</v>
      </c>
      <c r="B644" t="s">
        <v>32</v>
      </c>
      <c r="C644" t="s">
        <v>1077</v>
      </c>
      <c r="D644" t="s">
        <v>1073</v>
      </c>
      <c r="E644" t="s">
        <v>1086</v>
      </c>
      <c r="F644">
        <v>607.15</v>
      </c>
    </row>
    <row r="645" spans="1:6" x14ac:dyDescent="0.25">
      <c r="A645" s="70">
        <v>3332225</v>
      </c>
      <c r="B645" t="s">
        <v>63</v>
      </c>
      <c r="C645" t="s">
        <v>1077</v>
      </c>
      <c r="D645" t="s">
        <v>1073</v>
      </c>
      <c r="E645" t="s">
        <v>1086</v>
      </c>
      <c r="F645">
        <v>620.16</v>
      </c>
    </row>
    <row r="646" spans="1:6" x14ac:dyDescent="0.25">
      <c r="A646" s="70">
        <v>3332233</v>
      </c>
      <c r="B646" t="s">
        <v>1171</v>
      </c>
      <c r="C646" t="s">
        <v>1077</v>
      </c>
      <c r="D646" t="s">
        <v>1073</v>
      </c>
      <c r="E646" t="s">
        <v>1086</v>
      </c>
      <c r="F646">
        <v>618.85</v>
      </c>
    </row>
    <row r="647" spans="1:6" x14ac:dyDescent="0.25">
      <c r="A647" s="70">
        <v>3332241</v>
      </c>
      <c r="B647" t="s">
        <v>388</v>
      </c>
      <c r="C647" t="s">
        <v>1077</v>
      </c>
      <c r="D647" t="s">
        <v>1073</v>
      </c>
      <c r="E647" t="s">
        <v>1086</v>
      </c>
      <c r="F647">
        <v>638.88</v>
      </c>
    </row>
    <row r="648" spans="1:6" x14ac:dyDescent="0.25">
      <c r="A648" s="70">
        <v>3332256</v>
      </c>
      <c r="B648" t="s">
        <v>57</v>
      </c>
      <c r="C648" t="s">
        <v>1077</v>
      </c>
      <c r="D648" t="s">
        <v>1073</v>
      </c>
      <c r="E648" t="s">
        <v>1086</v>
      </c>
      <c r="F648">
        <v>639</v>
      </c>
    </row>
    <row r="649" spans="1:6" x14ac:dyDescent="0.25">
      <c r="A649" s="70">
        <v>3332264</v>
      </c>
      <c r="B649" t="s">
        <v>390</v>
      </c>
      <c r="C649" t="s">
        <v>1077</v>
      </c>
      <c r="D649" t="s">
        <v>1073</v>
      </c>
      <c r="E649" t="s">
        <v>1086</v>
      </c>
      <c r="F649">
        <v>642.46</v>
      </c>
    </row>
    <row r="650" spans="1:6" x14ac:dyDescent="0.25">
      <c r="A650" s="70">
        <v>3332272</v>
      </c>
      <c r="B650" t="s">
        <v>247</v>
      </c>
      <c r="C650" t="s">
        <v>1077</v>
      </c>
      <c r="D650" t="s">
        <v>1073</v>
      </c>
      <c r="E650" t="s">
        <v>1086</v>
      </c>
      <c r="F650">
        <v>631.44000000000005</v>
      </c>
    </row>
    <row r="651" spans="1:6" x14ac:dyDescent="0.25">
      <c r="A651" s="70">
        <v>3332287</v>
      </c>
      <c r="B651" t="s">
        <v>1197</v>
      </c>
      <c r="C651" t="s">
        <v>1077</v>
      </c>
      <c r="D651" t="s">
        <v>1073</v>
      </c>
      <c r="E651" t="s">
        <v>1086</v>
      </c>
      <c r="F651">
        <v>619.85</v>
      </c>
    </row>
    <row r="652" spans="1:6" x14ac:dyDescent="0.25">
      <c r="A652" s="70">
        <v>3332322</v>
      </c>
      <c r="B652" t="s">
        <v>1198</v>
      </c>
      <c r="C652" t="s">
        <v>1077</v>
      </c>
      <c r="D652" t="s">
        <v>1073</v>
      </c>
      <c r="E652" t="s">
        <v>1086</v>
      </c>
      <c r="F652">
        <v>649.98</v>
      </c>
    </row>
    <row r="653" spans="1:6" x14ac:dyDescent="0.25">
      <c r="A653" s="70">
        <v>3332337</v>
      </c>
      <c r="B653" t="s">
        <v>1199</v>
      </c>
      <c r="C653" t="s">
        <v>1077</v>
      </c>
      <c r="D653" t="s">
        <v>1073</v>
      </c>
      <c r="E653" t="s">
        <v>1145</v>
      </c>
      <c r="F653">
        <v>590.66999999999996</v>
      </c>
    </row>
    <row r="654" spans="1:6" x14ac:dyDescent="0.25">
      <c r="A654" s="70">
        <v>3332345</v>
      </c>
      <c r="B654" t="s">
        <v>1200</v>
      </c>
      <c r="C654" t="s">
        <v>1077</v>
      </c>
      <c r="D654" t="s">
        <v>1073</v>
      </c>
      <c r="E654" t="s">
        <v>1145</v>
      </c>
      <c r="F654">
        <v>585.64</v>
      </c>
    </row>
    <row r="655" spans="1:6" hidden="1" x14ac:dyDescent="0.25">
      <c r="A655" s="70">
        <v>3342011</v>
      </c>
      <c r="B655" t="s">
        <v>183</v>
      </c>
      <c r="C655" t="s">
        <v>1124</v>
      </c>
      <c r="D655" t="s">
        <v>1073</v>
      </c>
      <c r="E655" t="s">
        <v>1145</v>
      </c>
      <c r="F655">
        <v>576.78</v>
      </c>
    </row>
    <row r="656" spans="1:6" hidden="1" x14ac:dyDescent="0.25">
      <c r="A656" s="70">
        <v>3342026</v>
      </c>
      <c r="B656" t="s">
        <v>1201</v>
      </c>
      <c r="C656" t="s">
        <v>1124</v>
      </c>
      <c r="D656" t="s">
        <v>1073</v>
      </c>
      <c r="E656" t="s">
        <v>1145</v>
      </c>
      <c r="F656">
        <v>581.04</v>
      </c>
    </row>
    <row r="657" spans="1:6" hidden="1" x14ac:dyDescent="0.25">
      <c r="A657" s="70">
        <v>3342034</v>
      </c>
      <c r="B657" t="s">
        <v>1202</v>
      </c>
      <c r="C657" t="s">
        <v>1124</v>
      </c>
      <c r="D657" t="s">
        <v>1073</v>
      </c>
      <c r="E657" t="s">
        <v>1145</v>
      </c>
      <c r="F657">
        <v>570.16999999999996</v>
      </c>
    </row>
    <row r="658" spans="1:6" hidden="1" x14ac:dyDescent="0.25">
      <c r="A658" s="70">
        <v>3342042</v>
      </c>
      <c r="B658" t="s">
        <v>1203</v>
      </c>
      <c r="C658" t="s">
        <v>1124</v>
      </c>
      <c r="D658" t="s">
        <v>1073</v>
      </c>
      <c r="E658" t="s">
        <v>1145</v>
      </c>
      <c r="F658">
        <v>579.54999999999995</v>
      </c>
    </row>
    <row r="659" spans="1:6" hidden="1" x14ac:dyDescent="0.25">
      <c r="A659" s="70">
        <v>3342057</v>
      </c>
      <c r="B659" t="s">
        <v>1204</v>
      </c>
      <c r="C659" t="s">
        <v>1124</v>
      </c>
      <c r="D659" t="s">
        <v>1073</v>
      </c>
      <c r="E659" t="s">
        <v>1145</v>
      </c>
      <c r="F659">
        <v>593.91999999999996</v>
      </c>
    </row>
    <row r="660" spans="1:6" hidden="1" x14ac:dyDescent="0.25">
      <c r="A660" s="70">
        <v>3342065</v>
      </c>
      <c r="B660" t="s">
        <v>36</v>
      </c>
      <c r="C660" t="s">
        <v>1124</v>
      </c>
      <c r="D660" t="s">
        <v>1073</v>
      </c>
      <c r="E660" t="s">
        <v>1086</v>
      </c>
      <c r="F660">
        <v>621.70000000000005</v>
      </c>
    </row>
    <row r="661" spans="1:6" hidden="1" x14ac:dyDescent="0.25">
      <c r="A661" s="70">
        <v>3342073</v>
      </c>
      <c r="B661" t="s">
        <v>1205</v>
      </c>
      <c r="C661" t="s">
        <v>1124</v>
      </c>
      <c r="D661" t="s">
        <v>1073</v>
      </c>
      <c r="E661" t="s">
        <v>1145</v>
      </c>
      <c r="F661">
        <v>573.08000000000004</v>
      </c>
    </row>
    <row r="662" spans="1:6" hidden="1" x14ac:dyDescent="0.25">
      <c r="A662" s="70">
        <v>3342081</v>
      </c>
      <c r="B662" t="s">
        <v>1206</v>
      </c>
      <c r="C662" t="s">
        <v>1124</v>
      </c>
      <c r="D662" t="s">
        <v>1073</v>
      </c>
      <c r="E662" t="s">
        <v>1145</v>
      </c>
      <c r="F662">
        <v>589.80999999999995</v>
      </c>
    </row>
    <row r="663" spans="1:6" hidden="1" x14ac:dyDescent="0.25">
      <c r="A663" s="70">
        <v>3342096</v>
      </c>
      <c r="B663" t="s">
        <v>1182</v>
      </c>
      <c r="C663" t="s">
        <v>1124</v>
      </c>
      <c r="D663" t="s">
        <v>1073</v>
      </c>
      <c r="E663" t="s">
        <v>1145</v>
      </c>
      <c r="F663">
        <v>574.32000000000005</v>
      </c>
    </row>
    <row r="664" spans="1:6" hidden="1" x14ac:dyDescent="0.25">
      <c r="A664" s="70">
        <v>3342107</v>
      </c>
      <c r="B664" t="s">
        <v>1207</v>
      </c>
      <c r="C664" t="s">
        <v>1124</v>
      </c>
      <c r="D664" t="s">
        <v>1073</v>
      </c>
      <c r="E664" t="s">
        <v>1145</v>
      </c>
      <c r="F664">
        <v>575.47</v>
      </c>
    </row>
    <row r="665" spans="1:6" hidden="1" x14ac:dyDescent="0.25">
      <c r="A665" s="70">
        <v>3342115</v>
      </c>
      <c r="B665" t="s">
        <v>1208</v>
      </c>
      <c r="C665" t="s">
        <v>1124</v>
      </c>
      <c r="D665" t="s">
        <v>1073</v>
      </c>
      <c r="E665" t="s">
        <v>1145</v>
      </c>
      <c r="F665">
        <v>597.96</v>
      </c>
    </row>
    <row r="666" spans="1:6" hidden="1" x14ac:dyDescent="0.25">
      <c r="A666" s="70">
        <v>3342123</v>
      </c>
      <c r="B666" t="s">
        <v>1209</v>
      </c>
      <c r="C666" t="s">
        <v>1124</v>
      </c>
      <c r="D666" t="s">
        <v>1073</v>
      </c>
      <c r="E666" t="s">
        <v>1145</v>
      </c>
      <c r="F666">
        <v>587.42999999999995</v>
      </c>
    </row>
    <row r="667" spans="1:6" hidden="1" x14ac:dyDescent="0.25">
      <c r="A667" s="70">
        <v>3342131</v>
      </c>
      <c r="B667" t="s">
        <v>1210</v>
      </c>
      <c r="C667" t="s">
        <v>1124</v>
      </c>
      <c r="D667" t="s">
        <v>1073</v>
      </c>
      <c r="E667" t="s">
        <v>1145</v>
      </c>
      <c r="F667">
        <v>580.55999999999995</v>
      </c>
    </row>
    <row r="668" spans="1:6" hidden="1" x14ac:dyDescent="0.25">
      <c r="A668" s="70">
        <v>3342146</v>
      </c>
      <c r="B668" t="s">
        <v>408</v>
      </c>
      <c r="C668" t="s">
        <v>1124</v>
      </c>
      <c r="D668" t="s">
        <v>1073</v>
      </c>
      <c r="E668" t="s">
        <v>1145</v>
      </c>
      <c r="F668">
        <v>580.49</v>
      </c>
    </row>
    <row r="669" spans="1:6" hidden="1" x14ac:dyDescent="0.25">
      <c r="A669" s="70">
        <v>3342162</v>
      </c>
      <c r="B669" t="s">
        <v>1178</v>
      </c>
      <c r="C669" t="s">
        <v>1124</v>
      </c>
      <c r="D669" t="s">
        <v>1073</v>
      </c>
      <c r="E669" t="s">
        <v>1086</v>
      </c>
      <c r="F669">
        <v>603.6</v>
      </c>
    </row>
    <row r="670" spans="1:6" hidden="1" x14ac:dyDescent="0.25">
      <c r="A670" s="70">
        <v>3342185</v>
      </c>
      <c r="B670" t="s">
        <v>198</v>
      </c>
      <c r="C670" t="s">
        <v>1124</v>
      </c>
      <c r="D670" t="s">
        <v>1073</v>
      </c>
      <c r="E670" t="s">
        <v>1145</v>
      </c>
      <c r="F670">
        <v>596.09</v>
      </c>
    </row>
    <row r="671" spans="1:6" hidden="1" x14ac:dyDescent="0.25">
      <c r="A671" s="70">
        <v>3342193</v>
      </c>
      <c r="B671" t="s">
        <v>1179</v>
      </c>
      <c r="C671" t="s">
        <v>1124</v>
      </c>
      <c r="D671" t="s">
        <v>1073</v>
      </c>
      <c r="E671" t="s">
        <v>1145</v>
      </c>
      <c r="F671">
        <v>584.72</v>
      </c>
    </row>
    <row r="672" spans="1:6" hidden="1" x14ac:dyDescent="0.25">
      <c r="A672" s="70">
        <v>3342204</v>
      </c>
      <c r="B672" t="s">
        <v>1211</v>
      </c>
      <c r="C672" t="s">
        <v>1124</v>
      </c>
      <c r="D672" t="s">
        <v>1073</v>
      </c>
      <c r="E672" t="s">
        <v>1145</v>
      </c>
      <c r="F672">
        <v>570.32000000000005</v>
      </c>
    </row>
    <row r="673" spans="1:6" hidden="1" x14ac:dyDescent="0.25">
      <c r="A673" s="70">
        <v>3342243</v>
      </c>
      <c r="B673" t="s">
        <v>1174</v>
      </c>
      <c r="C673" t="s">
        <v>1124</v>
      </c>
      <c r="D673" t="s">
        <v>1073</v>
      </c>
      <c r="E673" t="s">
        <v>1086</v>
      </c>
      <c r="F673">
        <v>609.36</v>
      </c>
    </row>
    <row r="674" spans="1:6" hidden="1" x14ac:dyDescent="0.25">
      <c r="A674" s="70">
        <v>3342251</v>
      </c>
      <c r="B674" t="s">
        <v>1212</v>
      </c>
      <c r="C674" t="s">
        <v>1124</v>
      </c>
      <c r="D674" t="s">
        <v>1073</v>
      </c>
      <c r="E674" t="s">
        <v>1145</v>
      </c>
      <c r="F674">
        <v>574.07000000000005</v>
      </c>
    </row>
    <row r="675" spans="1:6" hidden="1" x14ac:dyDescent="0.25">
      <c r="A675" s="70">
        <v>3342274</v>
      </c>
      <c r="B675" t="s">
        <v>1213</v>
      </c>
      <c r="C675" t="s">
        <v>1124</v>
      </c>
      <c r="D675" t="s">
        <v>1073</v>
      </c>
      <c r="E675" t="s">
        <v>1145</v>
      </c>
      <c r="F675">
        <v>570.98</v>
      </c>
    </row>
    <row r="676" spans="1:6" hidden="1" x14ac:dyDescent="0.25">
      <c r="A676" s="70">
        <v>3342282</v>
      </c>
      <c r="B676" t="s">
        <v>134</v>
      </c>
      <c r="C676" t="s">
        <v>1124</v>
      </c>
      <c r="D676" t="s">
        <v>1073</v>
      </c>
      <c r="E676" t="s">
        <v>1145</v>
      </c>
      <c r="F676">
        <v>574.82000000000005</v>
      </c>
    </row>
    <row r="677" spans="1:6" hidden="1" x14ac:dyDescent="0.25">
      <c r="A677" s="70">
        <v>3342316</v>
      </c>
      <c r="B677" t="s">
        <v>1214</v>
      </c>
      <c r="C677" t="s">
        <v>1124</v>
      </c>
      <c r="D677" t="s">
        <v>1073</v>
      </c>
      <c r="E677" t="s">
        <v>1145</v>
      </c>
      <c r="F677">
        <v>584.47</v>
      </c>
    </row>
    <row r="678" spans="1:6" hidden="1" x14ac:dyDescent="0.25">
      <c r="A678" s="70">
        <v>3342324</v>
      </c>
      <c r="B678" t="s">
        <v>1191</v>
      </c>
      <c r="C678" t="s">
        <v>1124</v>
      </c>
      <c r="D678" t="s">
        <v>1073</v>
      </c>
      <c r="E678" t="s">
        <v>1145</v>
      </c>
      <c r="F678">
        <v>581.53</v>
      </c>
    </row>
    <row r="679" spans="1:6" hidden="1" x14ac:dyDescent="0.25">
      <c r="A679" s="70">
        <v>3342332</v>
      </c>
      <c r="B679" t="s">
        <v>1215</v>
      </c>
      <c r="C679" t="s">
        <v>1124</v>
      </c>
      <c r="D679" t="s">
        <v>1073</v>
      </c>
      <c r="E679" t="s">
        <v>1145</v>
      </c>
      <c r="F679">
        <v>574.79999999999995</v>
      </c>
    </row>
    <row r="680" spans="1:6" hidden="1" x14ac:dyDescent="0.25">
      <c r="A680" s="70">
        <v>3342347</v>
      </c>
      <c r="B680" t="s">
        <v>1186</v>
      </c>
      <c r="C680" t="s">
        <v>1124</v>
      </c>
      <c r="D680" t="s">
        <v>1073</v>
      </c>
      <c r="E680" t="s">
        <v>1145</v>
      </c>
      <c r="F680">
        <v>584.99</v>
      </c>
    </row>
    <row r="681" spans="1:6" hidden="1" x14ac:dyDescent="0.25">
      <c r="A681" s="70">
        <v>3342355</v>
      </c>
      <c r="B681" t="s">
        <v>1150</v>
      </c>
      <c r="C681" t="s">
        <v>1124</v>
      </c>
      <c r="D681" t="s">
        <v>1073</v>
      </c>
      <c r="E681" t="s">
        <v>1086</v>
      </c>
      <c r="F681">
        <v>615.09</v>
      </c>
    </row>
    <row r="682" spans="1:6" hidden="1" x14ac:dyDescent="0.25">
      <c r="A682" s="70">
        <v>3342363</v>
      </c>
      <c r="B682" t="s">
        <v>1148</v>
      </c>
      <c r="C682" t="s">
        <v>1124</v>
      </c>
      <c r="D682" t="s">
        <v>1073</v>
      </c>
      <c r="E682" t="s">
        <v>1086</v>
      </c>
      <c r="F682">
        <v>622.29999999999995</v>
      </c>
    </row>
    <row r="683" spans="1:6" hidden="1" x14ac:dyDescent="0.25">
      <c r="A683" s="70">
        <v>3342371</v>
      </c>
      <c r="B683" t="s">
        <v>1216</v>
      </c>
      <c r="C683" t="s">
        <v>1124</v>
      </c>
      <c r="D683" t="s">
        <v>1073</v>
      </c>
      <c r="E683" t="s">
        <v>1145</v>
      </c>
      <c r="F683">
        <v>587.13</v>
      </c>
    </row>
    <row r="684" spans="1:6" hidden="1" x14ac:dyDescent="0.25">
      <c r="A684" s="70">
        <v>3342394</v>
      </c>
      <c r="B684" t="s">
        <v>334</v>
      </c>
      <c r="C684" t="s">
        <v>1124</v>
      </c>
      <c r="D684" t="s">
        <v>1073</v>
      </c>
      <c r="E684" t="s">
        <v>1145</v>
      </c>
      <c r="F684">
        <v>578.35</v>
      </c>
    </row>
    <row r="685" spans="1:6" hidden="1" x14ac:dyDescent="0.25">
      <c r="A685" s="70">
        <v>3342502</v>
      </c>
      <c r="B685" t="s">
        <v>1149</v>
      </c>
      <c r="C685" t="s">
        <v>1124</v>
      </c>
      <c r="D685" t="s">
        <v>1073</v>
      </c>
      <c r="E685" t="s">
        <v>1086</v>
      </c>
      <c r="F685">
        <v>614.82000000000005</v>
      </c>
    </row>
    <row r="686" spans="1:6" hidden="1" x14ac:dyDescent="0.25">
      <c r="A686" s="70">
        <v>3342525</v>
      </c>
      <c r="B686" t="s">
        <v>1217</v>
      </c>
      <c r="C686" t="s">
        <v>1124</v>
      </c>
      <c r="D686" t="s">
        <v>1073</v>
      </c>
      <c r="E686" t="s">
        <v>1145</v>
      </c>
      <c r="F686">
        <v>593.79999999999995</v>
      </c>
    </row>
    <row r="687" spans="1:6" hidden="1" x14ac:dyDescent="0.25">
      <c r="A687" s="70">
        <v>3342556</v>
      </c>
      <c r="B687" t="s">
        <v>406</v>
      </c>
      <c r="C687" t="s">
        <v>1124</v>
      </c>
      <c r="D687" t="s">
        <v>1073</v>
      </c>
      <c r="E687" t="s">
        <v>1086</v>
      </c>
      <c r="F687">
        <v>601.83000000000004</v>
      </c>
    </row>
    <row r="688" spans="1:6" hidden="1" x14ac:dyDescent="0.25">
      <c r="A688" s="70">
        <v>3342572</v>
      </c>
      <c r="B688" t="s">
        <v>1218</v>
      </c>
      <c r="C688" t="s">
        <v>1124</v>
      </c>
      <c r="D688" t="s">
        <v>1073</v>
      </c>
      <c r="E688" t="s">
        <v>1145</v>
      </c>
      <c r="F688">
        <v>596.19000000000005</v>
      </c>
    </row>
    <row r="689" spans="1:6" hidden="1" x14ac:dyDescent="0.25">
      <c r="A689" s="70">
        <v>3342587</v>
      </c>
      <c r="B689" t="s">
        <v>12</v>
      </c>
      <c r="C689" t="s">
        <v>1124</v>
      </c>
      <c r="D689" t="s">
        <v>1073</v>
      </c>
      <c r="E689" t="s">
        <v>1086</v>
      </c>
      <c r="F689">
        <v>616.09</v>
      </c>
    </row>
    <row r="690" spans="1:6" hidden="1" x14ac:dyDescent="0.25">
      <c r="A690" s="70">
        <v>3342614</v>
      </c>
      <c r="B690" t="s">
        <v>1219</v>
      </c>
      <c r="C690" t="s">
        <v>1124</v>
      </c>
      <c r="D690" t="s">
        <v>1073</v>
      </c>
      <c r="E690" t="s">
        <v>1145</v>
      </c>
      <c r="F690">
        <v>569.36</v>
      </c>
    </row>
    <row r="691" spans="1:6" hidden="1" x14ac:dyDescent="0.25">
      <c r="A691" s="70">
        <v>3362031</v>
      </c>
      <c r="B691" t="s">
        <v>1147</v>
      </c>
      <c r="C691" t="s">
        <v>1144</v>
      </c>
      <c r="D691" t="s">
        <v>1073</v>
      </c>
      <c r="E691" t="s">
        <v>1145</v>
      </c>
      <c r="F691">
        <v>575.24</v>
      </c>
    </row>
    <row r="692" spans="1:6" hidden="1" x14ac:dyDescent="0.25">
      <c r="A692" s="70">
        <v>3362046</v>
      </c>
      <c r="B692" t="s">
        <v>1150</v>
      </c>
      <c r="C692" t="s">
        <v>1144</v>
      </c>
      <c r="D692" t="s">
        <v>1073</v>
      </c>
      <c r="E692" t="s">
        <v>1145</v>
      </c>
      <c r="F692">
        <v>570.09</v>
      </c>
    </row>
    <row r="693" spans="1:6" hidden="1" x14ac:dyDescent="0.25">
      <c r="A693" s="70">
        <v>3362054</v>
      </c>
      <c r="B693" t="s">
        <v>1220</v>
      </c>
      <c r="C693" t="s">
        <v>1144</v>
      </c>
      <c r="D693" t="s">
        <v>1073</v>
      </c>
      <c r="E693" t="s">
        <v>1145</v>
      </c>
      <c r="F693">
        <v>564.48</v>
      </c>
    </row>
    <row r="694" spans="1:6" hidden="1" x14ac:dyDescent="0.25">
      <c r="A694" s="70">
        <v>3362062</v>
      </c>
      <c r="B694" t="s">
        <v>1221</v>
      </c>
      <c r="C694" t="s">
        <v>1144</v>
      </c>
      <c r="D694" t="s">
        <v>1073</v>
      </c>
      <c r="E694" t="s">
        <v>1145</v>
      </c>
      <c r="F694">
        <v>570.95000000000005</v>
      </c>
    </row>
    <row r="695" spans="1:6" hidden="1" x14ac:dyDescent="0.25">
      <c r="A695" s="70">
        <v>3362093</v>
      </c>
      <c r="B695" t="s">
        <v>1153</v>
      </c>
      <c r="C695" t="s">
        <v>1144</v>
      </c>
      <c r="D695" t="s">
        <v>1073</v>
      </c>
      <c r="E695" t="s">
        <v>1145</v>
      </c>
      <c r="F695">
        <v>575.55999999999995</v>
      </c>
    </row>
    <row r="696" spans="1:6" hidden="1" x14ac:dyDescent="0.25">
      <c r="A696" s="70">
        <v>3422077</v>
      </c>
      <c r="B696" t="s">
        <v>1150</v>
      </c>
      <c r="C696" t="s">
        <v>1222</v>
      </c>
      <c r="D696" t="s">
        <v>1073</v>
      </c>
      <c r="E696" t="s">
        <v>1145</v>
      </c>
      <c r="F696">
        <v>569.07000000000005</v>
      </c>
    </row>
    <row r="697" spans="1:6" hidden="1" x14ac:dyDescent="0.25">
      <c r="A697" s="70">
        <v>3422085</v>
      </c>
      <c r="B697" t="s">
        <v>1148</v>
      </c>
      <c r="C697" t="s">
        <v>1222</v>
      </c>
      <c r="D697" t="s">
        <v>1073</v>
      </c>
      <c r="E697" t="s">
        <v>1145</v>
      </c>
      <c r="F697">
        <v>585.79999999999995</v>
      </c>
    </row>
    <row r="698" spans="1:6" hidden="1" x14ac:dyDescent="0.25">
      <c r="A698" s="70">
        <v>3512014</v>
      </c>
      <c r="B698" t="s">
        <v>1147</v>
      </c>
      <c r="C698" t="s">
        <v>1088</v>
      </c>
      <c r="D698" t="s">
        <v>1073</v>
      </c>
      <c r="E698" t="s">
        <v>1086</v>
      </c>
      <c r="F698">
        <v>606.9</v>
      </c>
    </row>
    <row r="699" spans="1:6" hidden="1" x14ac:dyDescent="0.25">
      <c r="A699" s="70">
        <v>3512022</v>
      </c>
      <c r="B699" t="s">
        <v>1173</v>
      </c>
      <c r="C699" t="s">
        <v>1088</v>
      </c>
      <c r="D699" t="s">
        <v>1073</v>
      </c>
      <c r="E699" t="s">
        <v>1145</v>
      </c>
      <c r="F699">
        <v>596.73</v>
      </c>
    </row>
    <row r="700" spans="1:6" hidden="1" x14ac:dyDescent="0.25">
      <c r="A700" s="70">
        <v>3512037</v>
      </c>
      <c r="B700" t="s">
        <v>1166</v>
      </c>
      <c r="C700" t="s">
        <v>1088</v>
      </c>
      <c r="D700" t="s">
        <v>1073</v>
      </c>
      <c r="E700" t="s">
        <v>1086</v>
      </c>
      <c r="F700">
        <v>607.14</v>
      </c>
    </row>
    <row r="701" spans="1:6" hidden="1" x14ac:dyDescent="0.25">
      <c r="A701" s="70">
        <v>3512045</v>
      </c>
      <c r="B701" t="s">
        <v>1150</v>
      </c>
      <c r="C701" t="s">
        <v>1088</v>
      </c>
      <c r="D701" t="s">
        <v>1073</v>
      </c>
      <c r="E701" t="s">
        <v>1086</v>
      </c>
      <c r="F701">
        <v>618.16999999999996</v>
      </c>
    </row>
    <row r="702" spans="1:6" hidden="1" x14ac:dyDescent="0.25">
      <c r="A702" s="70">
        <v>3512053</v>
      </c>
      <c r="B702" t="s">
        <v>1155</v>
      </c>
      <c r="C702" t="s">
        <v>1088</v>
      </c>
      <c r="D702" t="s">
        <v>1073</v>
      </c>
      <c r="E702" t="s">
        <v>1086</v>
      </c>
      <c r="F702">
        <v>615.5</v>
      </c>
    </row>
    <row r="703" spans="1:6" hidden="1" x14ac:dyDescent="0.25">
      <c r="A703" s="70">
        <v>3512061</v>
      </c>
      <c r="B703" t="s">
        <v>55</v>
      </c>
      <c r="C703" t="s">
        <v>1088</v>
      </c>
      <c r="D703" t="s">
        <v>1073</v>
      </c>
      <c r="E703" t="s">
        <v>1086</v>
      </c>
      <c r="F703">
        <v>625.71</v>
      </c>
    </row>
    <row r="704" spans="1:6" hidden="1" x14ac:dyDescent="0.25">
      <c r="A704" s="70">
        <v>3512076</v>
      </c>
      <c r="B704" t="s">
        <v>1149</v>
      </c>
      <c r="C704" t="s">
        <v>1088</v>
      </c>
      <c r="D704" t="s">
        <v>1073</v>
      </c>
      <c r="E704" t="s">
        <v>1086</v>
      </c>
      <c r="F704">
        <v>614.49</v>
      </c>
    </row>
    <row r="705" spans="1:6" hidden="1" x14ac:dyDescent="0.25">
      <c r="A705" s="70">
        <v>3512084</v>
      </c>
      <c r="B705" t="s">
        <v>1171</v>
      </c>
      <c r="C705" t="s">
        <v>1088</v>
      </c>
      <c r="D705" t="s">
        <v>1073</v>
      </c>
      <c r="E705" t="s">
        <v>1086</v>
      </c>
      <c r="F705">
        <v>601.83000000000004</v>
      </c>
    </row>
    <row r="706" spans="1:6" hidden="1" x14ac:dyDescent="0.25">
      <c r="A706" s="70">
        <v>3512092</v>
      </c>
      <c r="B706" t="s">
        <v>1212</v>
      </c>
      <c r="C706" t="s">
        <v>1088</v>
      </c>
      <c r="D706" t="s">
        <v>1073</v>
      </c>
      <c r="E706" t="s">
        <v>1145</v>
      </c>
      <c r="F706">
        <v>583.92999999999995</v>
      </c>
    </row>
    <row r="707" spans="1:6" hidden="1" x14ac:dyDescent="0.25">
      <c r="A707" s="70">
        <v>3512103</v>
      </c>
      <c r="B707" t="s">
        <v>1174</v>
      </c>
      <c r="C707" t="s">
        <v>1088</v>
      </c>
      <c r="D707" t="s">
        <v>1073</v>
      </c>
      <c r="E707" t="s">
        <v>1145</v>
      </c>
      <c r="F707">
        <v>598.15</v>
      </c>
    </row>
    <row r="708" spans="1:6" hidden="1" x14ac:dyDescent="0.25">
      <c r="A708" s="70">
        <v>3512111</v>
      </c>
      <c r="B708" t="s">
        <v>1154</v>
      </c>
      <c r="C708" t="s">
        <v>1088</v>
      </c>
      <c r="D708" t="s">
        <v>1073</v>
      </c>
      <c r="E708" t="s">
        <v>1086</v>
      </c>
      <c r="F708">
        <v>618.01</v>
      </c>
    </row>
    <row r="709" spans="1:6" hidden="1" x14ac:dyDescent="0.25">
      <c r="A709" s="70">
        <v>3512126</v>
      </c>
      <c r="B709" t="s">
        <v>444</v>
      </c>
      <c r="C709" t="s">
        <v>1088</v>
      </c>
      <c r="D709" t="s">
        <v>1073</v>
      </c>
      <c r="E709" t="s">
        <v>1145</v>
      </c>
      <c r="F709">
        <v>591.86</v>
      </c>
    </row>
    <row r="710" spans="1:6" hidden="1" x14ac:dyDescent="0.25">
      <c r="A710" s="70">
        <v>3512134</v>
      </c>
      <c r="B710" t="s">
        <v>1186</v>
      </c>
      <c r="C710" t="s">
        <v>1088</v>
      </c>
      <c r="D710" t="s">
        <v>1073</v>
      </c>
      <c r="E710" t="s">
        <v>1145</v>
      </c>
      <c r="F710">
        <v>580.42999999999995</v>
      </c>
    </row>
    <row r="711" spans="1:6" hidden="1" x14ac:dyDescent="0.25">
      <c r="A711" s="70">
        <v>3512142</v>
      </c>
      <c r="B711" t="s">
        <v>1223</v>
      </c>
      <c r="C711" t="s">
        <v>1088</v>
      </c>
      <c r="D711" t="s">
        <v>1073</v>
      </c>
      <c r="E711" t="s">
        <v>1145</v>
      </c>
      <c r="F711">
        <v>582.32000000000005</v>
      </c>
    </row>
    <row r="712" spans="1:6" hidden="1" x14ac:dyDescent="0.25">
      <c r="A712" s="70">
        <v>3512157</v>
      </c>
      <c r="B712" t="s">
        <v>1178</v>
      </c>
      <c r="C712" t="s">
        <v>1088</v>
      </c>
      <c r="D712" t="s">
        <v>1073</v>
      </c>
      <c r="E712" t="s">
        <v>1145</v>
      </c>
      <c r="F712">
        <v>592.02</v>
      </c>
    </row>
    <row r="713" spans="1:6" hidden="1" x14ac:dyDescent="0.25">
      <c r="A713" s="70">
        <v>3522016</v>
      </c>
      <c r="B713" t="s">
        <v>1155</v>
      </c>
      <c r="C713" t="s">
        <v>1146</v>
      </c>
      <c r="D713" t="s">
        <v>1073</v>
      </c>
      <c r="E713" t="s">
        <v>1145</v>
      </c>
      <c r="F713">
        <v>588.65</v>
      </c>
    </row>
    <row r="714" spans="1:6" hidden="1" x14ac:dyDescent="0.25">
      <c r="A714" s="70">
        <v>3522024</v>
      </c>
      <c r="B714" t="s">
        <v>1156</v>
      </c>
      <c r="C714" t="s">
        <v>1146</v>
      </c>
      <c r="D714" t="s">
        <v>1073</v>
      </c>
      <c r="E714" t="s">
        <v>1145</v>
      </c>
      <c r="F714">
        <v>582.66999999999996</v>
      </c>
    </row>
    <row r="715" spans="1:6" hidden="1" x14ac:dyDescent="0.25">
      <c r="A715" s="70">
        <v>3522032</v>
      </c>
      <c r="B715" t="s">
        <v>1178</v>
      </c>
      <c r="C715" t="s">
        <v>1146</v>
      </c>
      <c r="D715" t="s">
        <v>1073</v>
      </c>
      <c r="E715" t="s">
        <v>1145</v>
      </c>
      <c r="F715">
        <v>579.75</v>
      </c>
    </row>
    <row r="716" spans="1:6" hidden="1" x14ac:dyDescent="0.25">
      <c r="A716" s="70">
        <v>3522047</v>
      </c>
      <c r="B716" t="s">
        <v>1223</v>
      </c>
      <c r="C716" t="s">
        <v>1146</v>
      </c>
      <c r="D716" t="s">
        <v>1073</v>
      </c>
      <c r="E716" t="s">
        <v>1145</v>
      </c>
      <c r="F716">
        <v>565.54</v>
      </c>
    </row>
    <row r="717" spans="1:6" hidden="1" x14ac:dyDescent="0.25">
      <c r="A717" s="70">
        <v>3522055</v>
      </c>
      <c r="B717" t="s">
        <v>1194</v>
      </c>
      <c r="C717" t="s">
        <v>1146</v>
      </c>
      <c r="D717" t="s">
        <v>1073</v>
      </c>
      <c r="E717" t="s">
        <v>1145</v>
      </c>
      <c r="F717">
        <v>571.04</v>
      </c>
    </row>
    <row r="718" spans="1:6" hidden="1" x14ac:dyDescent="0.25">
      <c r="A718" s="70">
        <v>3522063</v>
      </c>
      <c r="B718" t="s">
        <v>1150</v>
      </c>
      <c r="C718" t="s">
        <v>1146</v>
      </c>
      <c r="D718" t="s">
        <v>1073</v>
      </c>
      <c r="E718" t="s">
        <v>1145</v>
      </c>
      <c r="F718">
        <v>574.47</v>
      </c>
    </row>
    <row r="719" spans="1:6" hidden="1" x14ac:dyDescent="0.25">
      <c r="A719" s="70">
        <v>3522071</v>
      </c>
      <c r="B719" t="s">
        <v>1149</v>
      </c>
      <c r="C719" t="s">
        <v>1146</v>
      </c>
      <c r="D719" t="s">
        <v>1073</v>
      </c>
      <c r="E719" t="s">
        <v>1145</v>
      </c>
      <c r="F719">
        <v>579.35</v>
      </c>
    </row>
    <row r="720" spans="1:6" hidden="1" x14ac:dyDescent="0.25">
      <c r="A720" s="70">
        <v>3522086</v>
      </c>
      <c r="B720" t="s">
        <v>1148</v>
      </c>
      <c r="C720" t="s">
        <v>1146</v>
      </c>
      <c r="D720" t="s">
        <v>1073</v>
      </c>
      <c r="E720" t="s">
        <v>1145</v>
      </c>
      <c r="F720">
        <v>579.21</v>
      </c>
    </row>
    <row r="721" spans="1:6" hidden="1" x14ac:dyDescent="0.25">
      <c r="A721" s="70">
        <v>3532011</v>
      </c>
      <c r="B721" t="s">
        <v>1156</v>
      </c>
      <c r="C721" t="s">
        <v>1084</v>
      </c>
      <c r="D721" t="s">
        <v>1073</v>
      </c>
      <c r="E721" t="s">
        <v>1086</v>
      </c>
      <c r="F721">
        <v>623.28</v>
      </c>
    </row>
    <row r="722" spans="1:6" hidden="1" x14ac:dyDescent="0.25">
      <c r="A722" s="70">
        <v>3532026</v>
      </c>
      <c r="B722" t="s">
        <v>60</v>
      </c>
      <c r="C722" t="s">
        <v>1084</v>
      </c>
      <c r="D722" t="s">
        <v>1073</v>
      </c>
      <c r="E722" t="s">
        <v>1086</v>
      </c>
      <c r="F722">
        <v>638.62</v>
      </c>
    </row>
    <row r="723" spans="1:6" hidden="1" x14ac:dyDescent="0.25">
      <c r="A723" s="70">
        <v>3532034</v>
      </c>
      <c r="B723" t="s">
        <v>63</v>
      </c>
      <c r="C723" t="s">
        <v>1084</v>
      </c>
      <c r="D723" t="s">
        <v>1073</v>
      </c>
      <c r="E723" t="s">
        <v>1086</v>
      </c>
      <c r="F723">
        <v>607.9</v>
      </c>
    </row>
    <row r="724" spans="1:6" hidden="1" x14ac:dyDescent="0.25">
      <c r="A724" s="70">
        <v>3532042</v>
      </c>
      <c r="B724" t="s">
        <v>31</v>
      </c>
      <c r="C724" t="s">
        <v>1084</v>
      </c>
      <c r="D724" t="s">
        <v>1073</v>
      </c>
      <c r="E724" t="s">
        <v>1086</v>
      </c>
      <c r="F724">
        <v>621.44000000000005</v>
      </c>
    </row>
    <row r="725" spans="1:6" hidden="1" x14ac:dyDescent="0.25">
      <c r="A725" s="70">
        <v>3532057</v>
      </c>
      <c r="B725" t="s">
        <v>69</v>
      </c>
      <c r="C725" t="s">
        <v>1084</v>
      </c>
      <c r="D725" t="s">
        <v>1073</v>
      </c>
      <c r="E725" t="s">
        <v>1086</v>
      </c>
      <c r="F725">
        <v>629.28</v>
      </c>
    </row>
    <row r="726" spans="1:6" hidden="1" x14ac:dyDescent="0.25">
      <c r="A726" s="70">
        <v>3532065</v>
      </c>
      <c r="B726" t="s">
        <v>61</v>
      </c>
      <c r="C726" t="s">
        <v>1084</v>
      </c>
      <c r="D726" t="s">
        <v>1073</v>
      </c>
      <c r="E726" t="s">
        <v>1086</v>
      </c>
      <c r="F726">
        <v>638.26</v>
      </c>
    </row>
    <row r="727" spans="1:6" hidden="1" x14ac:dyDescent="0.25">
      <c r="A727" s="70">
        <v>3532073</v>
      </c>
      <c r="B727" t="s">
        <v>55</v>
      </c>
      <c r="C727" t="s">
        <v>1084</v>
      </c>
      <c r="D727" t="s">
        <v>1073</v>
      </c>
      <c r="E727" t="s">
        <v>1086</v>
      </c>
      <c r="F727">
        <v>641.09</v>
      </c>
    </row>
    <row r="728" spans="1:6" hidden="1" x14ac:dyDescent="0.25">
      <c r="A728" s="70">
        <v>3532081</v>
      </c>
      <c r="B728" t="s">
        <v>148</v>
      </c>
      <c r="C728" t="s">
        <v>1084</v>
      </c>
      <c r="D728" t="s">
        <v>1073</v>
      </c>
      <c r="E728" t="s">
        <v>1086</v>
      </c>
      <c r="F728">
        <v>602.02</v>
      </c>
    </row>
    <row r="729" spans="1:6" hidden="1" x14ac:dyDescent="0.25">
      <c r="A729" s="70">
        <v>3532096</v>
      </c>
      <c r="B729" t="s">
        <v>62</v>
      </c>
      <c r="C729" t="s">
        <v>1084</v>
      </c>
      <c r="D729" t="s">
        <v>1073</v>
      </c>
      <c r="E729" t="s">
        <v>1145</v>
      </c>
      <c r="F729">
        <v>595.64</v>
      </c>
    </row>
    <row r="730" spans="1:6" hidden="1" x14ac:dyDescent="0.25">
      <c r="A730" s="70">
        <v>3532107</v>
      </c>
      <c r="B730" t="s">
        <v>139</v>
      </c>
      <c r="C730" t="s">
        <v>1084</v>
      </c>
      <c r="D730" t="s">
        <v>1073</v>
      </c>
      <c r="E730" t="s">
        <v>1086</v>
      </c>
      <c r="F730">
        <v>623.39</v>
      </c>
    </row>
    <row r="731" spans="1:6" hidden="1" x14ac:dyDescent="0.25">
      <c r="A731" s="70">
        <v>3532115</v>
      </c>
      <c r="B731" t="s">
        <v>306</v>
      </c>
      <c r="C731" t="s">
        <v>1084</v>
      </c>
      <c r="D731" t="s">
        <v>1073</v>
      </c>
      <c r="E731" t="s">
        <v>1145</v>
      </c>
      <c r="F731">
        <v>573.48</v>
      </c>
    </row>
    <row r="732" spans="1:6" hidden="1" x14ac:dyDescent="0.25">
      <c r="A732" s="70">
        <v>3532146</v>
      </c>
      <c r="B732" t="s">
        <v>432</v>
      </c>
      <c r="C732" t="s">
        <v>1084</v>
      </c>
      <c r="D732" t="s">
        <v>1073</v>
      </c>
      <c r="E732" t="s">
        <v>1086</v>
      </c>
      <c r="F732">
        <v>603.53</v>
      </c>
    </row>
    <row r="733" spans="1:6" hidden="1" x14ac:dyDescent="0.25">
      <c r="A733" s="70">
        <v>3532154</v>
      </c>
      <c r="B733" t="s">
        <v>12</v>
      </c>
      <c r="C733" t="s">
        <v>1084</v>
      </c>
      <c r="D733" t="s">
        <v>1073</v>
      </c>
      <c r="E733" t="s">
        <v>1086</v>
      </c>
      <c r="F733">
        <v>625.62</v>
      </c>
    </row>
    <row r="734" spans="1:6" hidden="1" x14ac:dyDescent="0.25">
      <c r="A734" s="70">
        <v>3532162</v>
      </c>
      <c r="B734" t="s">
        <v>75</v>
      </c>
      <c r="C734" t="s">
        <v>1084</v>
      </c>
      <c r="D734" t="s">
        <v>1073</v>
      </c>
      <c r="E734" t="s">
        <v>1145</v>
      </c>
      <c r="F734">
        <v>592.85</v>
      </c>
    </row>
    <row r="735" spans="1:6" hidden="1" x14ac:dyDescent="0.25">
      <c r="A735" s="70">
        <v>3532177</v>
      </c>
      <c r="B735" t="s">
        <v>72</v>
      </c>
      <c r="C735" t="s">
        <v>1084</v>
      </c>
      <c r="D735" t="s">
        <v>1073</v>
      </c>
      <c r="E735" t="s">
        <v>1145</v>
      </c>
      <c r="F735">
        <v>589.29</v>
      </c>
    </row>
    <row r="736" spans="1:6" hidden="1" x14ac:dyDescent="0.25">
      <c r="A736" s="70">
        <v>3532185</v>
      </c>
      <c r="B736" t="s">
        <v>1224</v>
      </c>
      <c r="C736" t="s">
        <v>1084</v>
      </c>
      <c r="D736" t="s">
        <v>1073</v>
      </c>
      <c r="E736" t="s">
        <v>1145</v>
      </c>
      <c r="F736">
        <v>589.33000000000004</v>
      </c>
    </row>
    <row r="737" spans="1:6" hidden="1" x14ac:dyDescent="0.25">
      <c r="A737" s="70">
        <v>3532193</v>
      </c>
      <c r="B737" t="s">
        <v>473</v>
      </c>
      <c r="C737" t="s">
        <v>1084</v>
      </c>
      <c r="D737" t="s">
        <v>1073</v>
      </c>
      <c r="E737" t="s">
        <v>1145</v>
      </c>
      <c r="F737">
        <v>578.80999999999995</v>
      </c>
    </row>
    <row r="738" spans="1:6" hidden="1" x14ac:dyDescent="0.25">
      <c r="A738" s="70">
        <v>3532235</v>
      </c>
      <c r="B738" t="s">
        <v>1225</v>
      </c>
      <c r="C738" t="s">
        <v>1084</v>
      </c>
      <c r="D738" t="s">
        <v>1073</v>
      </c>
      <c r="E738" t="s">
        <v>1145</v>
      </c>
      <c r="F738">
        <v>592.25</v>
      </c>
    </row>
    <row r="739" spans="1:6" hidden="1" x14ac:dyDescent="0.25">
      <c r="A739" s="70">
        <v>3532243</v>
      </c>
      <c r="B739" t="s">
        <v>71</v>
      </c>
      <c r="C739" t="s">
        <v>1084</v>
      </c>
      <c r="D739" t="s">
        <v>1073</v>
      </c>
      <c r="E739" t="s">
        <v>1086</v>
      </c>
      <c r="F739">
        <v>611.74</v>
      </c>
    </row>
    <row r="740" spans="1:6" hidden="1" x14ac:dyDescent="0.25">
      <c r="A740" s="70">
        <v>3532266</v>
      </c>
      <c r="B740" t="s">
        <v>1226</v>
      </c>
      <c r="C740" t="s">
        <v>1084</v>
      </c>
      <c r="D740" t="s">
        <v>1073</v>
      </c>
      <c r="E740" t="s">
        <v>1086</v>
      </c>
      <c r="F740">
        <v>602.29999999999995</v>
      </c>
    </row>
    <row r="741" spans="1:6" hidden="1" x14ac:dyDescent="0.25">
      <c r="A741" s="70">
        <v>3532274</v>
      </c>
      <c r="B741" t="s">
        <v>471</v>
      </c>
      <c r="C741" t="s">
        <v>1084</v>
      </c>
      <c r="D741" t="s">
        <v>1073</v>
      </c>
      <c r="E741" t="s">
        <v>1145</v>
      </c>
      <c r="F741">
        <v>596.95000000000005</v>
      </c>
    </row>
    <row r="742" spans="1:6" hidden="1" x14ac:dyDescent="0.25">
      <c r="A742" s="70">
        <v>3532282</v>
      </c>
      <c r="B742" t="s">
        <v>187</v>
      </c>
      <c r="C742" t="s">
        <v>1084</v>
      </c>
      <c r="D742" t="s">
        <v>1073</v>
      </c>
      <c r="E742" t="s">
        <v>1145</v>
      </c>
      <c r="F742">
        <v>593.07000000000005</v>
      </c>
    </row>
    <row r="743" spans="1:6" hidden="1" x14ac:dyDescent="0.25">
      <c r="A743" s="70">
        <v>3532301</v>
      </c>
      <c r="B743" t="s">
        <v>149</v>
      </c>
      <c r="C743" t="s">
        <v>1084</v>
      </c>
      <c r="D743" t="s">
        <v>1073</v>
      </c>
      <c r="E743" t="s">
        <v>1145</v>
      </c>
      <c r="F743">
        <v>581.99</v>
      </c>
    </row>
    <row r="744" spans="1:6" hidden="1" x14ac:dyDescent="0.25">
      <c r="A744" s="70">
        <v>3532316</v>
      </c>
      <c r="B744" t="s">
        <v>472</v>
      </c>
      <c r="C744" t="s">
        <v>1084</v>
      </c>
      <c r="D744" t="s">
        <v>1073</v>
      </c>
      <c r="E744" t="s">
        <v>1145</v>
      </c>
      <c r="F744">
        <v>570.01</v>
      </c>
    </row>
    <row r="745" spans="1:6" hidden="1" x14ac:dyDescent="0.25">
      <c r="A745" s="70">
        <v>3532324</v>
      </c>
      <c r="B745" t="s">
        <v>470</v>
      </c>
      <c r="C745" t="s">
        <v>1084</v>
      </c>
      <c r="D745" t="s">
        <v>1073</v>
      </c>
      <c r="E745" t="s">
        <v>1145</v>
      </c>
      <c r="F745">
        <v>573.94000000000005</v>
      </c>
    </row>
    <row r="746" spans="1:6" hidden="1" x14ac:dyDescent="0.25">
      <c r="A746" s="70">
        <v>3532332</v>
      </c>
      <c r="B746" t="s">
        <v>223</v>
      </c>
      <c r="C746" t="s">
        <v>1084</v>
      </c>
      <c r="D746" t="s">
        <v>1073</v>
      </c>
      <c r="E746" t="s">
        <v>1086</v>
      </c>
      <c r="F746">
        <v>634.88</v>
      </c>
    </row>
    <row r="747" spans="1:6" hidden="1" x14ac:dyDescent="0.25">
      <c r="A747" s="70">
        <v>3532347</v>
      </c>
      <c r="B747" t="s">
        <v>122</v>
      </c>
      <c r="C747" t="s">
        <v>1084</v>
      </c>
      <c r="D747" t="s">
        <v>1073</v>
      </c>
      <c r="E747" t="s">
        <v>1145</v>
      </c>
      <c r="F747">
        <v>598.55999999999995</v>
      </c>
    </row>
    <row r="748" spans="1:6" hidden="1" x14ac:dyDescent="0.25">
      <c r="A748" s="70">
        <v>3532355</v>
      </c>
      <c r="B748" t="s">
        <v>121</v>
      </c>
      <c r="C748" t="s">
        <v>1084</v>
      </c>
      <c r="D748" t="s">
        <v>1073</v>
      </c>
      <c r="E748" t="s">
        <v>1145</v>
      </c>
      <c r="F748">
        <v>591.14</v>
      </c>
    </row>
    <row r="749" spans="1:6" hidden="1" x14ac:dyDescent="0.25">
      <c r="A749" s="70">
        <v>3532363</v>
      </c>
      <c r="B749" t="s">
        <v>100</v>
      </c>
      <c r="C749" t="s">
        <v>1084</v>
      </c>
      <c r="D749" t="s">
        <v>1073</v>
      </c>
      <c r="E749" t="s">
        <v>1086</v>
      </c>
      <c r="F749">
        <v>602.36</v>
      </c>
    </row>
    <row r="750" spans="1:6" hidden="1" x14ac:dyDescent="0.25">
      <c r="A750" s="70">
        <v>3542075</v>
      </c>
      <c r="B750" t="s">
        <v>1227</v>
      </c>
      <c r="C750" t="s">
        <v>864</v>
      </c>
      <c r="D750" t="s">
        <v>1073</v>
      </c>
      <c r="E750" t="s">
        <v>1145</v>
      </c>
      <c r="F750">
        <v>595.20000000000005</v>
      </c>
    </row>
    <row r="751" spans="1:6" hidden="1" x14ac:dyDescent="0.25">
      <c r="A751" s="70">
        <v>3542083</v>
      </c>
      <c r="B751" t="s">
        <v>1197</v>
      </c>
      <c r="C751" t="s">
        <v>864</v>
      </c>
      <c r="D751" t="s">
        <v>1073</v>
      </c>
      <c r="E751" t="s">
        <v>1145</v>
      </c>
      <c r="F751">
        <v>576.66</v>
      </c>
    </row>
    <row r="752" spans="1:6" hidden="1" x14ac:dyDescent="0.25">
      <c r="A752" s="70">
        <v>3552015</v>
      </c>
      <c r="B752" t="s">
        <v>62</v>
      </c>
      <c r="C752" t="s">
        <v>1082</v>
      </c>
      <c r="D752" t="s">
        <v>1073</v>
      </c>
      <c r="E752" t="s">
        <v>1145</v>
      </c>
      <c r="F752">
        <v>588.19000000000005</v>
      </c>
    </row>
    <row r="753" spans="1:6" hidden="1" x14ac:dyDescent="0.25">
      <c r="A753" s="70">
        <v>3552023</v>
      </c>
      <c r="B753" t="s">
        <v>139</v>
      </c>
      <c r="C753" t="s">
        <v>1082</v>
      </c>
      <c r="D753" t="s">
        <v>1073</v>
      </c>
      <c r="E753" t="s">
        <v>1086</v>
      </c>
      <c r="F753">
        <v>614.08000000000004</v>
      </c>
    </row>
    <row r="754" spans="1:6" hidden="1" x14ac:dyDescent="0.25">
      <c r="A754" s="70">
        <v>3552031</v>
      </c>
      <c r="B754" t="s">
        <v>441</v>
      </c>
      <c r="C754" t="s">
        <v>1082</v>
      </c>
      <c r="D754" t="s">
        <v>1073</v>
      </c>
      <c r="E754" t="s">
        <v>1086</v>
      </c>
      <c r="F754">
        <v>602.08000000000004</v>
      </c>
    </row>
    <row r="755" spans="1:6" hidden="1" x14ac:dyDescent="0.25">
      <c r="A755" s="70">
        <v>3552046</v>
      </c>
      <c r="B755" t="s">
        <v>32</v>
      </c>
      <c r="C755" t="s">
        <v>1082</v>
      </c>
      <c r="D755" t="s">
        <v>1073</v>
      </c>
      <c r="E755" t="s">
        <v>1145</v>
      </c>
      <c r="F755">
        <v>599.34</v>
      </c>
    </row>
    <row r="756" spans="1:6" hidden="1" x14ac:dyDescent="0.25">
      <c r="A756" s="70">
        <v>3552054</v>
      </c>
      <c r="B756" t="s">
        <v>112</v>
      </c>
      <c r="C756" t="s">
        <v>1082</v>
      </c>
      <c r="D756" t="s">
        <v>1073</v>
      </c>
      <c r="E756" t="s">
        <v>1086</v>
      </c>
      <c r="F756">
        <v>632.84</v>
      </c>
    </row>
    <row r="757" spans="1:6" hidden="1" x14ac:dyDescent="0.25">
      <c r="A757" s="70">
        <v>3552062</v>
      </c>
      <c r="B757" t="s">
        <v>61</v>
      </c>
      <c r="C757" t="s">
        <v>1082</v>
      </c>
      <c r="D757" t="s">
        <v>1073</v>
      </c>
      <c r="E757" t="s">
        <v>1086</v>
      </c>
      <c r="F757">
        <v>641.26</v>
      </c>
    </row>
    <row r="758" spans="1:6" hidden="1" x14ac:dyDescent="0.25">
      <c r="A758" s="70">
        <v>3552077</v>
      </c>
      <c r="B758" t="s">
        <v>69</v>
      </c>
      <c r="C758" t="s">
        <v>1082</v>
      </c>
      <c r="D758" t="s">
        <v>1073</v>
      </c>
      <c r="E758" t="s">
        <v>1086</v>
      </c>
      <c r="F758">
        <v>637.41</v>
      </c>
    </row>
    <row r="759" spans="1:6" hidden="1" x14ac:dyDescent="0.25">
      <c r="A759" s="70">
        <v>3552085</v>
      </c>
      <c r="B759" t="s">
        <v>55</v>
      </c>
      <c r="C759" t="s">
        <v>1082</v>
      </c>
      <c r="D759" t="s">
        <v>1073</v>
      </c>
      <c r="E759" t="s">
        <v>1086</v>
      </c>
      <c r="F759">
        <v>651.99</v>
      </c>
    </row>
    <row r="760" spans="1:6" hidden="1" x14ac:dyDescent="0.25">
      <c r="A760" s="70">
        <v>3552093</v>
      </c>
      <c r="B760" t="s">
        <v>385</v>
      </c>
      <c r="C760" t="s">
        <v>1082</v>
      </c>
      <c r="D760" t="s">
        <v>1073</v>
      </c>
      <c r="E760" t="s">
        <v>1086</v>
      </c>
      <c r="F760">
        <v>624.11</v>
      </c>
    </row>
    <row r="761" spans="1:6" hidden="1" x14ac:dyDescent="0.25">
      <c r="A761" s="70">
        <v>3552104</v>
      </c>
      <c r="B761" t="s">
        <v>439</v>
      </c>
      <c r="C761" t="s">
        <v>1082</v>
      </c>
      <c r="D761" t="s">
        <v>1073</v>
      </c>
      <c r="E761" t="s">
        <v>1086</v>
      </c>
      <c r="F761">
        <v>632.16</v>
      </c>
    </row>
    <row r="762" spans="1:6" hidden="1" x14ac:dyDescent="0.25">
      <c r="A762" s="70">
        <v>3552112</v>
      </c>
      <c r="B762" t="s">
        <v>97</v>
      </c>
      <c r="C762" t="s">
        <v>1082</v>
      </c>
      <c r="D762" t="s">
        <v>1073</v>
      </c>
      <c r="E762" t="s">
        <v>1086</v>
      </c>
      <c r="F762">
        <v>612.57000000000005</v>
      </c>
    </row>
    <row r="763" spans="1:6" hidden="1" x14ac:dyDescent="0.25">
      <c r="A763" s="70">
        <v>3552127</v>
      </c>
      <c r="B763" t="s">
        <v>60</v>
      </c>
      <c r="C763" t="s">
        <v>1082</v>
      </c>
      <c r="D763" t="s">
        <v>1073</v>
      </c>
      <c r="E763" t="s">
        <v>1086</v>
      </c>
      <c r="F763">
        <v>630.85</v>
      </c>
    </row>
    <row r="764" spans="1:6" hidden="1" x14ac:dyDescent="0.25">
      <c r="A764" s="70">
        <v>3552135</v>
      </c>
      <c r="B764" t="s">
        <v>1153</v>
      </c>
      <c r="C764" t="s">
        <v>1082</v>
      </c>
      <c r="D764" t="s">
        <v>1073</v>
      </c>
      <c r="E764" t="s">
        <v>1086</v>
      </c>
      <c r="F764">
        <v>641.29</v>
      </c>
    </row>
    <row r="765" spans="1:6" hidden="1" x14ac:dyDescent="0.25">
      <c r="A765" s="70">
        <v>3552143</v>
      </c>
      <c r="B765" t="s">
        <v>440</v>
      </c>
      <c r="C765" t="s">
        <v>1082</v>
      </c>
      <c r="D765" t="s">
        <v>1073</v>
      </c>
      <c r="E765" t="s">
        <v>1145</v>
      </c>
      <c r="F765">
        <v>596.95000000000005</v>
      </c>
    </row>
    <row r="766" spans="1:6" hidden="1" x14ac:dyDescent="0.25">
      <c r="A766" s="70">
        <v>3552151</v>
      </c>
      <c r="B766" t="s">
        <v>223</v>
      </c>
      <c r="C766" t="s">
        <v>1082</v>
      </c>
      <c r="D766" t="s">
        <v>1073</v>
      </c>
      <c r="E766" t="s">
        <v>1086</v>
      </c>
      <c r="F766">
        <v>649.76</v>
      </c>
    </row>
    <row r="767" spans="1:6" hidden="1" x14ac:dyDescent="0.25">
      <c r="A767" s="70">
        <v>3552166</v>
      </c>
      <c r="B767" t="s">
        <v>144</v>
      </c>
      <c r="C767" t="s">
        <v>1082</v>
      </c>
      <c r="D767" t="s">
        <v>1073</v>
      </c>
      <c r="E767" t="s">
        <v>1086</v>
      </c>
      <c r="F767">
        <v>603.25</v>
      </c>
    </row>
    <row r="768" spans="1:6" hidden="1" x14ac:dyDescent="0.25">
      <c r="A768" s="70">
        <v>3552174</v>
      </c>
      <c r="B768" t="s">
        <v>28</v>
      </c>
      <c r="C768" t="s">
        <v>1082</v>
      </c>
      <c r="D768" t="s">
        <v>1073</v>
      </c>
      <c r="E768" t="s">
        <v>1086</v>
      </c>
      <c r="F768">
        <v>615.4</v>
      </c>
    </row>
    <row r="769" spans="1:6" hidden="1" x14ac:dyDescent="0.25">
      <c r="A769" s="70">
        <v>3562017</v>
      </c>
      <c r="B769" t="s">
        <v>187</v>
      </c>
      <c r="C769" t="s">
        <v>1128</v>
      </c>
      <c r="D769" t="s">
        <v>1073</v>
      </c>
      <c r="E769" t="s">
        <v>1145</v>
      </c>
      <c r="F769">
        <v>580.11</v>
      </c>
    </row>
    <row r="770" spans="1:6" hidden="1" x14ac:dyDescent="0.25">
      <c r="A770" s="70">
        <v>3562025</v>
      </c>
      <c r="B770" t="s">
        <v>1204</v>
      </c>
      <c r="C770" t="s">
        <v>1128</v>
      </c>
      <c r="D770" t="s">
        <v>1073</v>
      </c>
      <c r="E770" t="s">
        <v>1145</v>
      </c>
      <c r="F770">
        <v>580.66999999999996</v>
      </c>
    </row>
    <row r="771" spans="1:6" hidden="1" x14ac:dyDescent="0.25">
      <c r="A771" s="70">
        <v>3562041</v>
      </c>
      <c r="B771" t="s">
        <v>333</v>
      </c>
      <c r="C771" t="s">
        <v>1128</v>
      </c>
      <c r="D771" t="s">
        <v>1073</v>
      </c>
      <c r="E771" t="s">
        <v>1145</v>
      </c>
      <c r="F771">
        <v>574.86</v>
      </c>
    </row>
    <row r="772" spans="1:6" hidden="1" x14ac:dyDescent="0.25">
      <c r="A772" s="70">
        <v>3562056</v>
      </c>
      <c r="B772" t="s">
        <v>1182</v>
      </c>
      <c r="C772" t="s">
        <v>1128</v>
      </c>
      <c r="D772" t="s">
        <v>1073</v>
      </c>
      <c r="E772" t="s">
        <v>1145</v>
      </c>
      <c r="F772">
        <v>579.09</v>
      </c>
    </row>
    <row r="773" spans="1:6" hidden="1" x14ac:dyDescent="0.25">
      <c r="A773" s="70">
        <v>3562064</v>
      </c>
      <c r="B773" t="s">
        <v>75</v>
      </c>
      <c r="C773" t="s">
        <v>1128</v>
      </c>
      <c r="D773" t="s">
        <v>1073</v>
      </c>
      <c r="E773" t="s">
        <v>1145</v>
      </c>
      <c r="F773">
        <v>589.41</v>
      </c>
    </row>
    <row r="774" spans="1:6" hidden="1" x14ac:dyDescent="0.25">
      <c r="A774" s="70">
        <v>3562095</v>
      </c>
      <c r="B774" t="s">
        <v>133</v>
      </c>
      <c r="C774" t="s">
        <v>1128</v>
      </c>
      <c r="D774" t="s">
        <v>1073</v>
      </c>
      <c r="E774" t="s">
        <v>1145</v>
      </c>
      <c r="F774">
        <v>575.04</v>
      </c>
    </row>
    <row r="775" spans="1:6" hidden="1" x14ac:dyDescent="0.25">
      <c r="A775" s="70">
        <v>3562106</v>
      </c>
      <c r="B775" t="s">
        <v>134</v>
      </c>
      <c r="C775" t="s">
        <v>1128</v>
      </c>
      <c r="D775" t="s">
        <v>1073</v>
      </c>
      <c r="E775" t="s">
        <v>1145</v>
      </c>
      <c r="F775">
        <v>567.26</v>
      </c>
    </row>
    <row r="776" spans="1:6" hidden="1" x14ac:dyDescent="0.25">
      <c r="A776" s="70">
        <v>3562114</v>
      </c>
      <c r="B776" t="s">
        <v>454</v>
      </c>
      <c r="C776" t="s">
        <v>1128</v>
      </c>
      <c r="D776" t="s">
        <v>1073</v>
      </c>
      <c r="E776" t="s">
        <v>1145</v>
      </c>
      <c r="F776">
        <v>590.34</v>
      </c>
    </row>
    <row r="777" spans="1:6" hidden="1" x14ac:dyDescent="0.25">
      <c r="A777" s="70">
        <v>3562122</v>
      </c>
      <c r="B777" t="s">
        <v>69</v>
      </c>
      <c r="C777" t="s">
        <v>1128</v>
      </c>
      <c r="D777" t="s">
        <v>1073</v>
      </c>
      <c r="E777" t="s">
        <v>1086</v>
      </c>
      <c r="F777">
        <v>601.59</v>
      </c>
    </row>
    <row r="778" spans="1:6" hidden="1" x14ac:dyDescent="0.25">
      <c r="A778" s="70">
        <v>3562137</v>
      </c>
      <c r="B778" t="s">
        <v>61</v>
      </c>
      <c r="C778" t="s">
        <v>1128</v>
      </c>
      <c r="D778" t="s">
        <v>1073</v>
      </c>
      <c r="E778" t="s">
        <v>1086</v>
      </c>
      <c r="F778">
        <v>602.32000000000005</v>
      </c>
    </row>
    <row r="779" spans="1:6" hidden="1" x14ac:dyDescent="0.25">
      <c r="A779" s="70">
        <v>3562145</v>
      </c>
      <c r="B779" t="s">
        <v>36</v>
      </c>
      <c r="C779" t="s">
        <v>1128</v>
      </c>
      <c r="D779" t="s">
        <v>1073</v>
      </c>
      <c r="E779" t="s">
        <v>1086</v>
      </c>
      <c r="F779">
        <v>608.91999999999996</v>
      </c>
    </row>
    <row r="780" spans="1:6" hidden="1" x14ac:dyDescent="0.25">
      <c r="A780" s="70">
        <v>3562153</v>
      </c>
      <c r="B780" t="s">
        <v>290</v>
      </c>
      <c r="C780" t="s">
        <v>1128</v>
      </c>
      <c r="D780" t="s">
        <v>1073</v>
      </c>
      <c r="E780" t="s">
        <v>1145</v>
      </c>
      <c r="F780">
        <v>595.27</v>
      </c>
    </row>
    <row r="781" spans="1:6" hidden="1" x14ac:dyDescent="0.25">
      <c r="A781" s="70">
        <v>3562161</v>
      </c>
      <c r="B781" t="s">
        <v>31</v>
      </c>
      <c r="C781" t="s">
        <v>1128</v>
      </c>
      <c r="D781" t="s">
        <v>1073</v>
      </c>
      <c r="E781" t="s">
        <v>1086</v>
      </c>
      <c r="F781">
        <v>603.22</v>
      </c>
    </row>
    <row r="782" spans="1:6" hidden="1" x14ac:dyDescent="0.25">
      <c r="A782" s="70">
        <v>3562176</v>
      </c>
      <c r="B782" t="s">
        <v>55</v>
      </c>
      <c r="C782" t="s">
        <v>1128</v>
      </c>
      <c r="D782" t="s">
        <v>1073</v>
      </c>
      <c r="E782" t="s">
        <v>1086</v>
      </c>
      <c r="F782">
        <v>612.85</v>
      </c>
    </row>
    <row r="783" spans="1:6" hidden="1" x14ac:dyDescent="0.25">
      <c r="A783" s="70">
        <v>3562184</v>
      </c>
      <c r="B783" t="s">
        <v>462</v>
      </c>
      <c r="C783" t="s">
        <v>1128</v>
      </c>
      <c r="D783" t="s">
        <v>1073</v>
      </c>
      <c r="E783" t="s">
        <v>1145</v>
      </c>
      <c r="F783">
        <v>575.54999999999995</v>
      </c>
    </row>
    <row r="784" spans="1:6" hidden="1" x14ac:dyDescent="0.25">
      <c r="A784" s="70">
        <v>3562192</v>
      </c>
      <c r="B784" t="s">
        <v>450</v>
      </c>
      <c r="C784" t="s">
        <v>1128</v>
      </c>
      <c r="D784" t="s">
        <v>1073</v>
      </c>
      <c r="E784" t="s">
        <v>1145</v>
      </c>
      <c r="F784">
        <v>591.47</v>
      </c>
    </row>
    <row r="785" spans="1:6" hidden="1" x14ac:dyDescent="0.25">
      <c r="A785" s="70">
        <v>3562203</v>
      </c>
      <c r="B785" t="s">
        <v>451</v>
      </c>
      <c r="C785" t="s">
        <v>1128</v>
      </c>
      <c r="D785" t="s">
        <v>1073</v>
      </c>
      <c r="E785" t="s">
        <v>1145</v>
      </c>
      <c r="F785">
        <v>572.98</v>
      </c>
    </row>
    <row r="786" spans="1:6" hidden="1" x14ac:dyDescent="0.25">
      <c r="A786" s="70">
        <v>3562211</v>
      </c>
      <c r="B786" t="s">
        <v>447</v>
      </c>
      <c r="C786" t="s">
        <v>1128</v>
      </c>
      <c r="D786" t="s">
        <v>1073</v>
      </c>
      <c r="E786" t="s">
        <v>1145</v>
      </c>
      <c r="F786">
        <v>583.03</v>
      </c>
    </row>
    <row r="787" spans="1:6" hidden="1" x14ac:dyDescent="0.25">
      <c r="A787" s="70">
        <v>3562226</v>
      </c>
      <c r="B787" t="s">
        <v>1223</v>
      </c>
      <c r="C787" t="s">
        <v>1128</v>
      </c>
      <c r="D787" t="s">
        <v>1073</v>
      </c>
      <c r="E787" t="s">
        <v>1145</v>
      </c>
      <c r="F787">
        <v>576.55999999999995</v>
      </c>
    </row>
    <row r="788" spans="1:6" hidden="1" x14ac:dyDescent="0.25">
      <c r="A788" s="70">
        <v>3562234</v>
      </c>
      <c r="B788" t="s">
        <v>71</v>
      </c>
      <c r="C788" t="s">
        <v>1128</v>
      </c>
      <c r="D788" t="s">
        <v>1073</v>
      </c>
      <c r="E788" t="s">
        <v>1145</v>
      </c>
      <c r="F788">
        <v>599.73</v>
      </c>
    </row>
    <row r="789" spans="1:6" hidden="1" x14ac:dyDescent="0.25">
      <c r="A789" s="70">
        <v>3562242</v>
      </c>
      <c r="B789" t="s">
        <v>326</v>
      </c>
      <c r="C789" t="s">
        <v>1128</v>
      </c>
      <c r="D789" t="s">
        <v>1073</v>
      </c>
      <c r="E789" t="s">
        <v>1145</v>
      </c>
      <c r="F789">
        <v>562.97</v>
      </c>
    </row>
    <row r="790" spans="1:6" hidden="1" x14ac:dyDescent="0.25">
      <c r="A790" s="70">
        <v>3562265</v>
      </c>
      <c r="B790" t="s">
        <v>62</v>
      </c>
      <c r="C790" t="s">
        <v>1128</v>
      </c>
      <c r="D790" t="s">
        <v>1073</v>
      </c>
      <c r="E790" t="s">
        <v>1145</v>
      </c>
      <c r="F790">
        <v>577.61</v>
      </c>
    </row>
    <row r="791" spans="1:6" hidden="1" x14ac:dyDescent="0.25">
      <c r="A791" s="70">
        <v>3562273</v>
      </c>
      <c r="B791" t="s">
        <v>1151</v>
      </c>
      <c r="C791" t="s">
        <v>1128</v>
      </c>
      <c r="D791" t="s">
        <v>1073</v>
      </c>
      <c r="E791" t="s">
        <v>1086</v>
      </c>
      <c r="F791">
        <v>610.11</v>
      </c>
    </row>
    <row r="792" spans="1:6" hidden="1" x14ac:dyDescent="0.25">
      <c r="A792" s="70">
        <v>3562281</v>
      </c>
      <c r="B792" t="s">
        <v>461</v>
      </c>
      <c r="C792" t="s">
        <v>1128</v>
      </c>
      <c r="D792" t="s">
        <v>1073</v>
      </c>
      <c r="E792" t="s">
        <v>1145</v>
      </c>
      <c r="F792">
        <v>588.71</v>
      </c>
    </row>
    <row r="793" spans="1:6" hidden="1" x14ac:dyDescent="0.25">
      <c r="A793" s="70">
        <v>3562296</v>
      </c>
      <c r="B793" t="s">
        <v>148</v>
      </c>
      <c r="C793" t="s">
        <v>1128</v>
      </c>
      <c r="D793" t="s">
        <v>1073</v>
      </c>
      <c r="E793" t="s">
        <v>1145</v>
      </c>
      <c r="F793">
        <v>583.55999999999995</v>
      </c>
    </row>
    <row r="794" spans="1:6" hidden="1" x14ac:dyDescent="0.25">
      <c r="A794" s="70">
        <v>3562346</v>
      </c>
      <c r="B794" t="s">
        <v>198</v>
      </c>
      <c r="C794" t="s">
        <v>1128</v>
      </c>
      <c r="D794" t="s">
        <v>1073</v>
      </c>
      <c r="E794" t="s">
        <v>1145</v>
      </c>
      <c r="F794">
        <v>577.5</v>
      </c>
    </row>
    <row r="795" spans="1:6" hidden="1" x14ac:dyDescent="0.25">
      <c r="A795" s="70">
        <v>3562354</v>
      </c>
      <c r="B795" t="s">
        <v>1180</v>
      </c>
      <c r="C795" t="s">
        <v>1128</v>
      </c>
      <c r="D795" t="s">
        <v>1073</v>
      </c>
      <c r="E795" t="s">
        <v>1145</v>
      </c>
      <c r="F795">
        <v>571.29</v>
      </c>
    </row>
    <row r="796" spans="1:6" hidden="1" x14ac:dyDescent="0.25">
      <c r="A796" s="70">
        <v>3562362</v>
      </c>
      <c r="B796" t="s">
        <v>1176</v>
      </c>
      <c r="C796" t="s">
        <v>1128</v>
      </c>
      <c r="D796" t="s">
        <v>1073</v>
      </c>
      <c r="E796" t="s">
        <v>1145</v>
      </c>
      <c r="F796">
        <v>580.87</v>
      </c>
    </row>
    <row r="797" spans="1:6" hidden="1" x14ac:dyDescent="0.25">
      <c r="A797" s="70">
        <v>3562393</v>
      </c>
      <c r="B797" t="s">
        <v>325</v>
      </c>
      <c r="C797" t="s">
        <v>1128</v>
      </c>
      <c r="D797" t="s">
        <v>1073</v>
      </c>
      <c r="E797" t="s">
        <v>1145</v>
      </c>
      <c r="F797">
        <v>569.01</v>
      </c>
    </row>
    <row r="798" spans="1:6" hidden="1" x14ac:dyDescent="0.25">
      <c r="A798" s="70">
        <v>3562404</v>
      </c>
      <c r="B798" t="s">
        <v>1228</v>
      </c>
      <c r="C798" t="s">
        <v>1128</v>
      </c>
      <c r="D798" t="s">
        <v>1073</v>
      </c>
      <c r="E798" t="s">
        <v>1145</v>
      </c>
      <c r="F798">
        <v>586.76</v>
      </c>
    </row>
    <row r="799" spans="1:6" hidden="1" x14ac:dyDescent="0.25">
      <c r="A799" s="70">
        <v>3562435</v>
      </c>
      <c r="B799" t="s">
        <v>328</v>
      </c>
      <c r="C799" t="s">
        <v>1128</v>
      </c>
      <c r="D799" t="s">
        <v>1073</v>
      </c>
      <c r="E799" t="s">
        <v>1145</v>
      </c>
      <c r="F799">
        <v>573.80999999999995</v>
      </c>
    </row>
    <row r="800" spans="1:6" hidden="1" x14ac:dyDescent="0.25">
      <c r="A800" s="70">
        <v>3572194</v>
      </c>
      <c r="B800" t="s">
        <v>1153</v>
      </c>
      <c r="C800" t="s">
        <v>1229</v>
      </c>
      <c r="D800" t="s">
        <v>1073</v>
      </c>
      <c r="E800" t="s">
        <v>1145</v>
      </c>
      <c r="F800">
        <v>566.52</v>
      </c>
    </row>
    <row r="801" spans="1:6" hidden="1" x14ac:dyDescent="0.25">
      <c r="A801" s="70">
        <v>3612015</v>
      </c>
      <c r="B801" t="s">
        <v>30</v>
      </c>
      <c r="C801" t="s">
        <v>1076</v>
      </c>
      <c r="D801" t="s">
        <v>1073</v>
      </c>
      <c r="E801" t="s">
        <v>1086</v>
      </c>
      <c r="F801">
        <v>685.43</v>
      </c>
    </row>
    <row r="802" spans="1:6" hidden="1" x14ac:dyDescent="0.25">
      <c r="A802" s="70">
        <v>3612023</v>
      </c>
      <c r="B802" t="s">
        <v>61</v>
      </c>
      <c r="C802" t="s">
        <v>1076</v>
      </c>
      <c r="D802" t="s">
        <v>1073</v>
      </c>
      <c r="E802" t="s">
        <v>1086</v>
      </c>
      <c r="F802">
        <v>673.06</v>
      </c>
    </row>
    <row r="803" spans="1:6" hidden="1" x14ac:dyDescent="0.25">
      <c r="A803" s="70">
        <v>3612031</v>
      </c>
      <c r="B803" t="s">
        <v>55</v>
      </c>
      <c r="C803" t="s">
        <v>1076</v>
      </c>
      <c r="D803" t="s">
        <v>1073</v>
      </c>
      <c r="E803" t="s">
        <v>1086</v>
      </c>
      <c r="F803">
        <v>682.87</v>
      </c>
    </row>
    <row r="804" spans="1:6" hidden="1" x14ac:dyDescent="0.25">
      <c r="A804" s="70">
        <v>3612046</v>
      </c>
      <c r="B804" t="s">
        <v>494</v>
      </c>
      <c r="C804" t="s">
        <v>1076</v>
      </c>
      <c r="D804" t="s">
        <v>1073</v>
      </c>
      <c r="E804" t="s">
        <v>1086</v>
      </c>
      <c r="F804">
        <v>626.41999999999996</v>
      </c>
    </row>
    <row r="805" spans="1:6" hidden="1" x14ac:dyDescent="0.25">
      <c r="A805" s="70">
        <v>3612054</v>
      </c>
      <c r="B805" t="s">
        <v>112</v>
      </c>
      <c r="C805" t="s">
        <v>1076</v>
      </c>
      <c r="D805" t="s">
        <v>1073</v>
      </c>
      <c r="E805" t="s">
        <v>1086</v>
      </c>
      <c r="F805">
        <v>662.82</v>
      </c>
    </row>
    <row r="806" spans="1:6" hidden="1" x14ac:dyDescent="0.25">
      <c r="A806" s="70">
        <v>3612062</v>
      </c>
      <c r="B806" t="s">
        <v>154</v>
      </c>
      <c r="C806" t="s">
        <v>1076</v>
      </c>
      <c r="D806" t="s">
        <v>1073</v>
      </c>
      <c r="E806" t="s">
        <v>1086</v>
      </c>
      <c r="F806">
        <v>646.28</v>
      </c>
    </row>
    <row r="807" spans="1:6" hidden="1" x14ac:dyDescent="0.25">
      <c r="A807" s="70">
        <v>3612077</v>
      </c>
      <c r="B807" t="s">
        <v>240</v>
      </c>
      <c r="C807" t="s">
        <v>1076</v>
      </c>
      <c r="D807" t="s">
        <v>1073</v>
      </c>
      <c r="E807" t="s">
        <v>1086</v>
      </c>
      <c r="F807">
        <v>632.64</v>
      </c>
    </row>
    <row r="808" spans="1:6" hidden="1" x14ac:dyDescent="0.25">
      <c r="A808" s="70">
        <v>3612085</v>
      </c>
      <c r="B808" t="s">
        <v>441</v>
      </c>
      <c r="C808" t="s">
        <v>1076</v>
      </c>
      <c r="D808" t="s">
        <v>1073</v>
      </c>
      <c r="E808" t="s">
        <v>1086</v>
      </c>
      <c r="F808">
        <v>656.51</v>
      </c>
    </row>
    <row r="809" spans="1:6" hidden="1" x14ac:dyDescent="0.25">
      <c r="A809" s="70">
        <v>3612093</v>
      </c>
      <c r="B809" t="s">
        <v>149</v>
      </c>
      <c r="C809" t="s">
        <v>1076</v>
      </c>
      <c r="D809" t="s">
        <v>1073</v>
      </c>
      <c r="E809" t="s">
        <v>1086</v>
      </c>
      <c r="F809">
        <v>626.86</v>
      </c>
    </row>
    <row r="810" spans="1:6" hidden="1" x14ac:dyDescent="0.25">
      <c r="A810" s="70">
        <v>3612104</v>
      </c>
      <c r="B810" t="s">
        <v>399</v>
      </c>
      <c r="C810" t="s">
        <v>1076</v>
      </c>
      <c r="D810" t="s">
        <v>1073</v>
      </c>
      <c r="E810" t="s">
        <v>1086</v>
      </c>
      <c r="F810">
        <v>637.25</v>
      </c>
    </row>
    <row r="811" spans="1:6" hidden="1" x14ac:dyDescent="0.25">
      <c r="A811" s="70">
        <v>3612112</v>
      </c>
      <c r="B811" t="s">
        <v>139</v>
      </c>
      <c r="C811" t="s">
        <v>1076</v>
      </c>
      <c r="D811" t="s">
        <v>1073</v>
      </c>
      <c r="E811" t="s">
        <v>1086</v>
      </c>
      <c r="F811">
        <v>656.71</v>
      </c>
    </row>
    <row r="812" spans="1:6" hidden="1" x14ac:dyDescent="0.25">
      <c r="A812" s="70">
        <v>3612127</v>
      </c>
      <c r="B812" t="s">
        <v>460</v>
      </c>
      <c r="C812" t="s">
        <v>1076</v>
      </c>
      <c r="D812" t="s">
        <v>1073</v>
      </c>
      <c r="E812" t="s">
        <v>1086</v>
      </c>
      <c r="F812">
        <v>605.5</v>
      </c>
    </row>
    <row r="813" spans="1:6" hidden="1" x14ac:dyDescent="0.25">
      <c r="A813" s="70">
        <v>3612135</v>
      </c>
      <c r="B813" t="s">
        <v>461</v>
      </c>
      <c r="C813" t="s">
        <v>1076</v>
      </c>
      <c r="D813" t="s">
        <v>1073</v>
      </c>
      <c r="E813" t="s">
        <v>1086</v>
      </c>
      <c r="F813">
        <v>633.37</v>
      </c>
    </row>
    <row r="814" spans="1:6" hidden="1" x14ac:dyDescent="0.25">
      <c r="A814" s="70">
        <v>3612143</v>
      </c>
      <c r="B814" t="s">
        <v>153</v>
      </c>
      <c r="C814" t="s">
        <v>1076</v>
      </c>
      <c r="D814" t="s">
        <v>1073</v>
      </c>
      <c r="E814" t="s">
        <v>1086</v>
      </c>
      <c r="F814">
        <v>670.4</v>
      </c>
    </row>
    <row r="815" spans="1:6" hidden="1" x14ac:dyDescent="0.25">
      <c r="A815" s="70">
        <v>3612151</v>
      </c>
      <c r="B815" t="s">
        <v>298</v>
      </c>
      <c r="C815" t="s">
        <v>1076</v>
      </c>
      <c r="D815" t="s">
        <v>1073</v>
      </c>
      <c r="E815" t="s">
        <v>1086</v>
      </c>
      <c r="F815">
        <v>651.66999999999996</v>
      </c>
    </row>
    <row r="816" spans="1:6" hidden="1" x14ac:dyDescent="0.25">
      <c r="A816" s="70">
        <v>3612166</v>
      </c>
      <c r="B816" t="s">
        <v>495</v>
      </c>
      <c r="C816" t="s">
        <v>1076</v>
      </c>
      <c r="D816" t="s">
        <v>1073</v>
      </c>
      <c r="E816" t="s">
        <v>1086</v>
      </c>
      <c r="F816">
        <v>668.41</v>
      </c>
    </row>
    <row r="817" spans="1:6" hidden="1" x14ac:dyDescent="0.25">
      <c r="A817" s="70">
        <v>3612174</v>
      </c>
      <c r="B817" t="s">
        <v>168</v>
      </c>
      <c r="C817" t="s">
        <v>1076</v>
      </c>
      <c r="D817" t="s">
        <v>1073</v>
      </c>
      <c r="E817" t="s">
        <v>1086</v>
      </c>
      <c r="F817">
        <v>693.93</v>
      </c>
    </row>
    <row r="818" spans="1:6" hidden="1" x14ac:dyDescent="0.25">
      <c r="A818" s="70">
        <v>3612182</v>
      </c>
      <c r="B818" t="s">
        <v>497</v>
      </c>
      <c r="C818" t="s">
        <v>1076</v>
      </c>
      <c r="D818" t="s">
        <v>1073</v>
      </c>
      <c r="E818" t="s">
        <v>1086</v>
      </c>
      <c r="F818">
        <v>655.51</v>
      </c>
    </row>
    <row r="819" spans="1:6" hidden="1" x14ac:dyDescent="0.25">
      <c r="A819" s="70">
        <v>3612197</v>
      </c>
      <c r="B819" t="s">
        <v>496</v>
      </c>
      <c r="C819" t="s">
        <v>1076</v>
      </c>
      <c r="D819" t="s">
        <v>1073</v>
      </c>
      <c r="E819" t="s">
        <v>1086</v>
      </c>
      <c r="F819">
        <v>653.11</v>
      </c>
    </row>
    <row r="820" spans="1:6" hidden="1" x14ac:dyDescent="0.25">
      <c r="A820" s="70">
        <v>3612201</v>
      </c>
      <c r="B820" t="s">
        <v>60</v>
      </c>
      <c r="C820" t="s">
        <v>1076</v>
      </c>
      <c r="D820" t="s">
        <v>1073</v>
      </c>
      <c r="E820" t="s">
        <v>1086</v>
      </c>
      <c r="F820">
        <v>677.68</v>
      </c>
    </row>
    <row r="821" spans="1:6" hidden="1" x14ac:dyDescent="0.25">
      <c r="A821" s="70">
        <v>3612216</v>
      </c>
      <c r="B821" t="s">
        <v>63</v>
      </c>
      <c r="C821" t="s">
        <v>1076</v>
      </c>
      <c r="D821" t="s">
        <v>1073</v>
      </c>
      <c r="E821" t="s">
        <v>1086</v>
      </c>
      <c r="F821">
        <v>645.25</v>
      </c>
    </row>
    <row r="822" spans="1:6" hidden="1" x14ac:dyDescent="0.25">
      <c r="A822" s="70">
        <v>3612224</v>
      </c>
      <c r="B822" t="s">
        <v>36</v>
      </c>
      <c r="C822" t="s">
        <v>1076</v>
      </c>
      <c r="D822" t="s">
        <v>1073</v>
      </c>
      <c r="E822" t="s">
        <v>1086</v>
      </c>
      <c r="F822">
        <v>673.45</v>
      </c>
    </row>
    <row r="823" spans="1:6" hidden="1" x14ac:dyDescent="0.25">
      <c r="A823" s="70">
        <v>3612232</v>
      </c>
      <c r="B823" t="s">
        <v>224</v>
      </c>
      <c r="C823" t="s">
        <v>1076</v>
      </c>
      <c r="D823" t="s">
        <v>1073</v>
      </c>
      <c r="E823" t="s">
        <v>1086</v>
      </c>
      <c r="F823">
        <v>649.30999999999995</v>
      </c>
    </row>
    <row r="824" spans="1:6" hidden="1" x14ac:dyDescent="0.25">
      <c r="A824" s="70">
        <v>3622017</v>
      </c>
      <c r="B824" t="s">
        <v>321</v>
      </c>
      <c r="C824" t="s">
        <v>1113</v>
      </c>
      <c r="D824" t="s">
        <v>1073</v>
      </c>
      <c r="E824" t="s">
        <v>1086</v>
      </c>
      <c r="F824">
        <v>607.41</v>
      </c>
    </row>
    <row r="825" spans="1:6" hidden="1" x14ac:dyDescent="0.25">
      <c r="A825" s="70">
        <v>3622025</v>
      </c>
      <c r="B825" t="s">
        <v>319</v>
      </c>
      <c r="C825" t="s">
        <v>1113</v>
      </c>
      <c r="D825" t="s">
        <v>1073</v>
      </c>
      <c r="E825" t="s">
        <v>1086</v>
      </c>
      <c r="F825">
        <v>603.22</v>
      </c>
    </row>
    <row r="826" spans="1:6" hidden="1" x14ac:dyDescent="0.25">
      <c r="A826" s="70">
        <v>3622033</v>
      </c>
      <c r="B826" t="s">
        <v>210</v>
      </c>
      <c r="C826" t="s">
        <v>1113</v>
      </c>
      <c r="D826" t="s">
        <v>1073</v>
      </c>
      <c r="E826" t="s">
        <v>1145</v>
      </c>
      <c r="F826">
        <v>599.53</v>
      </c>
    </row>
    <row r="827" spans="1:6" hidden="1" x14ac:dyDescent="0.25">
      <c r="A827" s="70">
        <v>3622041</v>
      </c>
      <c r="B827" t="s">
        <v>200</v>
      </c>
      <c r="C827" t="s">
        <v>1113</v>
      </c>
      <c r="D827" t="s">
        <v>1073</v>
      </c>
      <c r="E827" t="s">
        <v>1145</v>
      </c>
      <c r="F827">
        <v>580.78</v>
      </c>
    </row>
    <row r="828" spans="1:6" hidden="1" x14ac:dyDescent="0.25">
      <c r="A828" s="70">
        <v>3622056</v>
      </c>
      <c r="B828" t="s">
        <v>201</v>
      </c>
      <c r="C828" t="s">
        <v>1113</v>
      </c>
      <c r="D828" t="s">
        <v>1073</v>
      </c>
      <c r="E828" t="s">
        <v>1145</v>
      </c>
      <c r="F828">
        <v>585.23</v>
      </c>
    </row>
    <row r="829" spans="1:6" hidden="1" x14ac:dyDescent="0.25">
      <c r="A829" s="70">
        <v>3622072</v>
      </c>
      <c r="B829" t="s">
        <v>509</v>
      </c>
      <c r="C829" t="s">
        <v>1113</v>
      </c>
      <c r="D829" t="s">
        <v>1073</v>
      </c>
      <c r="E829" t="s">
        <v>1145</v>
      </c>
      <c r="F829">
        <v>590.57000000000005</v>
      </c>
    </row>
    <row r="830" spans="1:6" hidden="1" x14ac:dyDescent="0.25">
      <c r="A830" s="70">
        <v>3622087</v>
      </c>
      <c r="B830" t="s">
        <v>75</v>
      </c>
      <c r="C830" t="s">
        <v>1113</v>
      </c>
      <c r="D830" t="s">
        <v>1073</v>
      </c>
      <c r="E830" t="s">
        <v>1086</v>
      </c>
      <c r="F830">
        <v>601.78</v>
      </c>
    </row>
    <row r="831" spans="1:6" hidden="1" x14ac:dyDescent="0.25">
      <c r="A831" s="70">
        <v>3622095</v>
      </c>
      <c r="B831" t="s">
        <v>72</v>
      </c>
      <c r="C831" t="s">
        <v>1113</v>
      </c>
      <c r="D831" t="s">
        <v>1073</v>
      </c>
      <c r="E831" t="s">
        <v>1086</v>
      </c>
      <c r="F831">
        <v>611.84</v>
      </c>
    </row>
    <row r="832" spans="1:6" hidden="1" x14ac:dyDescent="0.25">
      <c r="A832" s="70">
        <v>3622122</v>
      </c>
      <c r="B832" t="s">
        <v>512</v>
      </c>
      <c r="C832" t="s">
        <v>1113</v>
      </c>
      <c r="D832" t="s">
        <v>1073</v>
      </c>
      <c r="E832" t="s">
        <v>1145</v>
      </c>
      <c r="F832">
        <v>599.79999999999995</v>
      </c>
    </row>
    <row r="833" spans="1:6" hidden="1" x14ac:dyDescent="0.25">
      <c r="A833" s="70">
        <v>3622137</v>
      </c>
      <c r="B833" t="s">
        <v>511</v>
      </c>
      <c r="C833" t="s">
        <v>1113</v>
      </c>
      <c r="D833" t="s">
        <v>1073</v>
      </c>
      <c r="E833" t="s">
        <v>1086</v>
      </c>
      <c r="F833">
        <v>604.48</v>
      </c>
    </row>
    <row r="834" spans="1:6" hidden="1" x14ac:dyDescent="0.25">
      <c r="A834" s="70">
        <v>3622145</v>
      </c>
      <c r="B834" t="s">
        <v>1192</v>
      </c>
      <c r="C834" t="s">
        <v>1113</v>
      </c>
      <c r="D834" t="s">
        <v>1073</v>
      </c>
      <c r="E834" t="s">
        <v>1086</v>
      </c>
      <c r="F834">
        <v>605.70000000000005</v>
      </c>
    </row>
    <row r="835" spans="1:6" hidden="1" x14ac:dyDescent="0.25">
      <c r="A835" s="70">
        <v>3622153</v>
      </c>
      <c r="B835" t="s">
        <v>122</v>
      </c>
      <c r="C835" t="s">
        <v>1113</v>
      </c>
      <c r="D835" t="s">
        <v>1073</v>
      </c>
      <c r="E835" t="s">
        <v>1086</v>
      </c>
      <c r="F835">
        <v>611.9</v>
      </c>
    </row>
    <row r="836" spans="1:6" hidden="1" x14ac:dyDescent="0.25">
      <c r="A836" s="70">
        <v>3622161</v>
      </c>
      <c r="B836" t="s">
        <v>100</v>
      </c>
      <c r="C836" t="s">
        <v>1113</v>
      </c>
      <c r="D836" t="s">
        <v>1073</v>
      </c>
      <c r="E836" t="s">
        <v>1086</v>
      </c>
      <c r="F836">
        <v>607.16</v>
      </c>
    </row>
    <row r="837" spans="1:6" hidden="1" x14ac:dyDescent="0.25">
      <c r="A837" s="70">
        <v>3622176</v>
      </c>
      <c r="B837" t="s">
        <v>61</v>
      </c>
      <c r="C837" t="s">
        <v>1113</v>
      </c>
      <c r="D837" t="s">
        <v>1073</v>
      </c>
      <c r="E837" t="s">
        <v>1086</v>
      </c>
      <c r="F837">
        <v>626.55999999999995</v>
      </c>
    </row>
    <row r="838" spans="1:6" hidden="1" x14ac:dyDescent="0.25">
      <c r="A838" s="70">
        <v>3622184</v>
      </c>
      <c r="B838" t="s">
        <v>148</v>
      </c>
      <c r="C838" t="s">
        <v>1113</v>
      </c>
      <c r="D838" t="s">
        <v>1073</v>
      </c>
      <c r="E838" t="s">
        <v>1145</v>
      </c>
      <c r="F838">
        <v>598.41999999999996</v>
      </c>
    </row>
    <row r="839" spans="1:6" hidden="1" x14ac:dyDescent="0.25">
      <c r="A839" s="70">
        <v>3622192</v>
      </c>
      <c r="B839" t="s">
        <v>55</v>
      </c>
      <c r="C839" t="s">
        <v>1113</v>
      </c>
      <c r="D839" t="s">
        <v>1073</v>
      </c>
      <c r="E839" t="s">
        <v>1086</v>
      </c>
      <c r="F839">
        <v>639.84</v>
      </c>
    </row>
    <row r="840" spans="1:6" hidden="1" x14ac:dyDescent="0.25">
      <c r="A840" s="70">
        <v>3622203</v>
      </c>
      <c r="B840" t="s">
        <v>334</v>
      </c>
      <c r="C840" t="s">
        <v>1113</v>
      </c>
      <c r="D840" t="s">
        <v>1073</v>
      </c>
      <c r="E840" t="s">
        <v>1086</v>
      </c>
      <c r="F840">
        <v>606.70000000000005</v>
      </c>
    </row>
    <row r="841" spans="1:6" hidden="1" x14ac:dyDescent="0.25">
      <c r="A841" s="70">
        <v>3622211</v>
      </c>
      <c r="B841" t="s">
        <v>409</v>
      </c>
      <c r="C841" t="s">
        <v>1113</v>
      </c>
      <c r="D841" t="s">
        <v>1073</v>
      </c>
      <c r="E841" t="s">
        <v>1145</v>
      </c>
      <c r="F841">
        <v>595.94000000000005</v>
      </c>
    </row>
    <row r="842" spans="1:6" hidden="1" x14ac:dyDescent="0.25">
      <c r="A842" s="70">
        <v>3622226</v>
      </c>
      <c r="B842" t="s">
        <v>443</v>
      </c>
      <c r="C842" t="s">
        <v>1113</v>
      </c>
      <c r="D842" t="s">
        <v>1073</v>
      </c>
      <c r="E842" t="s">
        <v>1086</v>
      </c>
      <c r="F842">
        <v>621.82000000000005</v>
      </c>
    </row>
    <row r="843" spans="1:6" hidden="1" x14ac:dyDescent="0.25">
      <c r="A843" s="70">
        <v>3622234</v>
      </c>
      <c r="B843" t="s">
        <v>1230</v>
      </c>
      <c r="C843" t="s">
        <v>1113</v>
      </c>
      <c r="D843" t="s">
        <v>1073</v>
      </c>
      <c r="E843" t="s">
        <v>1145</v>
      </c>
      <c r="F843">
        <v>597.67999999999995</v>
      </c>
    </row>
    <row r="844" spans="1:6" hidden="1" x14ac:dyDescent="0.25">
      <c r="A844" s="70">
        <v>3622242</v>
      </c>
      <c r="B844" t="s">
        <v>73</v>
      </c>
      <c r="C844" t="s">
        <v>1113</v>
      </c>
      <c r="D844" t="s">
        <v>1073</v>
      </c>
      <c r="E844" t="s">
        <v>1086</v>
      </c>
      <c r="F844">
        <v>610.63</v>
      </c>
    </row>
    <row r="845" spans="1:6" hidden="1" x14ac:dyDescent="0.25">
      <c r="A845" s="70">
        <v>3622257</v>
      </c>
      <c r="B845" t="s">
        <v>101</v>
      </c>
      <c r="C845" t="s">
        <v>1113</v>
      </c>
      <c r="D845" t="s">
        <v>1073</v>
      </c>
      <c r="E845" t="s">
        <v>1145</v>
      </c>
      <c r="F845">
        <v>579.77</v>
      </c>
    </row>
    <row r="846" spans="1:6" hidden="1" x14ac:dyDescent="0.25">
      <c r="A846" s="70">
        <v>3622273</v>
      </c>
      <c r="B846" t="s">
        <v>71</v>
      </c>
      <c r="C846" t="s">
        <v>1113</v>
      </c>
      <c r="D846" t="s">
        <v>1073</v>
      </c>
      <c r="E846" t="s">
        <v>1086</v>
      </c>
      <c r="F846">
        <v>621.41</v>
      </c>
    </row>
    <row r="847" spans="1:6" hidden="1" x14ac:dyDescent="0.25">
      <c r="A847" s="70">
        <v>3622281</v>
      </c>
      <c r="B847" t="s">
        <v>124</v>
      </c>
      <c r="C847" t="s">
        <v>1113</v>
      </c>
      <c r="D847" t="s">
        <v>1073</v>
      </c>
      <c r="E847" t="s">
        <v>1145</v>
      </c>
      <c r="F847">
        <v>590.38</v>
      </c>
    </row>
    <row r="848" spans="1:6" hidden="1" x14ac:dyDescent="0.25">
      <c r="A848" s="70">
        <v>3622296</v>
      </c>
      <c r="B848" t="s">
        <v>326</v>
      </c>
      <c r="C848" t="s">
        <v>1113</v>
      </c>
      <c r="D848" t="s">
        <v>1073</v>
      </c>
      <c r="E848" t="s">
        <v>1145</v>
      </c>
      <c r="F848">
        <v>580.58000000000004</v>
      </c>
    </row>
    <row r="849" spans="1:6" hidden="1" x14ac:dyDescent="0.25">
      <c r="A849" s="70">
        <v>3622315</v>
      </c>
      <c r="B849" t="s">
        <v>399</v>
      </c>
      <c r="C849" t="s">
        <v>1113</v>
      </c>
      <c r="D849" t="s">
        <v>1073</v>
      </c>
      <c r="E849" t="s">
        <v>1145</v>
      </c>
      <c r="F849">
        <v>596.19000000000005</v>
      </c>
    </row>
    <row r="850" spans="1:6" hidden="1" x14ac:dyDescent="0.25">
      <c r="A850" s="70">
        <v>3622323</v>
      </c>
      <c r="B850" t="s">
        <v>311</v>
      </c>
      <c r="C850" t="s">
        <v>1113</v>
      </c>
      <c r="D850" t="s">
        <v>1073</v>
      </c>
      <c r="E850" t="s">
        <v>1086</v>
      </c>
      <c r="F850">
        <v>614.63</v>
      </c>
    </row>
    <row r="851" spans="1:6" hidden="1" x14ac:dyDescent="0.25">
      <c r="A851" s="70">
        <v>3622346</v>
      </c>
      <c r="B851" t="s">
        <v>130</v>
      </c>
      <c r="C851" t="s">
        <v>1113</v>
      </c>
      <c r="D851" t="s">
        <v>1073</v>
      </c>
      <c r="E851" t="s">
        <v>1145</v>
      </c>
      <c r="F851">
        <v>585.28</v>
      </c>
    </row>
    <row r="852" spans="1:6" hidden="1" x14ac:dyDescent="0.25">
      <c r="A852" s="70">
        <v>3622354</v>
      </c>
      <c r="B852" t="s">
        <v>99</v>
      </c>
      <c r="C852" t="s">
        <v>1113</v>
      </c>
      <c r="D852" t="s">
        <v>1073</v>
      </c>
      <c r="E852" t="s">
        <v>1145</v>
      </c>
      <c r="F852">
        <v>597.19000000000005</v>
      </c>
    </row>
    <row r="853" spans="1:6" hidden="1" x14ac:dyDescent="0.25">
      <c r="A853" s="70">
        <v>3622362</v>
      </c>
      <c r="B853" t="s">
        <v>472</v>
      </c>
      <c r="C853" t="s">
        <v>1113</v>
      </c>
      <c r="D853" t="s">
        <v>1073</v>
      </c>
      <c r="E853" t="s">
        <v>1145</v>
      </c>
      <c r="F853">
        <v>580.11</v>
      </c>
    </row>
    <row r="854" spans="1:6" hidden="1" x14ac:dyDescent="0.25">
      <c r="A854" s="70">
        <v>3622377</v>
      </c>
      <c r="B854" t="s">
        <v>60</v>
      </c>
      <c r="C854" t="s">
        <v>1113</v>
      </c>
      <c r="D854" t="s">
        <v>1073</v>
      </c>
      <c r="E854" t="s">
        <v>1086</v>
      </c>
      <c r="F854">
        <v>615.41999999999996</v>
      </c>
    </row>
    <row r="855" spans="1:6" hidden="1" x14ac:dyDescent="0.25">
      <c r="A855" s="70">
        <v>3622385</v>
      </c>
      <c r="B855" t="s">
        <v>36</v>
      </c>
      <c r="C855" t="s">
        <v>1113</v>
      </c>
      <c r="D855" t="s">
        <v>1073</v>
      </c>
      <c r="E855" t="s">
        <v>1086</v>
      </c>
      <c r="F855">
        <v>626.99</v>
      </c>
    </row>
    <row r="856" spans="1:6" hidden="1" x14ac:dyDescent="0.25">
      <c r="A856" s="70">
        <v>3632012</v>
      </c>
      <c r="B856" t="s">
        <v>1150</v>
      </c>
      <c r="C856" t="s">
        <v>1231</v>
      </c>
      <c r="D856" t="s">
        <v>1073</v>
      </c>
      <c r="E856" t="s">
        <v>1086</v>
      </c>
      <c r="F856">
        <v>613.37</v>
      </c>
    </row>
    <row r="857" spans="1:6" hidden="1" x14ac:dyDescent="0.25">
      <c r="A857" s="70">
        <v>3632027</v>
      </c>
      <c r="B857" t="s">
        <v>1148</v>
      </c>
      <c r="C857" t="s">
        <v>1231</v>
      </c>
      <c r="D857" t="s">
        <v>1073</v>
      </c>
      <c r="E857" t="s">
        <v>1086</v>
      </c>
      <c r="F857">
        <v>619.19000000000005</v>
      </c>
    </row>
    <row r="858" spans="1:6" hidden="1" x14ac:dyDescent="0.25">
      <c r="A858" s="70">
        <v>3632035</v>
      </c>
      <c r="B858" t="s">
        <v>1155</v>
      </c>
      <c r="C858" t="s">
        <v>1231</v>
      </c>
      <c r="D858" t="s">
        <v>1073</v>
      </c>
      <c r="E858" t="s">
        <v>1086</v>
      </c>
      <c r="F858">
        <v>610</v>
      </c>
    </row>
    <row r="859" spans="1:6" hidden="1" x14ac:dyDescent="0.25">
      <c r="A859" s="70">
        <v>3632043</v>
      </c>
      <c r="B859" t="s">
        <v>1157</v>
      </c>
      <c r="C859" t="s">
        <v>1231</v>
      </c>
      <c r="D859" t="s">
        <v>1073</v>
      </c>
      <c r="E859" t="s">
        <v>1086</v>
      </c>
      <c r="F859">
        <v>616.16999999999996</v>
      </c>
    </row>
    <row r="860" spans="1:6" hidden="1" x14ac:dyDescent="0.25">
      <c r="A860" s="70">
        <v>3632051</v>
      </c>
      <c r="B860" t="s">
        <v>389</v>
      </c>
      <c r="C860" t="s">
        <v>1231</v>
      </c>
      <c r="D860" t="s">
        <v>1073</v>
      </c>
      <c r="E860" t="s">
        <v>1086</v>
      </c>
      <c r="F860">
        <v>607.32000000000005</v>
      </c>
    </row>
    <row r="861" spans="1:6" hidden="1" x14ac:dyDescent="0.25">
      <c r="A861" s="70">
        <v>3632066</v>
      </c>
      <c r="B861" t="s">
        <v>1149</v>
      </c>
      <c r="C861" t="s">
        <v>1231</v>
      </c>
      <c r="D861" t="s">
        <v>1073</v>
      </c>
      <c r="E861" t="s">
        <v>1086</v>
      </c>
      <c r="F861">
        <v>626.33000000000004</v>
      </c>
    </row>
    <row r="862" spans="1:6" hidden="1" x14ac:dyDescent="0.25">
      <c r="A862" s="70">
        <v>3632074</v>
      </c>
      <c r="B862" t="s">
        <v>1232</v>
      </c>
      <c r="C862" t="s">
        <v>1231</v>
      </c>
      <c r="D862" t="s">
        <v>1073</v>
      </c>
      <c r="E862" t="s">
        <v>1145</v>
      </c>
      <c r="F862">
        <v>597.36</v>
      </c>
    </row>
    <row r="863" spans="1:6" hidden="1" x14ac:dyDescent="0.25">
      <c r="A863" s="70">
        <v>3642037</v>
      </c>
      <c r="B863" t="s">
        <v>1233</v>
      </c>
      <c r="C863" t="s">
        <v>881</v>
      </c>
      <c r="D863" t="s">
        <v>1073</v>
      </c>
      <c r="E863" t="s">
        <v>1145</v>
      </c>
      <c r="F863">
        <v>574.84</v>
      </c>
    </row>
    <row r="864" spans="1:6" hidden="1" x14ac:dyDescent="0.25">
      <c r="A864" s="70">
        <v>3642045</v>
      </c>
      <c r="B864" t="s">
        <v>1234</v>
      </c>
      <c r="C864" t="s">
        <v>881</v>
      </c>
      <c r="D864" t="s">
        <v>1073</v>
      </c>
      <c r="E864" t="s">
        <v>1145</v>
      </c>
      <c r="F864">
        <v>581.22</v>
      </c>
    </row>
    <row r="865" spans="1:6" hidden="1" x14ac:dyDescent="0.25">
      <c r="A865" s="70">
        <v>3642076</v>
      </c>
      <c r="B865" t="s">
        <v>1235</v>
      </c>
      <c r="C865" t="s">
        <v>881</v>
      </c>
      <c r="D865" t="s">
        <v>1073</v>
      </c>
      <c r="E865" t="s">
        <v>1145</v>
      </c>
      <c r="F865">
        <v>591.16</v>
      </c>
    </row>
    <row r="866" spans="1:6" hidden="1" x14ac:dyDescent="0.25">
      <c r="A866" s="70">
        <v>3642092</v>
      </c>
      <c r="B866" t="s">
        <v>1236</v>
      </c>
      <c r="C866" t="s">
        <v>881</v>
      </c>
      <c r="D866" t="s">
        <v>1073</v>
      </c>
      <c r="E866" t="s">
        <v>1086</v>
      </c>
      <c r="F866">
        <v>602.13</v>
      </c>
    </row>
    <row r="867" spans="1:6" hidden="1" x14ac:dyDescent="0.25">
      <c r="A867" s="70">
        <v>3642103</v>
      </c>
      <c r="B867" t="s">
        <v>1227</v>
      </c>
      <c r="C867" t="s">
        <v>881</v>
      </c>
      <c r="D867" t="s">
        <v>1073</v>
      </c>
      <c r="E867" t="s">
        <v>1086</v>
      </c>
      <c r="F867">
        <v>628.29</v>
      </c>
    </row>
    <row r="868" spans="1:6" hidden="1" x14ac:dyDescent="0.25">
      <c r="A868" s="70">
        <v>3642111</v>
      </c>
      <c r="B868" t="s">
        <v>1237</v>
      </c>
      <c r="C868" t="s">
        <v>881</v>
      </c>
      <c r="D868" t="s">
        <v>1073</v>
      </c>
      <c r="E868" t="s">
        <v>1145</v>
      </c>
      <c r="F868">
        <v>585.28</v>
      </c>
    </row>
    <row r="869" spans="1:6" hidden="1" x14ac:dyDescent="0.25">
      <c r="A869" s="70">
        <v>3642126</v>
      </c>
      <c r="B869" t="s">
        <v>1197</v>
      </c>
      <c r="C869" t="s">
        <v>881</v>
      </c>
      <c r="D869" t="s">
        <v>1073</v>
      </c>
      <c r="E869" t="s">
        <v>1086</v>
      </c>
      <c r="F869">
        <v>621.24</v>
      </c>
    </row>
    <row r="870" spans="1:6" hidden="1" x14ac:dyDescent="0.25">
      <c r="A870" s="70">
        <v>3652032</v>
      </c>
      <c r="B870" t="s">
        <v>1238</v>
      </c>
      <c r="C870" t="s">
        <v>1239</v>
      </c>
      <c r="D870" t="s">
        <v>1073</v>
      </c>
      <c r="E870" t="s">
        <v>1145</v>
      </c>
      <c r="F870">
        <v>573.54999999999995</v>
      </c>
    </row>
    <row r="871" spans="1:6" hidden="1" x14ac:dyDescent="0.25">
      <c r="A871" s="70">
        <v>3652202</v>
      </c>
      <c r="B871" t="s">
        <v>1153</v>
      </c>
      <c r="C871" t="s">
        <v>1239</v>
      </c>
      <c r="D871" t="s">
        <v>1073</v>
      </c>
      <c r="E871" t="s">
        <v>1145</v>
      </c>
      <c r="F871">
        <v>594.12</v>
      </c>
    </row>
    <row r="872" spans="1:6" hidden="1" x14ac:dyDescent="0.25">
      <c r="A872" s="70">
        <v>3652217</v>
      </c>
      <c r="B872" t="s">
        <v>1173</v>
      </c>
      <c r="C872" t="s">
        <v>1239</v>
      </c>
      <c r="D872" t="s">
        <v>1073</v>
      </c>
      <c r="E872" t="s">
        <v>1145</v>
      </c>
      <c r="F872">
        <v>576.71</v>
      </c>
    </row>
    <row r="873" spans="1:6" hidden="1" x14ac:dyDescent="0.25">
      <c r="A873" s="70">
        <v>3652225</v>
      </c>
      <c r="B873" t="s">
        <v>1149</v>
      </c>
      <c r="C873" t="s">
        <v>1239</v>
      </c>
      <c r="D873" t="s">
        <v>1073</v>
      </c>
      <c r="E873" t="s">
        <v>1145</v>
      </c>
      <c r="F873">
        <v>593.54</v>
      </c>
    </row>
    <row r="874" spans="1:6" hidden="1" x14ac:dyDescent="0.25">
      <c r="A874" s="70">
        <v>3652241</v>
      </c>
      <c r="B874" t="s">
        <v>1240</v>
      </c>
      <c r="C874" t="s">
        <v>1239</v>
      </c>
      <c r="D874" t="s">
        <v>1073</v>
      </c>
      <c r="E874" t="s">
        <v>1145</v>
      </c>
      <c r="F874">
        <v>577.07000000000005</v>
      </c>
    </row>
    <row r="875" spans="1:6" hidden="1" x14ac:dyDescent="0.25">
      <c r="A875" s="70">
        <v>3652272</v>
      </c>
      <c r="B875" t="s">
        <v>1241</v>
      </c>
      <c r="C875" t="s">
        <v>1239</v>
      </c>
      <c r="D875" t="s">
        <v>1073</v>
      </c>
      <c r="E875" t="s">
        <v>1145</v>
      </c>
      <c r="F875">
        <v>588.16999999999996</v>
      </c>
    </row>
    <row r="876" spans="1:6" hidden="1" x14ac:dyDescent="0.25">
      <c r="A876" s="70">
        <v>3652287</v>
      </c>
      <c r="B876" t="s">
        <v>1242</v>
      </c>
      <c r="C876" t="s">
        <v>1239</v>
      </c>
      <c r="D876" t="s">
        <v>1073</v>
      </c>
      <c r="E876" t="s">
        <v>1145</v>
      </c>
      <c r="F876">
        <v>584.12</v>
      </c>
    </row>
    <row r="877" spans="1:6" hidden="1" x14ac:dyDescent="0.25">
      <c r="A877" s="70">
        <v>3712016</v>
      </c>
      <c r="B877" t="s">
        <v>1147</v>
      </c>
      <c r="C877" t="s">
        <v>1089</v>
      </c>
      <c r="D877" t="s">
        <v>1073</v>
      </c>
      <c r="E877" t="s">
        <v>1145</v>
      </c>
      <c r="F877">
        <v>576.91999999999996</v>
      </c>
    </row>
    <row r="878" spans="1:6" hidden="1" x14ac:dyDescent="0.25">
      <c r="A878" s="70">
        <v>3712024</v>
      </c>
      <c r="B878" t="s">
        <v>1154</v>
      </c>
      <c r="C878" t="s">
        <v>1089</v>
      </c>
      <c r="D878" t="s">
        <v>1073</v>
      </c>
      <c r="E878" t="s">
        <v>1086</v>
      </c>
      <c r="F878">
        <v>608.33000000000004</v>
      </c>
    </row>
    <row r="879" spans="1:6" hidden="1" x14ac:dyDescent="0.25">
      <c r="A879" s="70">
        <v>3712032</v>
      </c>
      <c r="B879" t="s">
        <v>1156</v>
      </c>
      <c r="C879" t="s">
        <v>1089</v>
      </c>
      <c r="D879" t="s">
        <v>1073</v>
      </c>
      <c r="E879" t="s">
        <v>1145</v>
      </c>
      <c r="F879">
        <v>579.41</v>
      </c>
    </row>
    <row r="880" spans="1:6" hidden="1" x14ac:dyDescent="0.25">
      <c r="A880" s="70">
        <v>3712047</v>
      </c>
      <c r="B880" t="s">
        <v>1243</v>
      </c>
      <c r="C880" t="s">
        <v>1089</v>
      </c>
      <c r="D880" t="s">
        <v>1073</v>
      </c>
      <c r="E880" t="s">
        <v>1145</v>
      </c>
      <c r="F880">
        <v>575.09</v>
      </c>
    </row>
    <row r="881" spans="1:6" hidden="1" x14ac:dyDescent="0.25">
      <c r="A881" s="70">
        <v>3712071</v>
      </c>
      <c r="B881" t="s">
        <v>1155</v>
      </c>
      <c r="C881" t="s">
        <v>1089</v>
      </c>
      <c r="D881" t="s">
        <v>1073</v>
      </c>
      <c r="E881" t="s">
        <v>1145</v>
      </c>
      <c r="F881">
        <v>576.51</v>
      </c>
    </row>
    <row r="882" spans="1:6" hidden="1" x14ac:dyDescent="0.25">
      <c r="A882" s="70">
        <v>3712086</v>
      </c>
      <c r="B882" t="s">
        <v>1150</v>
      </c>
      <c r="C882" t="s">
        <v>1089</v>
      </c>
      <c r="D882" t="s">
        <v>1073</v>
      </c>
      <c r="E882" t="s">
        <v>1145</v>
      </c>
      <c r="F882">
        <v>585.51</v>
      </c>
    </row>
    <row r="883" spans="1:6" hidden="1" x14ac:dyDescent="0.25">
      <c r="A883" s="70">
        <v>3712094</v>
      </c>
      <c r="B883" t="s">
        <v>1148</v>
      </c>
      <c r="C883" t="s">
        <v>1089</v>
      </c>
      <c r="D883" t="s">
        <v>1073</v>
      </c>
      <c r="E883" t="s">
        <v>1145</v>
      </c>
      <c r="F883">
        <v>594.34</v>
      </c>
    </row>
    <row r="884" spans="1:6" hidden="1" x14ac:dyDescent="0.25">
      <c r="A884" s="70">
        <v>3712136</v>
      </c>
      <c r="B884" t="s">
        <v>1178</v>
      </c>
      <c r="C884" t="s">
        <v>1089</v>
      </c>
      <c r="D884" t="s">
        <v>1073</v>
      </c>
      <c r="E884" t="s">
        <v>1145</v>
      </c>
      <c r="F884">
        <v>566.36</v>
      </c>
    </row>
    <row r="885" spans="1:6" hidden="1" x14ac:dyDescent="0.25">
      <c r="A885" s="70">
        <v>3712167</v>
      </c>
      <c r="B885" t="s">
        <v>1151</v>
      </c>
      <c r="C885" t="s">
        <v>1089</v>
      </c>
      <c r="D885" t="s">
        <v>1073</v>
      </c>
      <c r="E885" t="s">
        <v>1145</v>
      </c>
      <c r="F885">
        <v>580.63</v>
      </c>
    </row>
    <row r="886" spans="1:6" hidden="1" x14ac:dyDescent="0.25">
      <c r="A886" s="70">
        <v>3722011</v>
      </c>
      <c r="B886" t="s">
        <v>31</v>
      </c>
      <c r="C886" t="s">
        <v>1244</v>
      </c>
      <c r="D886" t="s">
        <v>1073</v>
      </c>
      <c r="E886" t="s">
        <v>1086</v>
      </c>
      <c r="F886">
        <v>618.39</v>
      </c>
    </row>
    <row r="887" spans="1:6" hidden="1" x14ac:dyDescent="0.25">
      <c r="A887" s="70">
        <v>3722026</v>
      </c>
      <c r="B887" t="s">
        <v>69</v>
      </c>
      <c r="C887" t="s">
        <v>1244</v>
      </c>
      <c r="D887" t="s">
        <v>1073</v>
      </c>
      <c r="E887" t="s">
        <v>1086</v>
      </c>
      <c r="F887">
        <v>620.99</v>
      </c>
    </row>
    <row r="888" spans="1:6" hidden="1" x14ac:dyDescent="0.25">
      <c r="A888" s="70">
        <v>3722034</v>
      </c>
      <c r="B888" t="s">
        <v>1245</v>
      </c>
      <c r="C888" t="s">
        <v>1244</v>
      </c>
      <c r="D888" t="s">
        <v>1073</v>
      </c>
      <c r="E888" t="s">
        <v>1086</v>
      </c>
      <c r="F888">
        <v>608.25</v>
      </c>
    </row>
    <row r="889" spans="1:6" hidden="1" x14ac:dyDescent="0.25">
      <c r="A889" s="70">
        <v>3722042</v>
      </c>
      <c r="B889" t="s">
        <v>389</v>
      </c>
      <c r="C889" t="s">
        <v>1244</v>
      </c>
      <c r="D889" t="s">
        <v>1073</v>
      </c>
      <c r="E889" t="s">
        <v>1086</v>
      </c>
      <c r="F889">
        <v>619.69000000000005</v>
      </c>
    </row>
    <row r="890" spans="1:6" hidden="1" x14ac:dyDescent="0.25">
      <c r="A890" s="70">
        <v>3722057</v>
      </c>
      <c r="B890" t="s">
        <v>1150</v>
      </c>
      <c r="C890" t="s">
        <v>1244</v>
      </c>
      <c r="D890" t="s">
        <v>1073</v>
      </c>
      <c r="E890" t="s">
        <v>1086</v>
      </c>
      <c r="F890">
        <v>634.65</v>
      </c>
    </row>
    <row r="891" spans="1:6" hidden="1" x14ac:dyDescent="0.25">
      <c r="A891" s="70">
        <v>3722065</v>
      </c>
      <c r="B891" t="s">
        <v>55</v>
      </c>
      <c r="C891" t="s">
        <v>1244</v>
      </c>
      <c r="D891" t="s">
        <v>1073</v>
      </c>
      <c r="E891" t="s">
        <v>1086</v>
      </c>
      <c r="F891">
        <v>640.9</v>
      </c>
    </row>
    <row r="892" spans="1:6" hidden="1" x14ac:dyDescent="0.25">
      <c r="A892" s="70">
        <v>3722073</v>
      </c>
      <c r="B892" t="s">
        <v>63</v>
      </c>
      <c r="C892" t="s">
        <v>1244</v>
      </c>
      <c r="D892" t="s">
        <v>1073</v>
      </c>
      <c r="E892" t="s">
        <v>1145</v>
      </c>
      <c r="F892">
        <v>598.58000000000004</v>
      </c>
    </row>
    <row r="893" spans="1:6" hidden="1" x14ac:dyDescent="0.25">
      <c r="A893" s="70">
        <v>3722081</v>
      </c>
      <c r="B893" t="s">
        <v>60</v>
      </c>
      <c r="C893" t="s">
        <v>1244</v>
      </c>
      <c r="D893" t="s">
        <v>1073</v>
      </c>
      <c r="E893" t="s">
        <v>1086</v>
      </c>
      <c r="F893">
        <v>624.67999999999995</v>
      </c>
    </row>
    <row r="894" spans="1:6" hidden="1" x14ac:dyDescent="0.25">
      <c r="A894" s="70">
        <v>3722096</v>
      </c>
      <c r="B894" t="s">
        <v>36</v>
      </c>
      <c r="C894" t="s">
        <v>1244</v>
      </c>
      <c r="D894" t="s">
        <v>1073</v>
      </c>
      <c r="E894" t="s">
        <v>1086</v>
      </c>
      <c r="F894">
        <v>625.73</v>
      </c>
    </row>
    <row r="895" spans="1:6" hidden="1" x14ac:dyDescent="0.25">
      <c r="A895" s="70">
        <v>3722107</v>
      </c>
      <c r="B895" t="s">
        <v>223</v>
      </c>
      <c r="C895" t="s">
        <v>1244</v>
      </c>
      <c r="D895" t="s">
        <v>1073</v>
      </c>
      <c r="E895" t="s">
        <v>1086</v>
      </c>
      <c r="F895">
        <v>640.41</v>
      </c>
    </row>
    <row r="896" spans="1:6" hidden="1" x14ac:dyDescent="0.25">
      <c r="A896" s="70">
        <v>3722115</v>
      </c>
      <c r="B896" t="s">
        <v>139</v>
      </c>
      <c r="C896" t="s">
        <v>1244</v>
      </c>
      <c r="D896" t="s">
        <v>1073</v>
      </c>
      <c r="E896" t="s">
        <v>1086</v>
      </c>
      <c r="F896">
        <v>614.96</v>
      </c>
    </row>
    <row r="897" spans="1:6" hidden="1" x14ac:dyDescent="0.25">
      <c r="A897" s="70">
        <v>3722123</v>
      </c>
      <c r="B897" t="s">
        <v>1246</v>
      </c>
      <c r="C897" t="s">
        <v>1244</v>
      </c>
      <c r="D897" t="s">
        <v>1073</v>
      </c>
      <c r="E897" t="s">
        <v>1086</v>
      </c>
      <c r="F897">
        <v>614.76</v>
      </c>
    </row>
    <row r="898" spans="1:6" hidden="1" x14ac:dyDescent="0.25">
      <c r="A898" s="70">
        <v>3722131</v>
      </c>
      <c r="B898" t="s">
        <v>547</v>
      </c>
      <c r="C898" t="s">
        <v>1244</v>
      </c>
      <c r="D898" t="s">
        <v>1073</v>
      </c>
      <c r="E898" t="s">
        <v>1145</v>
      </c>
      <c r="F898">
        <v>598.25</v>
      </c>
    </row>
    <row r="899" spans="1:6" hidden="1" x14ac:dyDescent="0.25">
      <c r="A899" s="70">
        <v>3722146</v>
      </c>
      <c r="B899" t="s">
        <v>1171</v>
      </c>
      <c r="C899" t="s">
        <v>1244</v>
      </c>
      <c r="D899" t="s">
        <v>1073</v>
      </c>
      <c r="E899" t="s">
        <v>1086</v>
      </c>
      <c r="F899">
        <v>602.88</v>
      </c>
    </row>
    <row r="900" spans="1:6" hidden="1" x14ac:dyDescent="0.25">
      <c r="A900" s="70">
        <v>3722177</v>
      </c>
      <c r="B900" t="s">
        <v>97</v>
      </c>
      <c r="C900" t="s">
        <v>1244</v>
      </c>
      <c r="D900" t="s">
        <v>1073</v>
      </c>
      <c r="E900" t="s">
        <v>1145</v>
      </c>
      <c r="F900">
        <v>600.55999999999995</v>
      </c>
    </row>
    <row r="901" spans="1:6" hidden="1" x14ac:dyDescent="0.25">
      <c r="A901" s="70">
        <v>3722193</v>
      </c>
      <c r="B901" t="s">
        <v>546</v>
      </c>
      <c r="C901" t="s">
        <v>1244</v>
      </c>
      <c r="D901" t="s">
        <v>1073</v>
      </c>
      <c r="E901" t="s">
        <v>1086</v>
      </c>
      <c r="F901">
        <v>619.69000000000005</v>
      </c>
    </row>
    <row r="902" spans="1:6" hidden="1" x14ac:dyDescent="0.25">
      <c r="A902" s="70">
        <v>3722227</v>
      </c>
      <c r="B902" t="s">
        <v>57</v>
      </c>
      <c r="C902" t="s">
        <v>1244</v>
      </c>
      <c r="D902" t="s">
        <v>1073</v>
      </c>
      <c r="E902" t="s">
        <v>1086</v>
      </c>
      <c r="F902">
        <v>621.04</v>
      </c>
    </row>
    <row r="903" spans="1:6" hidden="1" x14ac:dyDescent="0.25">
      <c r="A903" s="70">
        <v>3722235</v>
      </c>
      <c r="B903" t="s">
        <v>548</v>
      </c>
      <c r="C903" t="s">
        <v>1244</v>
      </c>
      <c r="D903" t="s">
        <v>1073</v>
      </c>
      <c r="E903" t="s">
        <v>1086</v>
      </c>
      <c r="F903">
        <v>616.46</v>
      </c>
    </row>
    <row r="904" spans="1:6" hidden="1" x14ac:dyDescent="0.25">
      <c r="A904" s="70">
        <v>3722243</v>
      </c>
      <c r="B904" t="s">
        <v>32</v>
      </c>
      <c r="C904" t="s">
        <v>1244</v>
      </c>
      <c r="D904" t="s">
        <v>1073</v>
      </c>
      <c r="E904" t="s">
        <v>1145</v>
      </c>
      <c r="F904">
        <v>591.67999999999995</v>
      </c>
    </row>
    <row r="905" spans="1:6" hidden="1" x14ac:dyDescent="0.25">
      <c r="A905" s="70">
        <v>3722251</v>
      </c>
      <c r="B905" t="s">
        <v>224</v>
      </c>
      <c r="C905" t="s">
        <v>1244</v>
      </c>
      <c r="D905" t="s">
        <v>1073</v>
      </c>
      <c r="E905" t="s">
        <v>1145</v>
      </c>
      <c r="F905">
        <v>598.33000000000004</v>
      </c>
    </row>
    <row r="906" spans="1:6" hidden="1" x14ac:dyDescent="0.25">
      <c r="A906" s="70">
        <v>3722274</v>
      </c>
      <c r="B906" t="s">
        <v>1247</v>
      </c>
      <c r="C906" t="s">
        <v>1244</v>
      </c>
      <c r="D906" t="s">
        <v>1073</v>
      </c>
      <c r="E906" t="s">
        <v>1145</v>
      </c>
      <c r="F906">
        <v>587.89</v>
      </c>
    </row>
    <row r="907" spans="1:6" hidden="1" x14ac:dyDescent="0.25">
      <c r="A907" s="70">
        <v>3722282</v>
      </c>
      <c r="B907" t="s">
        <v>1248</v>
      </c>
      <c r="C907" t="s">
        <v>1244</v>
      </c>
      <c r="D907" t="s">
        <v>1073</v>
      </c>
      <c r="E907" t="s">
        <v>1145</v>
      </c>
      <c r="F907">
        <v>587.82000000000005</v>
      </c>
    </row>
    <row r="908" spans="1:6" hidden="1" x14ac:dyDescent="0.25">
      <c r="A908" s="70">
        <v>3722297</v>
      </c>
      <c r="B908" t="s">
        <v>551</v>
      </c>
      <c r="C908" t="s">
        <v>1244</v>
      </c>
      <c r="D908" t="s">
        <v>1073</v>
      </c>
      <c r="E908" t="s">
        <v>1145</v>
      </c>
      <c r="F908">
        <v>575.15</v>
      </c>
    </row>
    <row r="909" spans="1:6" hidden="1" x14ac:dyDescent="0.25">
      <c r="A909" s="70">
        <v>3722324</v>
      </c>
      <c r="B909" t="s">
        <v>183</v>
      </c>
      <c r="C909" t="s">
        <v>1244</v>
      </c>
      <c r="D909" t="s">
        <v>1073</v>
      </c>
      <c r="E909" t="s">
        <v>1145</v>
      </c>
      <c r="F909">
        <v>578.15</v>
      </c>
    </row>
    <row r="910" spans="1:6" hidden="1" x14ac:dyDescent="0.25">
      <c r="A910" s="70">
        <v>3722347</v>
      </c>
      <c r="B910" t="s">
        <v>1249</v>
      </c>
      <c r="C910" t="s">
        <v>1244</v>
      </c>
      <c r="D910" t="s">
        <v>1073</v>
      </c>
      <c r="E910" t="s">
        <v>1145</v>
      </c>
      <c r="F910">
        <v>597.07000000000005</v>
      </c>
    </row>
    <row r="911" spans="1:6" hidden="1" x14ac:dyDescent="0.25">
      <c r="A911" s="70">
        <v>3722355</v>
      </c>
      <c r="B911" t="s">
        <v>1250</v>
      </c>
      <c r="C911" t="s">
        <v>1244</v>
      </c>
      <c r="D911" t="s">
        <v>1073</v>
      </c>
      <c r="E911" t="s">
        <v>1145</v>
      </c>
      <c r="F911">
        <v>596.24</v>
      </c>
    </row>
    <row r="912" spans="1:6" hidden="1" x14ac:dyDescent="0.25">
      <c r="A912" s="70">
        <v>3722363</v>
      </c>
      <c r="B912" t="s">
        <v>550</v>
      </c>
      <c r="C912" t="s">
        <v>1244</v>
      </c>
      <c r="D912" t="s">
        <v>1073</v>
      </c>
      <c r="E912" t="s">
        <v>1086</v>
      </c>
      <c r="F912">
        <v>614.17999999999995</v>
      </c>
    </row>
    <row r="913" spans="1:6" hidden="1" x14ac:dyDescent="0.25">
      <c r="A913" s="70">
        <v>3732013</v>
      </c>
      <c r="B913" t="s">
        <v>1201</v>
      </c>
      <c r="C913" t="s">
        <v>1129</v>
      </c>
      <c r="D913" t="s">
        <v>1073</v>
      </c>
      <c r="E913" t="s">
        <v>1145</v>
      </c>
      <c r="F913">
        <v>571.47</v>
      </c>
    </row>
    <row r="914" spans="1:6" hidden="1" x14ac:dyDescent="0.25">
      <c r="A914" s="70">
        <v>3732036</v>
      </c>
      <c r="B914" t="s">
        <v>1204</v>
      </c>
      <c r="C914" t="s">
        <v>1129</v>
      </c>
      <c r="D914" t="s">
        <v>1073</v>
      </c>
      <c r="E914" t="s">
        <v>1145</v>
      </c>
      <c r="F914">
        <v>578.15</v>
      </c>
    </row>
    <row r="915" spans="1:6" hidden="1" x14ac:dyDescent="0.25">
      <c r="A915" s="70">
        <v>3732091</v>
      </c>
      <c r="B915" t="s">
        <v>1225</v>
      </c>
      <c r="C915" t="s">
        <v>1129</v>
      </c>
      <c r="D915" t="s">
        <v>1073</v>
      </c>
      <c r="E915" t="s">
        <v>1145</v>
      </c>
      <c r="F915">
        <v>584.14</v>
      </c>
    </row>
    <row r="916" spans="1:6" hidden="1" x14ac:dyDescent="0.25">
      <c r="A916" s="70">
        <v>3732102</v>
      </c>
      <c r="B916" t="s">
        <v>1178</v>
      </c>
      <c r="C916" t="s">
        <v>1129</v>
      </c>
      <c r="D916" t="s">
        <v>1073</v>
      </c>
      <c r="E916" t="s">
        <v>1145</v>
      </c>
      <c r="F916">
        <v>596.22</v>
      </c>
    </row>
    <row r="917" spans="1:6" hidden="1" x14ac:dyDescent="0.25">
      <c r="A917" s="70">
        <v>3732133</v>
      </c>
      <c r="B917" t="s">
        <v>1179</v>
      </c>
      <c r="C917" t="s">
        <v>1129</v>
      </c>
      <c r="D917" t="s">
        <v>1073</v>
      </c>
      <c r="E917" t="s">
        <v>1145</v>
      </c>
      <c r="F917">
        <v>570.44000000000005</v>
      </c>
    </row>
    <row r="918" spans="1:6" hidden="1" x14ac:dyDescent="0.25">
      <c r="A918" s="70">
        <v>3732156</v>
      </c>
      <c r="B918" t="s">
        <v>1206</v>
      </c>
      <c r="C918" t="s">
        <v>1129</v>
      </c>
      <c r="D918" t="s">
        <v>1073</v>
      </c>
      <c r="E918" t="s">
        <v>1145</v>
      </c>
      <c r="F918">
        <v>575.41</v>
      </c>
    </row>
    <row r="919" spans="1:6" hidden="1" x14ac:dyDescent="0.25">
      <c r="A919" s="70">
        <v>3732164</v>
      </c>
      <c r="B919" t="s">
        <v>1186</v>
      </c>
      <c r="C919" t="s">
        <v>1129</v>
      </c>
      <c r="D919" t="s">
        <v>1073</v>
      </c>
      <c r="E919" t="s">
        <v>1145</v>
      </c>
      <c r="F919">
        <v>573.49</v>
      </c>
    </row>
    <row r="920" spans="1:6" hidden="1" x14ac:dyDescent="0.25">
      <c r="A920" s="70">
        <v>3732195</v>
      </c>
      <c r="B920" t="s">
        <v>1214</v>
      </c>
      <c r="C920" t="s">
        <v>1129</v>
      </c>
      <c r="D920" t="s">
        <v>1073</v>
      </c>
      <c r="E920" t="s">
        <v>1145</v>
      </c>
      <c r="F920">
        <v>577.01</v>
      </c>
    </row>
    <row r="921" spans="1:6" hidden="1" x14ac:dyDescent="0.25">
      <c r="A921" s="70">
        <v>3732206</v>
      </c>
      <c r="B921" t="s">
        <v>133</v>
      </c>
      <c r="C921" t="s">
        <v>1129</v>
      </c>
      <c r="D921" t="s">
        <v>1073</v>
      </c>
      <c r="E921" t="s">
        <v>1145</v>
      </c>
      <c r="F921">
        <v>575.15</v>
      </c>
    </row>
    <row r="922" spans="1:6" hidden="1" x14ac:dyDescent="0.25">
      <c r="A922" s="70">
        <v>3732214</v>
      </c>
      <c r="B922" t="s">
        <v>1251</v>
      </c>
      <c r="C922" t="s">
        <v>1129</v>
      </c>
      <c r="D922" t="s">
        <v>1073</v>
      </c>
      <c r="E922" t="s">
        <v>1145</v>
      </c>
      <c r="F922">
        <v>582.13</v>
      </c>
    </row>
    <row r="923" spans="1:6" hidden="1" x14ac:dyDescent="0.25">
      <c r="A923" s="70">
        <v>3732222</v>
      </c>
      <c r="B923" t="s">
        <v>1153</v>
      </c>
      <c r="C923" t="s">
        <v>1129</v>
      </c>
      <c r="D923" t="s">
        <v>1073</v>
      </c>
      <c r="E923" t="s">
        <v>1145</v>
      </c>
      <c r="F923">
        <v>599.80999999999995</v>
      </c>
    </row>
    <row r="924" spans="1:6" hidden="1" x14ac:dyDescent="0.25">
      <c r="A924" s="70">
        <v>3732237</v>
      </c>
      <c r="B924" t="s">
        <v>1212</v>
      </c>
      <c r="C924" t="s">
        <v>1129</v>
      </c>
      <c r="D924" t="s">
        <v>1073</v>
      </c>
      <c r="E924" t="s">
        <v>1145</v>
      </c>
      <c r="F924">
        <v>577.29</v>
      </c>
    </row>
    <row r="925" spans="1:6" hidden="1" x14ac:dyDescent="0.25">
      <c r="A925" s="70">
        <v>3732245</v>
      </c>
      <c r="B925" t="s">
        <v>311</v>
      </c>
      <c r="C925" t="s">
        <v>1129</v>
      </c>
      <c r="D925" t="s">
        <v>1073</v>
      </c>
      <c r="E925" t="s">
        <v>1086</v>
      </c>
      <c r="F925">
        <v>605.41999999999996</v>
      </c>
    </row>
    <row r="926" spans="1:6" hidden="1" x14ac:dyDescent="0.25">
      <c r="A926" s="70">
        <v>3732253</v>
      </c>
      <c r="B926" t="s">
        <v>1252</v>
      </c>
      <c r="C926" t="s">
        <v>1129</v>
      </c>
      <c r="D926" t="s">
        <v>1073</v>
      </c>
      <c r="E926" t="s">
        <v>1145</v>
      </c>
      <c r="F926">
        <v>582.12</v>
      </c>
    </row>
    <row r="927" spans="1:6" hidden="1" x14ac:dyDescent="0.25">
      <c r="A927" s="70">
        <v>3732261</v>
      </c>
      <c r="B927" t="s">
        <v>1227</v>
      </c>
      <c r="C927" t="s">
        <v>1129</v>
      </c>
      <c r="D927" t="s">
        <v>1073</v>
      </c>
      <c r="E927" t="s">
        <v>1145</v>
      </c>
      <c r="F927">
        <v>591.29999999999995</v>
      </c>
    </row>
    <row r="928" spans="1:6" hidden="1" x14ac:dyDescent="0.25">
      <c r="A928" s="70">
        <v>3732276</v>
      </c>
      <c r="B928" t="s">
        <v>1148</v>
      </c>
      <c r="C928" t="s">
        <v>1129</v>
      </c>
      <c r="D928" t="s">
        <v>1073</v>
      </c>
      <c r="E928" t="s">
        <v>1086</v>
      </c>
      <c r="F928">
        <v>605.26</v>
      </c>
    </row>
    <row r="929" spans="1:6" hidden="1" x14ac:dyDescent="0.25">
      <c r="A929" s="70">
        <v>3732284</v>
      </c>
      <c r="B929" t="s">
        <v>1253</v>
      </c>
      <c r="C929" t="s">
        <v>1129</v>
      </c>
      <c r="D929" t="s">
        <v>1073</v>
      </c>
      <c r="E929" t="s">
        <v>1145</v>
      </c>
      <c r="F929">
        <v>588.92999999999995</v>
      </c>
    </row>
    <row r="930" spans="1:6" hidden="1" x14ac:dyDescent="0.25">
      <c r="A930" s="70">
        <v>3732292</v>
      </c>
      <c r="B930" t="s">
        <v>1150</v>
      </c>
      <c r="C930" t="s">
        <v>1129</v>
      </c>
      <c r="D930" t="s">
        <v>1073</v>
      </c>
      <c r="E930" t="s">
        <v>1145</v>
      </c>
      <c r="F930">
        <v>593.16999999999996</v>
      </c>
    </row>
    <row r="931" spans="1:6" hidden="1" x14ac:dyDescent="0.25">
      <c r="A931" s="70">
        <v>3732311</v>
      </c>
      <c r="B931" t="s">
        <v>1182</v>
      </c>
      <c r="C931" t="s">
        <v>1129</v>
      </c>
      <c r="D931" t="s">
        <v>1073</v>
      </c>
      <c r="E931" t="s">
        <v>1145</v>
      </c>
      <c r="F931">
        <v>573.21</v>
      </c>
    </row>
    <row r="932" spans="1:6" hidden="1" x14ac:dyDescent="0.25">
      <c r="A932" s="70">
        <v>3732357</v>
      </c>
      <c r="B932" t="s">
        <v>1254</v>
      </c>
      <c r="C932" t="s">
        <v>1129</v>
      </c>
      <c r="D932" t="s">
        <v>1073</v>
      </c>
      <c r="E932" t="s">
        <v>1145</v>
      </c>
      <c r="F932">
        <v>596.29999999999995</v>
      </c>
    </row>
    <row r="933" spans="1:6" hidden="1" x14ac:dyDescent="0.25">
      <c r="A933" s="70">
        <v>3732365</v>
      </c>
      <c r="B933" t="s">
        <v>1184</v>
      </c>
      <c r="C933" t="s">
        <v>1129</v>
      </c>
      <c r="D933" t="s">
        <v>1073</v>
      </c>
      <c r="E933" t="s">
        <v>1145</v>
      </c>
      <c r="F933">
        <v>579.08000000000004</v>
      </c>
    </row>
    <row r="934" spans="1:6" hidden="1" x14ac:dyDescent="0.25">
      <c r="A934" s="70">
        <v>3732373</v>
      </c>
      <c r="B934" t="s">
        <v>1169</v>
      </c>
      <c r="C934" t="s">
        <v>1129</v>
      </c>
      <c r="D934" t="s">
        <v>1073</v>
      </c>
      <c r="E934" t="s">
        <v>1145</v>
      </c>
      <c r="F934">
        <v>576.74</v>
      </c>
    </row>
    <row r="935" spans="1:6" hidden="1" x14ac:dyDescent="0.25">
      <c r="A935" s="70">
        <v>3742112</v>
      </c>
      <c r="B935" t="s">
        <v>1148</v>
      </c>
      <c r="C935" t="s">
        <v>1255</v>
      </c>
      <c r="D935" t="s">
        <v>1073</v>
      </c>
      <c r="E935" t="s">
        <v>1145</v>
      </c>
      <c r="F935">
        <v>567.45000000000005</v>
      </c>
    </row>
    <row r="936" spans="1:6" hidden="1" x14ac:dyDescent="0.25">
      <c r="A936" s="70">
        <v>3812017</v>
      </c>
      <c r="B936" t="s">
        <v>31</v>
      </c>
      <c r="C936" t="s">
        <v>1075</v>
      </c>
      <c r="D936" t="s">
        <v>1073</v>
      </c>
      <c r="E936" t="s">
        <v>1086</v>
      </c>
      <c r="F936">
        <v>637.46</v>
      </c>
    </row>
    <row r="937" spans="1:6" hidden="1" x14ac:dyDescent="0.25">
      <c r="A937" s="70">
        <v>3812025</v>
      </c>
      <c r="B937" t="s">
        <v>29</v>
      </c>
      <c r="C937" t="s">
        <v>1075</v>
      </c>
      <c r="D937" t="s">
        <v>1073</v>
      </c>
      <c r="E937" t="s">
        <v>1086</v>
      </c>
      <c r="F937">
        <v>614.16</v>
      </c>
    </row>
    <row r="938" spans="1:6" hidden="1" x14ac:dyDescent="0.25">
      <c r="A938" s="70">
        <v>3812033</v>
      </c>
      <c r="B938" t="s">
        <v>36</v>
      </c>
      <c r="C938" t="s">
        <v>1075</v>
      </c>
      <c r="D938" t="s">
        <v>1073</v>
      </c>
      <c r="E938" t="s">
        <v>1086</v>
      </c>
      <c r="F938">
        <v>636.01</v>
      </c>
    </row>
    <row r="939" spans="1:6" hidden="1" x14ac:dyDescent="0.25">
      <c r="A939" s="70">
        <v>3812041</v>
      </c>
      <c r="B939" t="s">
        <v>63</v>
      </c>
      <c r="C939" t="s">
        <v>1075</v>
      </c>
      <c r="D939" t="s">
        <v>1073</v>
      </c>
      <c r="E939" t="s">
        <v>1086</v>
      </c>
      <c r="F939">
        <v>607.16</v>
      </c>
    </row>
    <row r="940" spans="1:6" hidden="1" x14ac:dyDescent="0.25">
      <c r="A940" s="70">
        <v>3812056</v>
      </c>
      <c r="B940" t="s">
        <v>33</v>
      </c>
      <c r="C940" t="s">
        <v>1075</v>
      </c>
      <c r="D940" t="s">
        <v>1073</v>
      </c>
      <c r="E940" t="s">
        <v>1145</v>
      </c>
      <c r="F940">
        <v>594.64</v>
      </c>
    </row>
    <row r="941" spans="1:6" hidden="1" x14ac:dyDescent="0.25">
      <c r="A941" s="70">
        <v>3812064</v>
      </c>
      <c r="B941" t="s">
        <v>168</v>
      </c>
      <c r="C941" t="s">
        <v>1075</v>
      </c>
      <c r="D941" t="s">
        <v>1073</v>
      </c>
      <c r="E941" t="s">
        <v>1086</v>
      </c>
      <c r="F941">
        <v>649.78</v>
      </c>
    </row>
    <row r="942" spans="1:6" hidden="1" x14ac:dyDescent="0.25">
      <c r="A942" s="70">
        <v>3812072</v>
      </c>
      <c r="B942" t="s">
        <v>144</v>
      </c>
      <c r="C942" t="s">
        <v>1075</v>
      </c>
      <c r="D942" t="s">
        <v>1073</v>
      </c>
      <c r="E942" t="s">
        <v>1086</v>
      </c>
      <c r="F942">
        <v>601.74</v>
      </c>
    </row>
    <row r="943" spans="1:6" hidden="1" x14ac:dyDescent="0.25">
      <c r="A943" s="70">
        <v>3812087</v>
      </c>
      <c r="B943" t="s">
        <v>69</v>
      </c>
      <c r="C943" t="s">
        <v>1075</v>
      </c>
      <c r="D943" t="s">
        <v>1073</v>
      </c>
      <c r="E943" t="s">
        <v>1086</v>
      </c>
      <c r="F943">
        <v>627.99</v>
      </c>
    </row>
    <row r="944" spans="1:6" hidden="1" x14ac:dyDescent="0.25">
      <c r="A944" s="70">
        <v>3812095</v>
      </c>
      <c r="B944" t="s">
        <v>61</v>
      </c>
      <c r="C944" t="s">
        <v>1075</v>
      </c>
      <c r="D944" t="s">
        <v>1073</v>
      </c>
      <c r="E944" t="s">
        <v>1086</v>
      </c>
      <c r="F944">
        <v>642.05999999999995</v>
      </c>
    </row>
    <row r="945" spans="1:6" hidden="1" x14ac:dyDescent="0.25">
      <c r="A945" s="70">
        <v>3812106</v>
      </c>
      <c r="B945" t="s">
        <v>55</v>
      </c>
      <c r="C945" t="s">
        <v>1075</v>
      </c>
      <c r="D945" t="s">
        <v>1073</v>
      </c>
      <c r="E945" t="s">
        <v>1086</v>
      </c>
      <c r="F945">
        <v>649.79</v>
      </c>
    </row>
    <row r="946" spans="1:6" hidden="1" x14ac:dyDescent="0.25">
      <c r="A946" s="70">
        <v>3812114</v>
      </c>
      <c r="B946" t="s">
        <v>60</v>
      </c>
      <c r="C946" t="s">
        <v>1075</v>
      </c>
      <c r="D946" t="s">
        <v>1073</v>
      </c>
      <c r="E946" t="s">
        <v>1086</v>
      </c>
      <c r="F946">
        <v>637.9</v>
      </c>
    </row>
    <row r="947" spans="1:6" hidden="1" x14ac:dyDescent="0.25">
      <c r="A947" s="70">
        <v>3812122</v>
      </c>
      <c r="B947" t="s">
        <v>148</v>
      </c>
      <c r="C947" t="s">
        <v>1075</v>
      </c>
      <c r="D947" t="s">
        <v>1073</v>
      </c>
      <c r="E947" t="s">
        <v>1145</v>
      </c>
      <c r="F947">
        <v>595.92999999999995</v>
      </c>
    </row>
    <row r="948" spans="1:6" hidden="1" x14ac:dyDescent="0.25">
      <c r="A948" s="70">
        <v>3812137</v>
      </c>
      <c r="B948" t="s">
        <v>534</v>
      </c>
      <c r="C948" t="s">
        <v>1075</v>
      </c>
      <c r="D948" t="s">
        <v>1073</v>
      </c>
      <c r="E948" t="s">
        <v>1145</v>
      </c>
      <c r="F948">
        <v>588.91</v>
      </c>
    </row>
    <row r="949" spans="1:6" hidden="1" x14ac:dyDescent="0.25">
      <c r="A949" s="70">
        <v>3812145</v>
      </c>
      <c r="B949" t="s">
        <v>139</v>
      </c>
      <c r="C949" t="s">
        <v>1075</v>
      </c>
      <c r="D949" t="s">
        <v>1073</v>
      </c>
      <c r="E949" t="s">
        <v>1086</v>
      </c>
      <c r="F949">
        <v>616.08000000000004</v>
      </c>
    </row>
    <row r="950" spans="1:6" hidden="1" x14ac:dyDescent="0.25">
      <c r="A950" s="70">
        <v>3812153</v>
      </c>
      <c r="B950" t="s">
        <v>62</v>
      </c>
      <c r="C950" t="s">
        <v>1075</v>
      </c>
      <c r="D950" t="s">
        <v>1073</v>
      </c>
      <c r="E950" t="s">
        <v>1145</v>
      </c>
      <c r="F950">
        <v>582.02</v>
      </c>
    </row>
    <row r="951" spans="1:6" hidden="1" x14ac:dyDescent="0.25">
      <c r="A951" s="70">
        <v>3812161</v>
      </c>
      <c r="B951" t="s">
        <v>153</v>
      </c>
      <c r="C951" t="s">
        <v>1075</v>
      </c>
      <c r="D951" t="s">
        <v>1073</v>
      </c>
      <c r="E951" t="s">
        <v>1086</v>
      </c>
      <c r="F951">
        <v>605.55999999999995</v>
      </c>
    </row>
    <row r="952" spans="1:6" hidden="1" x14ac:dyDescent="0.25">
      <c r="A952" s="70">
        <v>3812176</v>
      </c>
      <c r="B952" t="s">
        <v>57</v>
      </c>
      <c r="C952" t="s">
        <v>1075</v>
      </c>
      <c r="D952" t="s">
        <v>1073</v>
      </c>
      <c r="E952" t="s">
        <v>1086</v>
      </c>
      <c r="F952">
        <v>618.9</v>
      </c>
    </row>
    <row r="953" spans="1:6" hidden="1" x14ac:dyDescent="0.25">
      <c r="A953" s="70">
        <v>3812184</v>
      </c>
      <c r="B953" t="s">
        <v>533</v>
      </c>
      <c r="C953" t="s">
        <v>1075</v>
      </c>
      <c r="D953" t="s">
        <v>1073</v>
      </c>
      <c r="E953" t="s">
        <v>1145</v>
      </c>
      <c r="F953">
        <v>577.74</v>
      </c>
    </row>
    <row r="954" spans="1:6" hidden="1" x14ac:dyDescent="0.25">
      <c r="A954" s="70">
        <v>3822012</v>
      </c>
      <c r="B954" t="s">
        <v>1256</v>
      </c>
      <c r="C954" t="s">
        <v>1090</v>
      </c>
      <c r="D954" t="s">
        <v>1073</v>
      </c>
      <c r="E954" t="s">
        <v>1086</v>
      </c>
      <c r="F954">
        <v>637.29</v>
      </c>
    </row>
    <row r="955" spans="1:6" hidden="1" x14ac:dyDescent="0.25">
      <c r="A955" s="70">
        <v>3822027</v>
      </c>
      <c r="B955" t="s">
        <v>522</v>
      </c>
      <c r="C955" t="s">
        <v>1090</v>
      </c>
      <c r="D955" t="s">
        <v>1073</v>
      </c>
      <c r="E955" t="s">
        <v>1086</v>
      </c>
      <c r="F955">
        <v>622.66</v>
      </c>
    </row>
    <row r="956" spans="1:6" hidden="1" x14ac:dyDescent="0.25">
      <c r="A956" s="70">
        <v>3832014</v>
      </c>
      <c r="B956" t="s">
        <v>1257</v>
      </c>
      <c r="C956" t="s">
        <v>1141</v>
      </c>
      <c r="D956" t="s">
        <v>1073</v>
      </c>
      <c r="E956" t="s">
        <v>1145</v>
      </c>
      <c r="F956">
        <v>577.22</v>
      </c>
    </row>
    <row r="957" spans="1:6" hidden="1" x14ac:dyDescent="0.25">
      <c r="A957" s="70">
        <v>3832022</v>
      </c>
      <c r="B957" t="s">
        <v>1258</v>
      </c>
      <c r="C957" t="s">
        <v>1141</v>
      </c>
      <c r="D957" t="s">
        <v>1073</v>
      </c>
      <c r="E957" t="s">
        <v>1145</v>
      </c>
      <c r="F957">
        <v>565.52</v>
      </c>
    </row>
    <row r="958" spans="1:6" hidden="1" x14ac:dyDescent="0.25">
      <c r="A958" s="70">
        <v>3832061</v>
      </c>
      <c r="B958" t="s">
        <v>36</v>
      </c>
      <c r="C958" t="s">
        <v>1141</v>
      </c>
      <c r="D958" t="s">
        <v>1073</v>
      </c>
      <c r="E958" t="s">
        <v>1145</v>
      </c>
      <c r="F958">
        <v>593.1</v>
      </c>
    </row>
    <row r="959" spans="1:6" hidden="1" x14ac:dyDescent="0.25">
      <c r="A959" s="70">
        <v>3832092</v>
      </c>
      <c r="B959" t="s">
        <v>1259</v>
      </c>
      <c r="C959" t="s">
        <v>1141</v>
      </c>
      <c r="D959" t="s">
        <v>1073</v>
      </c>
      <c r="E959" t="s">
        <v>1145</v>
      </c>
      <c r="F959">
        <v>589.12</v>
      </c>
    </row>
    <row r="960" spans="1:6" hidden="1" x14ac:dyDescent="0.25">
      <c r="A960" s="70">
        <v>3832111</v>
      </c>
      <c r="B960" t="s">
        <v>572</v>
      </c>
      <c r="C960" t="s">
        <v>1141</v>
      </c>
      <c r="D960" t="s">
        <v>1073</v>
      </c>
      <c r="E960" t="s">
        <v>1145</v>
      </c>
      <c r="F960">
        <v>580.71</v>
      </c>
    </row>
    <row r="961" spans="1:6" hidden="1" x14ac:dyDescent="0.25">
      <c r="A961" s="70">
        <v>3832157</v>
      </c>
      <c r="B961" t="s">
        <v>1260</v>
      </c>
      <c r="C961" t="s">
        <v>1141</v>
      </c>
      <c r="D961" t="s">
        <v>1073</v>
      </c>
      <c r="E961" t="s">
        <v>1145</v>
      </c>
      <c r="F961">
        <v>569.54</v>
      </c>
    </row>
    <row r="962" spans="1:6" hidden="1" x14ac:dyDescent="0.25">
      <c r="A962" s="70">
        <v>3832165</v>
      </c>
      <c r="B962" t="s">
        <v>139</v>
      </c>
      <c r="C962" t="s">
        <v>1141</v>
      </c>
      <c r="D962" t="s">
        <v>1073</v>
      </c>
      <c r="E962" t="s">
        <v>1145</v>
      </c>
      <c r="F962">
        <v>588.9</v>
      </c>
    </row>
    <row r="963" spans="1:6" hidden="1" x14ac:dyDescent="0.25">
      <c r="A963" s="70">
        <v>3832173</v>
      </c>
      <c r="B963" t="s">
        <v>1261</v>
      </c>
      <c r="C963" t="s">
        <v>1141</v>
      </c>
      <c r="D963" t="s">
        <v>1073</v>
      </c>
      <c r="E963" t="s">
        <v>1145</v>
      </c>
      <c r="F963">
        <v>578.29</v>
      </c>
    </row>
    <row r="964" spans="1:6" hidden="1" x14ac:dyDescent="0.25">
      <c r="A964" s="70">
        <v>3832196</v>
      </c>
      <c r="B964" t="s">
        <v>1262</v>
      </c>
      <c r="C964" t="s">
        <v>1141</v>
      </c>
      <c r="D964" t="s">
        <v>1073</v>
      </c>
      <c r="E964" t="s">
        <v>1145</v>
      </c>
      <c r="F964">
        <v>569.48</v>
      </c>
    </row>
    <row r="965" spans="1:6" hidden="1" x14ac:dyDescent="0.25">
      <c r="A965" s="70">
        <v>3832215</v>
      </c>
      <c r="B965" t="s">
        <v>1173</v>
      </c>
      <c r="C965" t="s">
        <v>1141</v>
      </c>
      <c r="D965" t="s">
        <v>1073</v>
      </c>
      <c r="E965" t="s">
        <v>1145</v>
      </c>
      <c r="F965">
        <v>582.05999999999995</v>
      </c>
    </row>
    <row r="966" spans="1:6" hidden="1" x14ac:dyDescent="0.25">
      <c r="A966" s="70">
        <v>3832223</v>
      </c>
      <c r="B966" t="s">
        <v>1156</v>
      </c>
      <c r="C966" t="s">
        <v>1141</v>
      </c>
      <c r="D966" t="s">
        <v>1073</v>
      </c>
      <c r="E966" t="s">
        <v>1145</v>
      </c>
      <c r="F966">
        <v>578.28</v>
      </c>
    </row>
    <row r="967" spans="1:6" hidden="1" x14ac:dyDescent="0.25">
      <c r="A967" s="70">
        <v>3832262</v>
      </c>
      <c r="B967" t="s">
        <v>1263</v>
      </c>
      <c r="C967" t="s">
        <v>1141</v>
      </c>
      <c r="D967" t="s">
        <v>1073</v>
      </c>
      <c r="E967" t="s">
        <v>1145</v>
      </c>
      <c r="F967">
        <v>577.26</v>
      </c>
    </row>
    <row r="968" spans="1:6" hidden="1" x14ac:dyDescent="0.25">
      <c r="A968" s="70">
        <v>3832277</v>
      </c>
      <c r="B968" t="s">
        <v>61</v>
      </c>
      <c r="C968" t="s">
        <v>1141</v>
      </c>
      <c r="D968" t="s">
        <v>1073</v>
      </c>
      <c r="E968" t="s">
        <v>1145</v>
      </c>
      <c r="F968">
        <v>591.37</v>
      </c>
    </row>
    <row r="969" spans="1:6" hidden="1" x14ac:dyDescent="0.25">
      <c r="A969" s="70">
        <v>3832285</v>
      </c>
      <c r="B969" t="s">
        <v>1148</v>
      </c>
      <c r="C969" t="s">
        <v>1141</v>
      </c>
      <c r="D969" t="s">
        <v>1073</v>
      </c>
      <c r="E969" t="s">
        <v>1145</v>
      </c>
      <c r="F969">
        <v>595.74</v>
      </c>
    </row>
    <row r="970" spans="1:6" hidden="1" x14ac:dyDescent="0.25">
      <c r="A970" s="70">
        <v>3832312</v>
      </c>
      <c r="B970" t="s">
        <v>1147</v>
      </c>
      <c r="C970" t="s">
        <v>1141</v>
      </c>
      <c r="D970" t="s">
        <v>1073</v>
      </c>
      <c r="E970" t="s">
        <v>1145</v>
      </c>
      <c r="F970">
        <v>587.98</v>
      </c>
    </row>
    <row r="971" spans="1:6" hidden="1" x14ac:dyDescent="0.25">
      <c r="A971" s="70">
        <v>3832351</v>
      </c>
      <c r="B971" t="s">
        <v>576</v>
      </c>
      <c r="C971" t="s">
        <v>1141</v>
      </c>
      <c r="D971" t="s">
        <v>1073</v>
      </c>
      <c r="E971" t="s">
        <v>1145</v>
      </c>
      <c r="F971">
        <v>573.99</v>
      </c>
    </row>
    <row r="972" spans="1:6" hidden="1" x14ac:dyDescent="0.25">
      <c r="A972" s="70">
        <v>3832374</v>
      </c>
      <c r="B972" t="s">
        <v>1264</v>
      </c>
      <c r="C972" t="s">
        <v>1141</v>
      </c>
      <c r="D972" t="s">
        <v>1073</v>
      </c>
      <c r="E972" t="s">
        <v>1145</v>
      </c>
      <c r="F972">
        <v>559.92999999999995</v>
      </c>
    </row>
    <row r="973" spans="1:6" hidden="1" x14ac:dyDescent="0.25">
      <c r="A973" s="70">
        <v>3832382</v>
      </c>
      <c r="B973" t="s">
        <v>1149</v>
      </c>
      <c r="C973" t="s">
        <v>1141</v>
      </c>
      <c r="D973" t="s">
        <v>1073</v>
      </c>
      <c r="E973" t="s">
        <v>1145</v>
      </c>
      <c r="F973">
        <v>587.84</v>
      </c>
    </row>
    <row r="974" spans="1:6" hidden="1" x14ac:dyDescent="0.25">
      <c r="A974" s="70">
        <v>3832401</v>
      </c>
      <c r="B974" t="s">
        <v>1227</v>
      </c>
      <c r="C974" t="s">
        <v>1141</v>
      </c>
      <c r="D974" t="s">
        <v>1073</v>
      </c>
      <c r="E974" t="s">
        <v>1145</v>
      </c>
      <c r="F974">
        <v>578.9</v>
      </c>
    </row>
    <row r="975" spans="1:6" hidden="1" x14ac:dyDescent="0.25">
      <c r="A975" s="70">
        <v>3832424</v>
      </c>
      <c r="B975" t="s">
        <v>1265</v>
      </c>
      <c r="C975" t="s">
        <v>1141</v>
      </c>
      <c r="D975" t="s">
        <v>1073</v>
      </c>
      <c r="E975" t="s">
        <v>1145</v>
      </c>
      <c r="F975">
        <v>576.09</v>
      </c>
    </row>
    <row r="976" spans="1:6" hidden="1" x14ac:dyDescent="0.25">
      <c r="A976" s="70">
        <v>3832447</v>
      </c>
      <c r="B976" t="s">
        <v>1266</v>
      </c>
      <c r="C976" t="s">
        <v>1141</v>
      </c>
      <c r="D976" t="s">
        <v>1073</v>
      </c>
      <c r="E976" t="s">
        <v>1145</v>
      </c>
      <c r="F976">
        <v>576.71</v>
      </c>
    </row>
    <row r="977" spans="1:6" hidden="1" x14ac:dyDescent="0.25">
      <c r="A977" s="70">
        <v>3852011</v>
      </c>
      <c r="B977" t="s">
        <v>1155</v>
      </c>
      <c r="C977" t="s">
        <v>1267</v>
      </c>
      <c r="D977" t="s">
        <v>1073</v>
      </c>
      <c r="E977" t="s">
        <v>1145</v>
      </c>
      <c r="F977">
        <v>573.05999999999995</v>
      </c>
    </row>
    <row r="978" spans="1:6" hidden="1" x14ac:dyDescent="0.25">
      <c r="A978" s="70">
        <v>3852026</v>
      </c>
      <c r="B978" t="s">
        <v>1150</v>
      </c>
      <c r="C978" t="s">
        <v>1267</v>
      </c>
      <c r="D978" t="s">
        <v>1073</v>
      </c>
      <c r="E978" t="s">
        <v>1145</v>
      </c>
      <c r="F978">
        <v>583.42999999999995</v>
      </c>
    </row>
    <row r="979" spans="1:6" hidden="1" x14ac:dyDescent="0.25">
      <c r="A979" s="70">
        <v>3852034</v>
      </c>
      <c r="B979" t="s">
        <v>1148</v>
      </c>
      <c r="C979" t="s">
        <v>1267</v>
      </c>
      <c r="D979" t="s">
        <v>1073</v>
      </c>
      <c r="E979" t="s">
        <v>1145</v>
      </c>
      <c r="F979">
        <v>592.05999999999995</v>
      </c>
    </row>
    <row r="980" spans="1:6" hidden="1" x14ac:dyDescent="0.25">
      <c r="A980" s="70">
        <v>3852042</v>
      </c>
      <c r="B980" t="s">
        <v>1166</v>
      </c>
      <c r="C980" t="s">
        <v>1267</v>
      </c>
      <c r="D980" t="s">
        <v>1073</v>
      </c>
      <c r="E980" t="s">
        <v>1145</v>
      </c>
      <c r="F980">
        <v>574.46</v>
      </c>
    </row>
    <row r="981" spans="1:6" hidden="1" x14ac:dyDescent="0.25">
      <c r="A981" s="70">
        <v>3852057</v>
      </c>
      <c r="B981" t="s">
        <v>1268</v>
      </c>
      <c r="C981" t="s">
        <v>1267</v>
      </c>
      <c r="D981" t="s">
        <v>1073</v>
      </c>
      <c r="E981" t="s">
        <v>1145</v>
      </c>
      <c r="F981">
        <v>572.94000000000005</v>
      </c>
    </row>
    <row r="982" spans="1:6" hidden="1" x14ac:dyDescent="0.25">
      <c r="A982" s="70">
        <v>3852065</v>
      </c>
      <c r="B982" t="s">
        <v>1149</v>
      </c>
      <c r="C982" t="s">
        <v>1267</v>
      </c>
      <c r="D982" t="s">
        <v>1073</v>
      </c>
      <c r="E982" t="s">
        <v>1145</v>
      </c>
      <c r="F982">
        <v>591.14</v>
      </c>
    </row>
    <row r="983" spans="1:6" hidden="1" x14ac:dyDescent="0.25">
      <c r="A983" s="70">
        <v>3852073</v>
      </c>
      <c r="B983" t="s">
        <v>1157</v>
      </c>
      <c r="C983" t="s">
        <v>1267</v>
      </c>
      <c r="D983" t="s">
        <v>1073</v>
      </c>
      <c r="E983" t="s">
        <v>1145</v>
      </c>
      <c r="F983">
        <v>596.16999999999996</v>
      </c>
    </row>
    <row r="984" spans="1:6" hidden="1" x14ac:dyDescent="0.25">
      <c r="A984" s="70">
        <v>3852081</v>
      </c>
      <c r="B984" t="s">
        <v>1147</v>
      </c>
      <c r="C984" t="s">
        <v>1267</v>
      </c>
      <c r="D984" t="s">
        <v>1073</v>
      </c>
      <c r="E984" t="s">
        <v>1145</v>
      </c>
      <c r="F984">
        <v>583.21</v>
      </c>
    </row>
    <row r="985" spans="1:6" hidden="1" x14ac:dyDescent="0.25">
      <c r="A985" s="70">
        <v>5112072</v>
      </c>
      <c r="B985" t="s">
        <v>1269</v>
      </c>
      <c r="C985" t="s">
        <v>1109</v>
      </c>
      <c r="D985" t="s">
        <v>1073</v>
      </c>
      <c r="E985" t="s">
        <v>1145</v>
      </c>
      <c r="F985">
        <v>571.17999999999995</v>
      </c>
    </row>
    <row r="986" spans="1:6" hidden="1" x14ac:dyDescent="0.25">
      <c r="A986" s="70">
        <v>5412075</v>
      </c>
      <c r="B986" t="s">
        <v>1157</v>
      </c>
      <c r="C986" t="s">
        <v>1110</v>
      </c>
      <c r="D986" t="s">
        <v>1073</v>
      </c>
      <c r="E986" t="s">
        <v>1145</v>
      </c>
      <c r="F986">
        <v>582.97</v>
      </c>
    </row>
    <row r="987" spans="1:6" hidden="1" x14ac:dyDescent="0.25">
      <c r="A987" s="70">
        <v>5412133</v>
      </c>
      <c r="B987" t="s">
        <v>1178</v>
      </c>
      <c r="C987" t="s">
        <v>1110</v>
      </c>
      <c r="D987" t="s">
        <v>1073</v>
      </c>
      <c r="E987" t="s">
        <v>1145</v>
      </c>
      <c r="F987">
        <v>572.41</v>
      </c>
    </row>
    <row r="988" spans="1:6" hidden="1" x14ac:dyDescent="0.25">
      <c r="A988" s="70">
        <v>5412195</v>
      </c>
      <c r="B988" t="s">
        <v>1153</v>
      </c>
      <c r="C988" t="s">
        <v>1110</v>
      </c>
      <c r="D988" t="s">
        <v>1073</v>
      </c>
      <c r="E988" t="s">
        <v>1145</v>
      </c>
      <c r="F988">
        <v>587.66</v>
      </c>
    </row>
    <row r="989" spans="1:6" hidden="1" x14ac:dyDescent="0.25">
      <c r="A989" s="70">
        <v>6112041</v>
      </c>
      <c r="B989" t="s">
        <v>1147</v>
      </c>
      <c r="C989" t="s">
        <v>1087</v>
      </c>
      <c r="D989" t="s">
        <v>1073</v>
      </c>
      <c r="E989" t="s">
        <v>1145</v>
      </c>
      <c r="F989">
        <v>583.12</v>
      </c>
    </row>
    <row r="990" spans="1:6" hidden="1" x14ac:dyDescent="0.25">
      <c r="A990" s="70">
        <v>6112064</v>
      </c>
      <c r="B990" t="s">
        <v>1148</v>
      </c>
      <c r="C990" t="s">
        <v>1087</v>
      </c>
      <c r="D990" t="s">
        <v>1073</v>
      </c>
      <c r="E990" t="s">
        <v>1086</v>
      </c>
      <c r="F990">
        <v>604.5</v>
      </c>
    </row>
    <row r="991" spans="1:6" hidden="1" x14ac:dyDescent="0.25">
      <c r="A991" s="70">
        <v>6112072</v>
      </c>
      <c r="B991" t="s">
        <v>61</v>
      </c>
      <c r="C991" t="s">
        <v>1087</v>
      </c>
      <c r="D991" t="s">
        <v>1073</v>
      </c>
      <c r="E991" t="s">
        <v>1145</v>
      </c>
      <c r="F991">
        <v>587.01</v>
      </c>
    </row>
    <row r="992" spans="1:6" hidden="1" x14ac:dyDescent="0.25">
      <c r="A992" s="70">
        <v>6112095</v>
      </c>
      <c r="B992" t="s">
        <v>139</v>
      </c>
      <c r="C992" t="s">
        <v>1087</v>
      </c>
      <c r="D992" t="s">
        <v>1073</v>
      </c>
      <c r="E992" t="s">
        <v>1145</v>
      </c>
      <c r="F992">
        <v>573.36</v>
      </c>
    </row>
    <row r="993" spans="1:6" hidden="1" x14ac:dyDescent="0.25">
      <c r="A993" s="70">
        <v>6112145</v>
      </c>
      <c r="B993" t="s">
        <v>1270</v>
      </c>
      <c r="C993" t="s">
        <v>1087</v>
      </c>
      <c r="D993" t="s">
        <v>1073</v>
      </c>
      <c r="E993" t="s">
        <v>1145</v>
      </c>
      <c r="F993">
        <v>579.25</v>
      </c>
    </row>
    <row r="994" spans="1:6" hidden="1" x14ac:dyDescent="0.25">
      <c r="A994" s="70">
        <v>6112161</v>
      </c>
      <c r="B994" t="s">
        <v>1154</v>
      </c>
      <c r="C994" t="s">
        <v>1087</v>
      </c>
      <c r="D994" t="s">
        <v>1073</v>
      </c>
      <c r="E994" t="s">
        <v>1086</v>
      </c>
      <c r="F994">
        <v>604.97</v>
      </c>
    </row>
    <row r="995" spans="1:6" hidden="1" x14ac:dyDescent="0.25">
      <c r="A995" s="70">
        <v>6112184</v>
      </c>
      <c r="B995" t="s">
        <v>1153</v>
      </c>
      <c r="C995" t="s">
        <v>1087</v>
      </c>
      <c r="D995" t="s">
        <v>1073</v>
      </c>
      <c r="E995" t="s">
        <v>1145</v>
      </c>
      <c r="F995">
        <v>596.65</v>
      </c>
    </row>
    <row r="996" spans="1:6" hidden="1" x14ac:dyDescent="0.25">
      <c r="A996" s="70">
        <v>6112203</v>
      </c>
      <c r="B996" t="s">
        <v>1166</v>
      </c>
      <c r="C996" t="s">
        <v>1087</v>
      </c>
      <c r="D996" t="s">
        <v>1073</v>
      </c>
      <c r="E996" t="s">
        <v>1145</v>
      </c>
      <c r="F996">
        <v>575.94000000000005</v>
      </c>
    </row>
    <row r="997" spans="1:6" hidden="1" x14ac:dyDescent="0.25">
      <c r="A997" s="70">
        <v>6112211</v>
      </c>
      <c r="B997" t="s">
        <v>1149</v>
      </c>
      <c r="C997" t="s">
        <v>1087</v>
      </c>
      <c r="D997" t="s">
        <v>1073</v>
      </c>
      <c r="E997" t="s">
        <v>1145</v>
      </c>
      <c r="F997">
        <v>598.24</v>
      </c>
    </row>
    <row r="998" spans="1:6" hidden="1" x14ac:dyDescent="0.25">
      <c r="A998" s="70">
        <v>7112095</v>
      </c>
      <c r="B998" t="s">
        <v>1148</v>
      </c>
      <c r="C998" t="s">
        <v>1092</v>
      </c>
      <c r="D998" t="s">
        <v>1073</v>
      </c>
      <c r="E998" t="s">
        <v>1145</v>
      </c>
      <c r="F998">
        <v>586.84</v>
      </c>
    </row>
    <row r="999" spans="1:6" hidden="1" x14ac:dyDescent="0.25">
      <c r="A999" s="70">
        <v>7112114</v>
      </c>
      <c r="B999" t="s">
        <v>1157</v>
      </c>
      <c r="C999" t="s">
        <v>1092</v>
      </c>
      <c r="D999" t="s">
        <v>1073</v>
      </c>
      <c r="E999" t="s">
        <v>1145</v>
      </c>
      <c r="F999">
        <v>590.97</v>
      </c>
    </row>
    <row r="1000" spans="1:6" hidden="1" x14ac:dyDescent="0.25">
      <c r="A1000" s="70">
        <v>9132014</v>
      </c>
      <c r="B1000" t="s">
        <v>1227</v>
      </c>
      <c r="C1000" t="s">
        <v>972</v>
      </c>
      <c r="D1000" t="s">
        <v>1073</v>
      </c>
      <c r="E1000" t="s">
        <v>1086</v>
      </c>
      <c r="F1000">
        <v>602.63</v>
      </c>
    </row>
    <row r="1001" spans="1:6" hidden="1" x14ac:dyDescent="0.25">
      <c r="A1001">
        <v>3411242</v>
      </c>
      <c r="B1001" s="71" t="s">
        <v>358</v>
      </c>
      <c r="C1001" t="s">
        <v>961</v>
      </c>
      <c r="D1001" t="s">
        <v>1271</v>
      </c>
      <c r="F1001">
        <v>570</v>
      </c>
    </row>
    <row r="1002" spans="1:6" hidden="1" x14ac:dyDescent="0.25">
      <c r="A1002">
        <v>5421124</v>
      </c>
      <c r="B1002" t="s">
        <v>80</v>
      </c>
      <c r="C1002" t="s">
        <v>1053</v>
      </c>
      <c r="D1002" t="s">
        <v>1271</v>
      </c>
      <c r="F1002">
        <v>620</v>
      </c>
    </row>
    <row r="1003" spans="1:6" hidden="1" x14ac:dyDescent="0.25">
      <c r="A1003">
        <v>1921056</v>
      </c>
      <c r="B1003" t="s">
        <v>54</v>
      </c>
      <c r="C1003" t="s">
        <v>920</v>
      </c>
      <c r="D1003" t="s">
        <v>1271</v>
      </c>
      <c r="F1003">
        <v>600</v>
      </c>
    </row>
    <row r="1004" spans="1:6" hidden="1" x14ac:dyDescent="0.25">
      <c r="A1004">
        <v>3352036</v>
      </c>
      <c r="B1004" t="s">
        <v>384</v>
      </c>
      <c r="C1004" t="s">
        <v>976</v>
      </c>
      <c r="D1004" t="s">
        <v>1271</v>
      </c>
      <c r="F1004">
        <v>580</v>
      </c>
    </row>
    <row r="1005" spans="1:6" hidden="1" x14ac:dyDescent="0.25">
      <c r="A1005">
        <v>6132076</v>
      </c>
      <c r="B1005" t="s">
        <v>12</v>
      </c>
      <c r="C1005" t="s">
        <v>1044</v>
      </c>
      <c r="D1005" t="s">
        <v>1271</v>
      </c>
      <c r="F1005">
        <v>592</v>
      </c>
    </row>
    <row r="1006" spans="1:6" hidden="1" x14ac:dyDescent="0.25">
      <c r="A1006">
        <v>3642134</v>
      </c>
      <c r="B1006" t="s">
        <v>156</v>
      </c>
      <c r="C1006" t="s">
        <v>1028</v>
      </c>
      <c r="D1006" t="s">
        <v>1271</v>
      </c>
      <c r="F1006">
        <v>602</v>
      </c>
    </row>
    <row r="1007" spans="1:6" hidden="1" x14ac:dyDescent="0.25">
      <c r="A1007">
        <v>3642053</v>
      </c>
      <c r="B1007" t="s">
        <v>18</v>
      </c>
      <c r="C1007" t="s">
        <v>1028</v>
      </c>
      <c r="D1007" t="s">
        <v>1271</v>
      </c>
      <c r="F1007">
        <v>580</v>
      </c>
    </row>
    <row r="1008" spans="1:6" hidden="1" x14ac:dyDescent="0.25">
      <c r="A1008">
        <v>1412036</v>
      </c>
      <c r="B1008" t="s">
        <v>148</v>
      </c>
      <c r="C1008" t="s">
        <v>845</v>
      </c>
      <c r="D1008" t="s">
        <v>1271</v>
      </c>
      <c r="F1008">
        <v>450</v>
      </c>
    </row>
    <row r="1009" spans="1:6" hidden="1" x14ac:dyDescent="0.25">
      <c r="A1009">
        <v>7112211</v>
      </c>
      <c r="B1009" t="s">
        <v>679</v>
      </c>
      <c r="C1009" t="s">
        <v>1059</v>
      </c>
      <c r="D1009" t="s">
        <v>1271</v>
      </c>
      <c r="F1009">
        <v>550</v>
      </c>
    </row>
    <row r="1010" spans="1:6" hidden="1" x14ac:dyDescent="0.25">
      <c r="A1010">
        <v>7112122</v>
      </c>
      <c r="B1010" t="s">
        <v>29</v>
      </c>
      <c r="C1010" t="s">
        <v>1059</v>
      </c>
      <c r="D1010" t="s">
        <v>1271</v>
      </c>
      <c r="F1010">
        <v>550</v>
      </c>
    </row>
    <row r="1011" spans="1:6" hidden="1" x14ac:dyDescent="0.25">
      <c r="A1011">
        <v>7112033</v>
      </c>
      <c r="B1011" t="s">
        <v>31</v>
      </c>
      <c r="C1011" t="s">
        <v>1059</v>
      </c>
      <c r="D1011" t="s">
        <v>1271</v>
      </c>
      <c r="F1011">
        <v>580</v>
      </c>
    </row>
    <row r="1012" spans="1:6" hidden="1" x14ac:dyDescent="0.25">
      <c r="A1012">
        <v>7111037</v>
      </c>
      <c r="B1012" t="s">
        <v>107</v>
      </c>
      <c r="C1012" t="s">
        <v>1059</v>
      </c>
      <c r="D1012" t="s">
        <v>1271</v>
      </c>
      <c r="F1012">
        <v>580</v>
      </c>
    </row>
    <row r="1013" spans="1:6" hidden="1" x14ac:dyDescent="0.25">
      <c r="A1013">
        <v>3221056</v>
      </c>
      <c r="B1013" t="s">
        <v>21</v>
      </c>
      <c r="C1013" t="s">
        <v>939</v>
      </c>
      <c r="D1013" t="s">
        <v>1271</v>
      </c>
      <c r="F1013">
        <v>480</v>
      </c>
    </row>
    <row r="1014" spans="1:6" hidden="1" x14ac:dyDescent="0.25">
      <c r="A1014">
        <v>3221106</v>
      </c>
      <c r="B1014" t="s">
        <v>78</v>
      </c>
      <c r="C1014" t="s">
        <v>939</v>
      </c>
      <c r="D1014" t="s">
        <v>1271</v>
      </c>
      <c r="F1014">
        <v>540</v>
      </c>
    </row>
    <row r="1015" spans="1:6" hidden="1" x14ac:dyDescent="0.25">
      <c r="A1015">
        <v>3362085</v>
      </c>
      <c r="B1015" t="s">
        <v>311</v>
      </c>
      <c r="C1015" t="s">
        <v>980</v>
      </c>
      <c r="D1015" t="s">
        <v>1271</v>
      </c>
      <c r="F1015">
        <v>550</v>
      </c>
    </row>
    <row r="1016" spans="1:6" hidden="1" x14ac:dyDescent="0.25">
      <c r="A1016">
        <v>3362077</v>
      </c>
      <c r="B1016" t="s">
        <v>387</v>
      </c>
      <c r="C1016" t="s">
        <v>980</v>
      </c>
      <c r="D1016" t="s">
        <v>1271</v>
      </c>
      <c r="F1016">
        <v>450</v>
      </c>
    </row>
    <row r="1017" spans="1:6" hidden="1" x14ac:dyDescent="0.25">
      <c r="A1017">
        <v>3361027</v>
      </c>
      <c r="B1017" t="s">
        <v>66</v>
      </c>
      <c r="C1017" t="s">
        <v>980</v>
      </c>
      <c r="D1017" t="s">
        <v>1271</v>
      </c>
      <c r="F1017">
        <v>500</v>
      </c>
    </row>
    <row r="1018" spans="1:6" hidden="1" x14ac:dyDescent="0.25">
      <c r="A1018">
        <v>3362015</v>
      </c>
      <c r="B1018" t="s">
        <v>63</v>
      </c>
      <c r="C1018" t="s">
        <v>980</v>
      </c>
      <c r="D1018" t="s">
        <v>1271</v>
      </c>
      <c r="F1018">
        <v>450</v>
      </c>
    </row>
    <row r="1019" spans="1:6" hidden="1" x14ac:dyDescent="0.25">
      <c r="A1019">
        <v>3651102</v>
      </c>
      <c r="B1019" t="s">
        <v>67</v>
      </c>
      <c r="C1019" t="s">
        <v>1030</v>
      </c>
      <c r="D1019" t="s">
        <v>1271</v>
      </c>
      <c r="F1019">
        <v>450</v>
      </c>
    </row>
    <row r="1020" spans="1:6" hidden="1" x14ac:dyDescent="0.25">
      <c r="A1020">
        <v>3651091</v>
      </c>
      <c r="B1020" t="s">
        <v>43</v>
      </c>
      <c r="C1020" t="s">
        <v>1030</v>
      </c>
      <c r="D1020" t="s">
        <v>1271</v>
      </c>
      <c r="F1020">
        <v>450</v>
      </c>
    </row>
    <row r="1021" spans="1:6" hidden="1" x14ac:dyDescent="0.25">
      <c r="A1021">
        <v>1512142</v>
      </c>
      <c r="B1021" t="s">
        <v>36</v>
      </c>
      <c r="C1021" t="s">
        <v>883</v>
      </c>
      <c r="D1021" t="s">
        <v>1271</v>
      </c>
      <c r="F1021">
        <v>560</v>
      </c>
    </row>
    <row r="1022" spans="1:6" hidden="1" x14ac:dyDescent="0.25">
      <c r="A1022">
        <v>3511154</v>
      </c>
      <c r="B1022" t="s">
        <v>40</v>
      </c>
      <c r="C1022" t="s">
        <v>1012</v>
      </c>
      <c r="D1022" t="s">
        <v>1271</v>
      </c>
      <c r="F1022">
        <v>540</v>
      </c>
    </row>
    <row r="1023" spans="1:6" hidden="1" x14ac:dyDescent="0.25">
      <c r="A1023">
        <v>1911023</v>
      </c>
      <c r="B1023" t="s">
        <v>37</v>
      </c>
      <c r="C1023" t="s">
        <v>928</v>
      </c>
      <c r="D1023" t="s">
        <v>1271</v>
      </c>
      <c r="F1023">
        <v>530</v>
      </c>
    </row>
    <row r="1024" spans="1:6" hidden="1" x14ac:dyDescent="0.25">
      <c r="A1024">
        <v>1912154</v>
      </c>
      <c r="B1024" t="s">
        <v>279</v>
      </c>
      <c r="C1024" t="s">
        <v>928</v>
      </c>
      <c r="D1024" t="s">
        <v>1271</v>
      </c>
      <c r="F1024">
        <v>500</v>
      </c>
    </row>
    <row r="1025" spans="1:6" hidden="1" x14ac:dyDescent="0.25">
      <c r="A1025">
        <v>6211271</v>
      </c>
      <c r="B1025" t="s">
        <v>77</v>
      </c>
      <c r="C1025" t="s">
        <v>1047</v>
      </c>
      <c r="D1025" t="s">
        <v>1271</v>
      </c>
      <c r="F1025">
        <v>590</v>
      </c>
    </row>
    <row r="1026" spans="1:6" hidden="1" x14ac:dyDescent="0.25">
      <c r="A1026">
        <v>3231097</v>
      </c>
      <c r="B1026" t="s">
        <v>315</v>
      </c>
      <c r="C1026" t="s">
        <v>947</v>
      </c>
      <c r="D1026" t="s">
        <v>1271</v>
      </c>
      <c r="F1026">
        <v>550</v>
      </c>
    </row>
    <row r="1027" spans="1:6" hidden="1" x14ac:dyDescent="0.25">
      <c r="A1027">
        <v>3231101</v>
      </c>
      <c r="B1027" t="s">
        <v>317</v>
      </c>
      <c r="C1027" t="s">
        <v>947</v>
      </c>
      <c r="D1027" t="s">
        <v>1271</v>
      </c>
      <c r="F1027">
        <v>550</v>
      </c>
    </row>
    <row r="1028" spans="1:6" hidden="1" x14ac:dyDescent="0.25">
      <c r="A1028">
        <v>1422135</v>
      </c>
      <c r="B1028" t="s">
        <v>131</v>
      </c>
      <c r="C1028" t="s">
        <v>853</v>
      </c>
      <c r="D1028" t="s">
        <v>1271</v>
      </c>
      <c r="F1028">
        <v>450</v>
      </c>
    </row>
    <row r="1029" spans="1:6" hidden="1" x14ac:dyDescent="0.25">
      <c r="A1029">
        <v>3562307</v>
      </c>
      <c r="B1029" t="s">
        <v>460</v>
      </c>
      <c r="C1029" t="s">
        <v>1016</v>
      </c>
      <c r="D1029" t="s">
        <v>1271</v>
      </c>
      <c r="F1029">
        <v>380</v>
      </c>
    </row>
    <row r="1030" spans="1:6" hidden="1" x14ac:dyDescent="0.25">
      <c r="A1030">
        <v>3621173</v>
      </c>
      <c r="B1030" t="s">
        <v>114</v>
      </c>
      <c r="C1030" t="s">
        <v>1031</v>
      </c>
      <c r="D1030" t="s">
        <v>1271</v>
      </c>
      <c r="F1030">
        <v>580</v>
      </c>
    </row>
    <row r="1031" spans="1:6" x14ac:dyDescent="0.25">
      <c r="A1031">
        <v>3331102</v>
      </c>
      <c r="B1031" t="s">
        <v>212</v>
      </c>
      <c r="C1031" t="s">
        <v>1077</v>
      </c>
      <c r="D1031" t="s">
        <v>1271</v>
      </c>
      <c r="F1031">
        <v>620</v>
      </c>
    </row>
    <row r="1032" spans="1:6" x14ac:dyDescent="0.25">
      <c r="A1032">
        <v>3331117</v>
      </c>
      <c r="B1032" t="s">
        <v>108</v>
      </c>
      <c r="C1032" t="s">
        <v>1077</v>
      </c>
      <c r="D1032" t="s">
        <v>1271</v>
      </c>
      <c r="F1032">
        <v>600</v>
      </c>
    </row>
    <row r="1033" spans="1:6" hidden="1" x14ac:dyDescent="0.25">
      <c r="A1033">
        <v>3341166</v>
      </c>
      <c r="B1033" t="s">
        <v>114</v>
      </c>
      <c r="C1033" t="s">
        <v>988</v>
      </c>
      <c r="D1033" t="s">
        <v>1271</v>
      </c>
      <c r="F1033">
        <v>590</v>
      </c>
    </row>
    <row r="1034" spans="1:6" hidden="1" x14ac:dyDescent="0.25">
      <c r="A1034">
        <v>3342301</v>
      </c>
      <c r="B1034" t="s">
        <v>412</v>
      </c>
      <c r="C1034" t="s">
        <v>988</v>
      </c>
      <c r="D1034" t="s">
        <v>1271</v>
      </c>
      <c r="F1034">
        <v>590</v>
      </c>
    </row>
    <row r="1035" spans="1:6" hidden="1" x14ac:dyDescent="0.25">
      <c r="A1035">
        <v>3342297</v>
      </c>
      <c r="B1035" t="s">
        <v>330</v>
      </c>
      <c r="C1035" t="s">
        <v>988</v>
      </c>
      <c r="D1035" t="s">
        <v>1271</v>
      </c>
      <c r="F1035">
        <v>590</v>
      </c>
    </row>
    <row r="1036" spans="1:6" hidden="1" x14ac:dyDescent="0.25">
      <c r="A1036">
        <v>3342266</v>
      </c>
      <c r="B1036" t="s">
        <v>102</v>
      </c>
      <c r="C1036" t="s">
        <v>988</v>
      </c>
      <c r="D1036" t="s">
        <v>1271</v>
      </c>
      <c r="F1036">
        <v>510</v>
      </c>
    </row>
    <row r="1037" spans="1:6" hidden="1" x14ac:dyDescent="0.25">
      <c r="A1037">
        <v>3341232</v>
      </c>
      <c r="B1037" t="s">
        <v>395</v>
      </c>
      <c r="C1037" t="s">
        <v>988</v>
      </c>
      <c r="D1037" t="s">
        <v>1271</v>
      </c>
      <c r="F1037">
        <v>480</v>
      </c>
    </row>
    <row r="1038" spans="1:6" hidden="1" x14ac:dyDescent="0.25">
      <c r="A1038">
        <v>3342235</v>
      </c>
      <c r="B1038" t="s">
        <v>130</v>
      </c>
      <c r="C1038" t="s">
        <v>988</v>
      </c>
      <c r="D1038" t="s">
        <v>1271</v>
      </c>
      <c r="F1038">
        <v>530</v>
      </c>
    </row>
    <row r="1039" spans="1:6" hidden="1" x14ac:dyDescent="0.25">
      <c r="A1039">
        <v>3342212</v>
      </c>
      <c r="B1039" t="s">
        <v>411</v>
      </c>
      <c r="C1039" t="s">
        <v>988</v>
      </c>
      <c r="D1039" t="s">
        <v>1271</v>
      </c>
      <c r="F1039">
        <v>550</v>
      </c>
    </row>
    <row r="1040" spans="1:6" hidden="1" x14ac:dyDescent="0.25">
      <c r="A1040">
        <v>3341247</v>
      </c>
      <c r="B1040" t="s">
        <v>396</v>
      </c>
      <c r="C1040" t="s">
        <v>988</v>
      </c>
      <c r="D1040" t="s">
        <v>1271</v>
      </c>
      <c r="F1040">
        <v>480</v>
      </c>
    </row>
    <row r="1041" spans="1:6" hidden="1" x14ac:dyDescent="0.25">
      <c r="A1041">
        <v>3341143</v>
      </c>
      <c r="B1041" t="s">
        <v>23</v>
      </c>
      <c r="C1041" t="s">
        <v>988</v>
      </c>
      <c r="D1041" t="s">
        <v>1271</v>
      </c>
      <c r="F1041">
        <v>580</v>
      </c>
    </row>
    <row r="1042" spans="1:6" hidden="1" x14ac:dyDescent="0.25">
      <c r="A1042">
        <v>3341151</v>
      </c>
      <c r="B1042" t="s">
        <v>45</v>
      </c>
      <c r="C1042" t="s">
        <v>988</v>
      </c>
      <c r="D1042" t="s">
        <v>1271</v>
      </c>
      <c r="F1042">
        <v>580</v>
      </c>
    </row>
    <row r="1043" spans="1:6" hidden="1" x14ac:dyDescent="0.25">
      <c r="A1043">
        <v>3341182</v>
      </c>
      <c r="B1043" t="s">
        <v>398</v>
      </c>
      <c r="C1043" t="s">
        <v>988</v>
      </c>
      <c r="D1043" t="s">
        <v>1271</v>
      </c>
      <c r="F1043">
        <v>450</v>
      </c>
    </row>
    <row r="1044" spans="1:6" hidden="1" x14ac:dyDescent="0.25">
      <c r="A1044">
        <v>3342491</v>
      </c>
      <c r="B1044" t="s">
        <v>414</v>
      </c>
      <c r="C1044" t="s">
        <v>988</v>
      </c>
      <c r="D1044" t="s">
        <v>1271</v>
      </c>
      <c r="F1044">
        <v>435</v>
      </c>
    </row>
    <row r="1045" spans="1:6" hidden="1" x14ac:dyDescent="0.25">
      <c r="A1045">
        <v>3342421</v>
      </c>
      <c r="B1045" t="s">
        <v>415</v>
      </c>
      <c r="C1045" t="s">
        <v>988</v>
      </c>
      <c r="D1045" t="s">
        <v>1271</v>
      </c>
      <c r="F1045">
        <v>400</v>
      </c>
    </row>
    <row r="1046" spans="1:6" hidden="1" x14ac:dyDescent="0.25">
      <c r="A1046">
        <v>3342533</v>
      </c>
      <c r="B1046" t="s">
        <v>418</v>
      </c>
      <c r="C1046" t="s">
        <v>988</v>
      </c>
      <c r="D1046" t="s">
        <v>1271</v>
      </c>
      <c r="F1046">
        <v>400</v>
      </c>
    </row>
    <row r="1047" spans="1:6" hidden="1" x14ac:dyDescent="0.25">
      <c r="A1047">
        <v>3342483</v>
      </c>
      <c r="B1047" t="s">
        <v>419</v>
      </c>
      <c r="C1047" t="s">
        <v>988</v>
      </c>
      <c r="D1047" t="s">
        <v>1271</v>
      </c>
      <c r="F1047">
        <v>550</v>
      </c>
    </row>
    <row r="1048" spans="1:6" hidden="1" x14ac:dyDescent="0.25">
      <c r="A1048">
        <v>3342413</v>
      </c>
      <c r="B1048" t="s">
        <v>420</v>
      </c>
      <c r="C1048" t="s">
        <v>988</v>
      </c>
      <c r="D1048" t="s">
        <v>1271</v>
      </c>
      <c r="F1048">
        <v>500</v>
      </c>
    </row>
    <row r="1049" spans="1:6" hidden="1" x14ac:dyDescent="0.25">
      <c r="A1049">
        <v>3342436</v>
      </c>
      <c r="B1049" t="s">
        <v>423</v>
      </c>
      <c r="C1049" t="s">
        <v>988</v>
      </c>
      <c r="D1049" t="s">
        <v>1271</v>
      </c>
      <c r="F1049">
        <v>490</v>
      </c>
    </row>
    <row r="1050" spans="1:6" hidden="1" x14ac:dyDescent="0.25">
      <c r="A1050">
        <v>3342405</v>
      </c>
      <c r="B1050" t="s">
        <v>426</v>
      </c>
      <c r="C1050" t="s">
        <v>988</v>
      </c>
      <c r="D1050" t="s">
        <v>1271</v>
      </c>
      <c r="F1050">
        <v>520</v>
      </c>
    </row>
    <row r="1051" spans="1:6" hidden="1" x14ac:dyDescent="0.25">
      <c r="A1051">
        <v>3342444</v>
      </c>
      <c r="B1051" t="s">
        <v>425</v>
      </c>
      <c r="C1051" t="s">
        <v>988</v>
      </c>
      <c r="D1051" t="s">
        <v>1271</v>
      </c>
      <c r="F1051">
        <v>480</v>
      </c>
    </row>
    <row r="1052" spans="1:6" hidden="1" x14ac:dyDescent="0.25">
      <c r="A1052">
        <v>1311113</v>
      </c>
      <c r="B1052" t="s">
        <v>64</v>
      </c>
      <c r="C1052" t="s">
        <v>868</v>
      </c>
      <c r="D1052" t="s">
        <v>1271</v>
      </c>
      <c r="F1052">
        <v>550</v>
      </c>
    </row>
    <row r="1053" spans="1:6" hidden="1" x14ac:dyDescent="0.25">
      <c r="A1053">
        <v>7211062</v>
      </c>
      <c r="B1053" t="s">
        <v>53</v>
      </c>
      <c r="C1053" t="s">
        <v>1057</v>
      </c>
      <c r="D1053" t="s">
        <v>1271</v>
      </c>
      <c r="F1053">
        <v>550</v>
      </c>
    </row>
    <row r="1054" spans="1:6" hidden="1" x14ac:dyDescent="0.25">
      <c r="A1054">
        <v>3421082</v>
      </c>
      <c r="B1054" t="s">
        <v>107</v>
      </c>
      <c r="C1054" t="s">
        <v>992</v>
      </c>
      <c r="D1054" t="s">
        <v>1271</v>
      </c>
      <c r="F1054">
        <v>570</v>
      </c>
    </row>
    <row r="1055" spans="1:6" hidden="1" x14ac:dyDescent="0.25">
      <c r="A1055">
        <v>3421027</v>
      </c>
      <c r="B1055" t="s">
        <v>67</v>
      </c>
      <c r="C1055" t="s">
        <v>992</v>
      </c>
      <c r="D1055" t="s">
        <v>1271</v>
      </c>
      <c r="F1055">
        <v>520</v>
      </c>
    </row>
    <row r="1056" spans="1:6" hidden="1" x14ac:dyDescent="0.25">
      <c r="A1056">
        <v>3422031</v>
      </c>
      <c r="B1056" t="s">
        <v>72</v>
      </c>
      <c r="C1056" t="s">
        <v>992</v>
      </c>
      <c r="D1056" t="s">
        <v>1271</v>
      </c>
      <c r="F1056">
        <v>420</v>
      </c>
    </row>
    <row r="1057" spans="1:6" hidden="1" x14ac:dyDescent="0.25">
      <c r="A1057">
        <v>3421012</v>
      </c>
      <c r="B1057" t="s">
        <v>44</v>
      </c>
      <c r="C1057" t="s">
        <v>992</v>
      </c>
      <c r="D1057" t="s">
        <v>1271</v>
      </c>
      <c r="F1057">
        <v>580</v>
      </c>
    </row>
    <row r="1058" spans="1:6" hidden="1" x14ac:dyDescent="0.25">
      <c r="A1058">
        <v>3421066</v>
      </c>
      <c r="B1058" t="s">
        <v>48</v>
      </c>
      <c r="C1058" t="s">
        <v>992</v>
      </c>
      <c r="D1058" t="s">
        <v>1271</v>
      </c>
      <c r="F1058">
        <v>590</v>
      </c>
    </row>
    <row r="1059" spans="1:6" hidden="1" x14ac:dyDescent="0.25">
      <c r="A1059">
        <v>3421074</v>
      </c>
      <c r="B1059" t="s">
        <v>50</v>
      </c>
      <c r="C1059" t="s">
        <v>992</v>
      </c>
      <c r="D1059" t="s">
        <v>1271</v>
      </c>
      <c r="F1059">
        <v>600</v>
      </c>
    </row>
    <row r="1060" spans="1:6" hidden="1" x14ac:dyDescent="0.25">
      <c r="A1060">
        <v>3312027</v>
      </c>
      <c r="B1060" t="s">
        <v>61</v>
      </c>
      <c r="C1060" t="s">
        <v>996</v>
      </c>
      <c r="D1060" t="s">
        <v>1271</v>
      </c>
      <c r="F1060">
        <v>600</v>
      </c>
    </row>
    <row r="1061" spans="1:6" hidden="1" x14ac:dyDescent="0.25">
      <c r="A1061">
        <v>1711381</v>
      </c>
      <c r="B1061" t="s">
        <v>113</v>
      </c>
      <c r="C1061" t="s">
        <v>906</v>
      </c>
      <c r="D1061" t="s">
        <v>1271</v>
      </c>
      <c r="F1061">
        <v>600</v>
      </c>
    </row>
    <row r="1062" spans="1:6" hidden="1" x14ac:dyDescent="0.25">
      <c r="A1062">
        <v>1712024</v>
      </c>
      <c r="B1062" t="s">
        <v>31</v>
      </c>
      <c r="C1062" t="s">
        <v>906</v>
      </c>
      <c r="D1062" t="s">
        <v>1271</v>
      </c>
      <c r="F1062">
        <v>580</v>
      </c>
    </row>
    <row r="1063" spans="1:6" hidden="1" x14ac:dyDescent="0.25">
      <c r="A1063">
        <v>1711253</v>
      </c>
      <c r="B1063" t="s">
        <v>78</v>
      </c>
      <c r="C1063" t="s">
        <v>906</v>
      </c>
      <c r="D1063" t="s">
        <v>1271</v>
      </c>
      <c r="F1063">
        <v>610</v>
      </c>
    </row>
    <row r="1064" spans="1:6" hidden="1" x14ac:dyDescent="0.25">
      <c r="A1064">
        <v>3111061</v>
      </c>
      <c r="B1064" t="s">
        <v>54</v>
      </c>
      <c r="C1064" t="s">
        <v>1043</v>
      </c>
      <c r="D1064" t="s">
        <v>1271</v>
      </c>
      <c r="F1064">
        <v>610</v>
      </c>
    </row>
    <row r="1065" spans="1:6" hidden="1" x14ac:dyDescent="0.25">
      <c r="A1065">
        <v>1211201</v>
      </c>
      <c r="B1065" t="s">
        <v>78</v>
      </c>
      <c r="C1065" t="s">
        <v>827</v>
      </c>
      <c r="D1065" t="s">
        <v>1271</v>
      </c>
      <c r="F1065">
        <v>600</v>
      </c>
    </row>
    <row r="1066" spans="1:6" hidden="1" x14ac:dyDescent="0.25">
      <c r="A1066">
        <v>1212065</v>
      </c>
      <c r="B1066" t="s">
        <v>147</v>
      </c>
      <c r="C1066" t="s">
        <v>827</v>
      </c>
      <c r="D1066" t="s">
        <v>1271</v>
      </c>
      <c r="F1066">
        <v>590</v>
      </c>
    </row>
    <row r="1067" spans="1:6" hidden="1" x14ac:dyDescent="0.25">
      <c r="A1067">
        <v>6111231</v>
      </c>
      <c r="B1067" t="s">
        <v>40</v>
      </c>
      <c r="C1067" t="s">
        <v>1046</v>
      </c>
      <c r="D1067" t="s">
        <v>1271</v>
      </c>
      <c r="F1067">
        <v>550</v>
      </c>
    </row>
  </sheetData>
  <sheetProtection algorithmName="SHA-512" hashValue="Y4neBzDes29G6z5KyfEBt/l1atAkdLwm3CDwbtYukDcLw7+LQSJdGjS4963KpTpeHuusPir7VzH1HIFm0K4prw==" saltValue="h5gQRWTAvJQ1NBcJxMnPgQ==" spinCount="100000" sheet="1" objects="1" scenarios="1"/>
  <autoFilter ref="A1:F1067">
    <filterColumn colId="2">
      <filters>
        <filter val="UNIVERSITAS PADJADJARAN"/>
        <filter val="UNPAD"/>
      </filters>
    </filterColumn>
  </autoFilter>
  <pageMargins left="0.7" right="0.7" top="0.75" bottom="0.75" header="0.3" footer="0.3"/>
  <pageSetup paperSize="1000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506"/>
  <sheetViews>
    <sheetView workbookViewId="0">
      <pane xSplit="4" ySplit="5" topLeftCell="E441" activePane="bottomRight" state="frozen"/>
      <selection pane="topRight" activeCell="E1" sqref="E1"/>
      <selection pane="bottomLeft" activeCell="A6" sqref="A6"/>
      <selection pane="bottomRight" activeCell="G459" sqref="G459"/>
    </sheetView>
  </sheetViews>
  <sheetFormatPr defaultRowHeight="15" x14ac:dyDescent="0.25"/>
  <cols>
    <col min="1" max="1" width="4" style="109" bestFit="1" customWidth="1"/>
    <col min="2" max="2" width="36.5703125" style="21" customWidth="1"/>
    <col min="3" max="3" width="11.85546875" style="109" bestFit="1" customWidth="1"/>
    <col min="4" max="4" width="14" style="21" customWidth="1"/>
    <col min="5" max="8" width="8.28515625" style="110" customWidth="1"/>
  </cols>
  <sheetData>
    <row r="3" spans="1:12" x14ac:dyDescent="0.25">
      <c r="A3" s="135" t="s">
        <v>1293</v>
      </c>
      <c r="B3" s="135"/>
      <c r="C3" s="135"/>
      <c r="D3" s="135"/>
      <c r="E3" s="135"/>
      <c r="F3" s="135"/>
      <c r="G3" s="135"/>
      <c r="H3" s="135"/>
      <c r="K3" s="136" t="s">
        <v>1580</v>
      </c>
      <c r="L3" s="137"/>
    </row>
    <row r="4" spans="1:12" x14ac:dyDescent="0.25">
      <c r="A4" s="97" t="s">
        <v>753</v>
      </c>
      <c r="B4" s="97" t="s">
        <v>748</v>
      </c>
      <c r="C4" s="97" t="s">
        <v>1294</v>
      </c>
      <c r="D4" s="97" t="s">
        <v>1295</v>
      </c>
      <c r="E4" s="98" t="s">
        <v>1073</v>
      </c>
      <c r="F4" s="98" t="s">
        <v>1296</v>
      </c>
      <c r="G4" s="98" t="s">
        <v>1297</v>
      </c>
      <c r="H4" s="98" t="s">
        <v>1298</v>
      </c>
      <c r="I4" s="99" t="s">
        <v>1299</v>
      </c>
      <c r="J4" s="99" t="s">
        <v>1300</v>
      </c>
      <c r="K4" s="99" t="s">
        <v>1299</v>
      </c>
      <c r="L4" s="99" t="s">
        <v>1300</v>
      </c>
    </row>
    <row r="5" spans="1:12" x14ac:dyDescent="0.25">
      <c r="A5" s="100">
        <v>1</v>
      </c>
      <c r="B5" s="101" t="s">
        <v>933</v>
      </c>
      <c r="C5" s="100">
        <v>3211015</v>
      </c>
      <c r="D5" s="101" t="s">
        <v>1301</v>
      </c>
      <c r="E5" s="102">
        <v>747.93</v>
      </c>
      <c r="F5" s="102">
        <v>19.63</v>
      </c>
      <c r="G5" s="102">
        <v>724.38</v>
      </c>
      <c r="H5" s="102">
        <v>798.55</v>
      </c>
      <c r="I5" s="103">
        <f>E5+0.5*F5</f>
        <v>757.745</v>
      </c>
      <c r="J5" s="103">
        <f>E5-0.5*F5</f>
        <v>738.1149999999999</v>
      </c>
      <c r="K5" s="103">
        <v>757.745</v>
      </c>
      <c r="L5" s="103">
        <v>738.1149999999999</v>
      </c>
    </row>
    <row r="6" spans="1:12" x14ac:dyDescent="0.25">
      <c r="A6" s="100">
        <v>2</v>
      </c>
      <c r="B6" s="101" t="s">
        <v>1034</v>
      </c>
      <c r="C6" s="100">
        <v>3811014</v>
      </c>
      <c r="D6" s="101" t="s">
        <v>1301</v>
      </c>
      <c r="E6" s="102">
        <v>726.94</v>
      </c>
      <c r="F6" s="102">
        <v>21.29</v>
      </c>
      <c r="G6" s="102">
        <v>702.54</v>
      </c>
      <c r="H6" s="102">
        <v>808.01</v>
      </c>
      <c r="I6" s="103">
        <f t="shared" ref="I6:I69" si="0">E6+0.5*F6</f>
        <v>737.58500000000004</v>
      </c>
      <c r="J6" s="103">
        <f t="shared" ref="J6:J69" si="1">E6-0.5*F6</f>
        <v>716.29500000000007</v>
      </c>
      <c r="K6" s="103">
        <v>737.58500000000004</v>
      </c>
      <c r="L6" s="103">
        <v>716.29500000000007</v>
      </c>
    </row>
    <row r="7" spans="1:12" x14ac:dyDescent="0.25">
      <c r="A7" s="100">
        <v>3</v>
      </c>
      <c r="B7" s="101" t="s">
        <v>984</v>
      </c>
      <c r="C7" s="100">
        <v>3331013</v>
      </c>
      <c r="D7" s="101" t="s">
        <v>1301</v>
      </c>
      <c r="E7" s="102">
        <v>717.94</v>
      </c>
      <c r="F7" s="102">
        <v>18.690000000000001</v>
      </c>
      <c r="G7" s="102">
        <v>694.17</v>
      </c>
      <c r="H7" s="102">
        <v>780.52</v>
      </c>
      <c r="I7" s="103">
        <f t="shared" si="0"/>
        <v>727.28500000000008</v>
      </c>
      <c r="J7" s="103">
        <f t="shared" si="1"/>
        <v>708.59500000000003</v>
      </c>
      <c r="K7" s="103">
        <v>727.28500000000008</v>
      </c>
      <c r="L7" s="103">
        <v>708.59500000000003</v>
      </c>
    </row>
    <row r="8" spans="1:12" x14ac:dyDescent="0.25">
      <c r="A8" s="100">
        <v>4</v>
      </c>
      <c r="B8" s="101" t="s">
        <v>1029</v>
      </c>
      <c r="C8" s="100">
        <v>3611066</v>
      </c>
      <c r="D8" s="101" t="s">
        <v>236</v>
      </c>
      <c r="E8" s="102">
        <v>725.21</v>
      </c>
      <c r="F8" s="102">
        <v>27.08</v>
      </c>
      <c r="G8" s="102">
        <v>689.05</v>
      </c>
      <c r="H8" s="102">
        <v>809.84</v>
      </c>
      <c r="I8" s="103">
        <f t="shared" si="0"/>
        <v>738.75</v>
      </c>
      <c r="J8" s="103">
        <f t="shared" si="1"/>
        <v>711.67000000000007</v>
      </c>
      <c r="K8" s="103">
        <v>738.75</v>
      </c>
      <c r="L8" s="103">
        <v>711.67000000000007</v>
      </c>
    </row>
    <row r="9" spans="1:12" x14ac:dyDescent="0.25">
      <c r="A9" s="100">
        <v>5</v>
      </c>
      <c r="B9" s="101" t="s">
        <v>933</v>
      </c>
      <c r="C9" s="100">
        <v>3211166</v>
      </c>
      <c r="D9" s="101" t="s">
        <v>111</v>
      </c>
      <c r="E9" s="102">
        <v>715.41</v>
      </c>
      <c r="F9" s="102">
        <v>24.13</v>
      </c>
      <c r="G9" s="102">
        <v>685.96</v>
      </c>
      <c r="H9" s="102">
        <v>798.66</v>
      </c>
      <c r="I9" s="103">
        <f t="shared" si="0"/>
        <v>727.47500000000002</v>
      </c>
      <c r="J9" s="103">
        <f t="shared" si="1"/>
        <v>703.34499999999991</v>
      </c>
      <c r="K9" s="103">
        <v>727.47500000000002</v>
      </c>
      <c r="L9" s="103">
        <v>703.34499999999991</v>
      </c>
    </row>
    <row r="10" spans="1:12" x14ac:dyDescent="0.25">
      <c r="A10" s="100">
        <v>6</v>
      </c>
      <c r="B10" s="101" t="s">
        <v>1004</v>
      </c>
      <c r="C10" s="100">
        <v>3551027</v>
      </c>
      <c r="D10" s="101" t="s">
        <v>236</v>
      </c>
      <c r="E10" s="102">
        <v>709.46</v>
      </c>
      <c r="F10" s="102">
        <v>18.05</v>
      </c>
      <c r="G10" s="102">
        <v>685.77</v>
      </c>
      <c r="H10" s="102">
        <v>770.48</v>
      </c>
      <c r="I10" s="103">
        <f t="shared" si="0"/>
        <v>718.48500000000001</v>
      </c>
      <c r="J10" s="103">
        <f t="shared" si="1"/>
        <v>700.43500000000006</v>
      </c>
      <c r="K10" s="103">
        <v>718.48500000000001</v>
      </c>
      <c r="L10" s="103">
        <v>700.43500000000006</v>
      </c>
    </row>
    <row r="11" spans="1:12" x14ac:dyDescent="0.25">
      <c r="A11" s="100">
        <v>7</v>
      </c>
      <c r="B11" s="101" t="s">
        <v>968</v>
      </c>
      <c r="C11" s="100">
        <v>3321073</v>
      </c>
      <c r="D11" s="101" t="s">
        <v>1302</v>
      </c>
      <c r="E11" s="102">
        <v>716.69</v>
      </c>
      <c r="F11" s="102">
        <v>23.24</v>
      </c>
      <c r="G11" s="102">
        <v>684.45</v>
      </c>
      <c r="H11" s="102">
        <v>798.31</v>
      </c>
      <c r="I11" s="103">
        <f t="shared" si="0"/>
        <v>728.31000000000006</v>
      </c>
      <c r="J11" s="103">
        <f t="shared" si="1"/>
        <v>705.07</v>
      </c>
      <c r="K11" s="103">
        <v>728.31000000000006</v>
      </c>
      <c r="L11" s="103">
        <v>705.07</v>
      </c>
    </row>
    <row r="12" spans="1:12" x14ac:dyDescent="0.25">
      <c r="A12" s="100">
        <v>8</v>
      </c>
      <c r="B12" s="101" t="s">
        <v>1035</v>
      </c>
      <c r="C12" s="100">
        <v>3271085</v>
      </c>
      <c r="D12" s="101" t="s">
        <v>41</v>
      </c>
      <c r="E12" s="102">
        <v>704.59</v>
      </c>
      <c r="F12" s="102">
        <v>17.39</v>
      </c>
      <c r="G12" s="102">
        <v>682.85</v>
      </c>
      <c r="H12" s="102">
        <v>769.4</v>
      </c>
      <c r="I12" s="103">
        <f t="shared" si="0"/>
        <v>713.28500000000008</v>
      </c>
      <c r="J12" s="103">
        <f t="shared" si="1"/>
        <v>695.89499999999998</v>
      </c>
      <c r="K12" s="103">
        <v>713.28500000000008</v>
      </c>
      <c r="L12" s="103">
        <v>695.89499999999998</v>
      </c>
    </row>
    <row r="13" spans="1:12" x14ac:dyDescent="0.25">
      <c r="A13" s="100">
        <v>9</v>
      </c>
      <c r="B13" s="101" t="s">
        <v>933</v>
      </c>
      <c r="C13" s="100">
        <v>3211313</v>
      </c>
      <c r="D13" s="101" t="s">
        <v>288</v>
      </c>
      <c r="E13" s="102">
        <v>716.32</v>
      </c>
      <c r="F13" s="102">
        <v>29.35</v>
      </c>
      <c r="G13" s="102">
        <v>681.72</v>
      </c>
      <c r="H13" s="102">
        <v>782.33</v>
      </c>
      <c r="I13" s="103">
        <f t="shared" si="0"/>
        <v>730.995</v>
      </c>
      <c r="J13" s="103">
        <f t="shared" si="1"/>
        <v>701.6450000000001</v>
      </c>
      <c r="K13" s="103">
        <v>730.995</v>
      </c>
      <c r="L13" s="103">
        <v>701.6450000000001</v>
      </c>
    </row>
    <row r="14" spans="1:12" x14ac:dyDescent="0.25">
      <c r="A14" s="100">
        <v>10</v>
      </c>
      <c r="B14" s="101" t="s">
        <v>968</v>
      </c>
      <c r="C14" s="100">
        <v>3321081</v>
      </c>
      <c r="D14" s="101" t="s">
        <v>1080</v>
      </c>
      <c r="E14" s="102">
        <v>710.97</v>
      </c>
      <c r="F14" s="102">
        <v>23.27</v>
      </c>
      <c r="G14" s="102">
        <v>680.99</v>
      </c>
      <c r="H14" s="102">
        <v>772.1</v>
      </c>
      <c r="I14" s="103">
        <f t="shared" si="0"/>
        <v>722.60500000000002</v>
      </c>
      <c r="J14" s="103">
        <f t="shared" si="1"/>
        <v>699.33500000000004</v>
      </c>
      <c r="K14" s="103">
        <v>722.60500000000002</v>
      </c>
      <c r="L14" s="103">
        <v>699.33500000000004</v>
      </c>
    </row>
    <row r="15" spans="1:12" x14ac:dyDescent="0.25">
      <c r="A15" s="100">
        <v>11</v>
      </c>
      <c r="B15" s="101" t="s">
        <v>1020</v>
      </c>
      <c r="C15" s="100">
        <v>3531015</v>
      </c>
      <c r="D15" s="101" t="s">
        <v>236</v>
      </c>
      <c r="E15" s="102">
        <v>701.21</v>
      </c>
      <c r="F15" s="102">
        <v>16.170000000000002</v>
      </c>
      <c r="G15" s="102">
        <v>680.23</v>
      </c>
      <c r="H15" s="102">
        <v>762.85</v>
      </c>
      <c r="I15" s="103">
        <f t="shared" si="0"/>
        <v>709.29500000000007</v>
      </c>
      <c r="J15" s="103">
        <f t="shared" si="1"/>
        <v>693.125</v>
      </c>
      <c r="K15" s="103">
        <v>709.29500000000007</v>
      </c>
      <c r="L15" s="103">
        <v>693.125</v>
      </c>
    </row>
    <row r="16" spans="1:12" x14ac:dyDescent="0.25">
      <c r="A16" s="100">
        <v>12</v>
      </c>
      <c r="B16" s="101" t="s">
        <v>968</v>
      </c>
      <c r="C16" s="100">
        <v>3321096</v>
      </c>
      <c r="D16" s="101" t="s">
        <v>367</v>
      </c>
      <c r="E16" s="102">
        <v>710.29</v>
      </c>
      <c r="F16" s="102">
        <v>24.81</v>
      </c>
      <c r="G16" s="102">
        <v>676.94</v>
      </c>
      <c r="H16" s="102">
        <v>785.42</v>
      </c>
      <c r="I16" s="103">
        <f t="shared" si="0"/>
        <v>722.69499999999994</v>
      </c>
      <c r="J16" s="103">
        <f t="shared" si="1"/>
        <v>697.88499999999999</v>
      </c>
      <c r="K16" s="103">
        <v>722.69499999999994</v>
      </c>
      <c r="L16" s="103">
        <v>697.88499999999999</v>
      </c>
    </row>
    <row r="17" spans="1:12" x14ac:dyDescent="0.25">
      <c r="A17" s="100">
        <v>13</v>
      </c>
      <c r="B17" s="101" t="s">
        <v>1012</v>
      </c>
      <c r="C17" s="100">
        <v>3511107</v>
      </c>
      <c r="D17" s="101" t="s">
        <v>41</v>
      </c>
      <c r="E17" s="102">
        <v>688.84</v>
      </c>
      <c r="F17" s="102">
        <v>11.19</v>
      </c>
      <c r="G17" s="102">
        <v>675.34</v>
      </c>
      <c r="H17" s="102">
        <v>721</v>
      </c>
      <c r="I17" s="103">
        <f t="shared" si="0"/>
        <v>694.43500000000006</v>
      </c>
      <c r="J17" s="103">
        <f t="shared" si="1"/>
        <v>683.245</v>
      </c>
      <c r="K17" s="103">
        <v>694.43500000000006</v>
      </c>
      <c r="L17" s="103">
        <v>683.245</v>
      </c>
    </row>
    <row r="18" spans="1:12" x14ac:dyDescent="0.25">
      <c r="A18" s="100">
        <v>14</v>
      </c>
      <c r="B18" s="101" t="s">
        <v>1038</v>
      </c>
      <c r="C18" s="100">
        <v>3711133</v>
      </c>
      <c r="D18" s="101" t="s">
        <v>41</v>
      </c>
      <c r="E18" s="102">
        <v>688.27</v>
      </c>
      <c r="F18" s="102">
        <v>12.98</v>
      </c>
      <c r="G18" s="102">
        <v>674.73</v>
      </c>
      <c r="H18" s="102">
        <v>735.02</v>
      </c>
      <c r="I18" s="103">
        <f t="shared" si="0"/>
        <v>694.76</v>
      </c>
      <c r="J18" s="103">
        <f t="shared" si="1"/>
        <v>681.78</v>
      </c>
      <c r="K18" s="103">
        <v>694.76</v>
      </c>
      <c r="L18" s="103">
        <v>681.78</v>
      </c>
    </row>
    <row r="19" spans="1:12" x14ac:dyDescent="0.25">
      <c r="A19" s="100">
        <v>15</v>
      </c>
      <c r="B19" s="101" t="s">
        <v>1046</v>
      </c>
      <c r="C19" s="100">
        <v>6111014</v>
      </c>
      <c r="D19" s="101" t="s">
        <v>41</v>
      </c>
      <c r="E19" s="102">
        <v>691.51</v>
      </c>
      <c r="F19" s="102">
        <v>17.88</v>
      </c>
      <c r="G19" s="102">
        <v>674.04</v>
      </c>
      <c r="H19" s="102">
        <v>754.71</v>
      </c>
      <c r="I19" s="103">
        <f t="shared" si="0"/>
        <v>700.45</v>
      </c>
      <c r="J19" s="103">
        <f t="shared" si="1"/>
        <v>682.56999999999994</v>
      </c>
      <c r="K19" s="103">
        <v>700.45</v>
      </c>
      <c r="L19" s="103">
        <v>682.56999999999994</v>
      </c>
    </row>
    <row r="20" spans="1:12" x14ac:dyDescent="0.25">
      <c r="A20" s="100">
        <v>16</v>
      </c>
      <c r="B20" s="101" t="s">
        <v>1029</v>
      </c>
      <c r="C20" s="100">
        <v>3611194</v>
      </c>
      <c r="D20" s="101" t="s">
        <v>90</v>
      </c>
      <c r="E20" s="102">
        <v>688.41</v>
      </c>
      <c r="F20" s="102">
        <v>16.739999999999998</v>
      </c>
      <c r="G20" s="102">
        <v>669.68</v>
      </c>
      <c r="H20" s="102">
        <v>740.11</v>
      </c>
      <c r="I20" s="103">
        <f t="shared" si="0"/>
        <v>696.78</v>
      </c>
      <c r="J20" s="103">
        <f t="shared" si="1"/>
        <v>680.04</v>
      </c>
      <c r="K20" s="103">
        <v>696.78</v>
      </c>
      <c r="L20" s="103">
        <v>680.04</v>
      </c>
    </row>
    <row r="21" spans="1:12" x14ac:dyDescent="0.25">
      <c r="A21" s="100">
        <v>17</v>
      </c>
      <c r="B21" s="101" t="s">
        <v>1029</v>
      </c>
      <c r="C21" s="100">
        <v>3611503</v>
      </c>
      <c r="D21" s="101" t="s">
        <v>485</v>
      </c>
      <c r="E21" s="102">
        <v>685.55</v>
      </c>
      <c r="F21" s="102">
        <v>18.22</v>
      </c>
      <c r="G21" s="102">
        <v>665.53</v>
      </c>
      <c r="H21" s="102">
        <v>732.55</v>
      </c>
      <c r="I21" s="103">
        <f t="shared" si="0"/>
        <v>694.66</v>
      </c>
      <c r="J21" s="103">
        <f t="shared" si="1"/>
        <v>676.43999999999994</v>
      </c>
      <c r="K21" s="103">
        <v>694.66</v>
      </c>
      <c r="L21" s="103">
        <v>676.43999999999994</v>
      </c>
    </row>
    <row r="22" spans="1:12" x14ac:dyDescent="0.25">
      <c r="A22" s="100">
        <v>18</v>
      </c>
      <c r="B22" s="101" t="s">
        <v>968</v>
      </c>
      <c r="C22" s="100">
        <v>3321042</v>
      </c>
      <c r="D22" s="101" t="s">
        <v>1085</v>
      </c>
      <c r="E22" s="102">
        <v>693.77</v>
      </c>
      <c r="F22" s="102">
        <v>22.62</v>
      </c>
      <c r="G22" s="102">
        <v>665.04</v>
      </c>
      <c r="H22" s="102">
        <v>765.28</v>
      </c>
      <c r="I22" s="103">
        <f t="shared" si="0"/>
        <v>705.07999999999993</v>
      </c>
      <c r="J22" s="103">
        <f t="shared" si="1"/>
        <v>682.46</v>
      </c>
      <c r="K22" s="103">
        <v>705.07999999999993</v>
      </c>
      <c r="L22" s="103">
        <v>682.46</v>
      </c>
    </row>
    <row r="23" spans="1:12" x14ac:dyDescent="0.25">
      <c r="A23" s="100">
        <v>19</v>
      </c>
      <c r="B23" s="101" t="s">
        <v>968</v>
      </c>
      <c r="C23" s="100">
        <v>3321107</v>
      </c>
      <c r="D23" s="101" t="s">
        <v>1303</v>
      </c>
      <c r="E23" s="102">
        <v>693.39</v>
      </c>
      <c r="F23" s="102">
        <v>22.45</v>
      </c>
      <c r="G23" s="102">
        <v>664.66</v>
      </c>
      <c r="H23" s="102">
        <v>750.92</v>
      </c>
      <c r="I23" s="103">
        <f t="shared" si="0"/>
        <v>704.61500000000001</v>
      </c>
      <c r="J23" s="103">
        <f t="shared" si="1"/>
        <v>682.16499999999996</v>
      </c>
      <c r="K23" s="103">
        <v>704.61500000000001</v>
      </c>
      <c r="L23" s="103">
        <v>682.16499999999996</v>
      </c>
    </row>
    <row r="24" spans="1:12" x14ac:dyDescent="0.25">
      <c r="A24" s="100">
        <v>20</v>
      </c>
      <c r="B24" s="101" t="s">
        <v>968</v>
      </c>
      <c r="C24" s="100">
        <v>3821202</v>
      </c>
      <c r="D24" s="101" t="s">
        <v>80</v>
      </c>
      <c r="E24" s="102">
        <v>686.33</v>
      </c>
      <c r="F24" s="102">
        <v>20.38</v>
      </c>
      <c r="G24" s="102">
        <v>663.89</v>
      </c>
      <c r="H24" s="102">
        <v>757.62</v>
      </c>
      <c r="I24" s="103">
        <f t="shared" si="0"/>
        <v>696.5200000000001</v>
      </c>
      <c r="J24" s="103">
        <f t="shared" si="1"/>
        <v>676.14</v>
      </c>
      <c r="K24" s="103">
        <v>696.5200000000001</v>
      </c>
      <c r="L24" s="103">
        <v>676.14</v>
      </c>
    </row>
    <row r="25" spans="1:12" x14ac:dyDescent="0.25">
      <c r="A25" s="100">
        <v>21</v>
      </c>
      <c r="B25" s="101" t="s">
        <v>933</v>
      </c>
      <c r="C25" s="100">
        <v>3211232</v>
      </c>
      <c r="D25" s="101" t="s">
        <v>289</v>
      </c>
      <c r="E25" s="102">
        <v>681.69</v>
      </c>
      <c r="F25" s="102">
        <v>13.46</v>
      </c>
      <c r="G25" s="102">
        <v>663.43</v>
      </c>
      <c r="H25" s="102">
        <v>716.9</v>
      </c>
      <c r="I25" s="103">
        <f t="shared" si="0"/>
        <v>688.42000000000007</v>
      </c>
      <c r="J25" s="103">
        <f t="shared" si="1"/>
        <v>674.96</v>
      </c>
      <c r="K25" s="103">
        <v>688.42000000000007</v>
      </c>
      <c r="L25" s="103">
        <v>674.96</v>
      </c>
    </row>
    <row r="26" spans="1:12" x14ac:dyDescent="0.25">
      <c r="A26" s="100">
        <v>22</v>
      </c>
      <c r="B26" s="101" t="s">
        <v>1029</v>
      </c>
      <c r="C26" s="100">
        <v>3611492</v>
      </c>
      <c r="D26" s="101" t="s">
        <v>26</v>
      </c>
      <c r="E26" s="102">
        <v>685.93</v>
      </c>
      <c r="F26" s="102">
        <v>19.02</v>
      </c>
      <c r="G26" s="102">
        <v>663.3</v>
      </c>
      <c r="H26" s="102">
        <v>734.8</v>
      </c>
      <c r="I26" s="103">
        <f t="shared" si="0"/>
        <v>695.43999999999994</v>
      </c>
      <c r="J26" s="103">
        <f t="shared" si="1"/>
        <v>676.42</v>
      </c>
      <c r="K26" s="103">
        <v>695.43999999999994</v>
      </c>
      <c r="L26" s="103">
        <v>676.42</v>
      </c>
    </row>
    <row r="27" spans="1:12" x14ac:dyDescent="0.25">
      <c r="A27" s="100">
        <v>23</v>
      </c>
      <c r="B27" s="101" t="s">
        <v>933</v>
      </c>
      <c r="C27" s="100">
        <v>3211182</v>
      </c>
      <c r="D27" s="101" t="s">
        <v>49</v>
      </c>
      <c r="E27" s="102">
        <v>690.3</v>
      </c>
      <c r="F27" s="102">
        <v>19.63</v>
      </c>
      <c r="G27" s="102">
        <v>663.3</v>
      </c>
      <c r="H27" s="102">
        <v>734.8</v>
      </c>
      <c r="I27" s="103">
        <f t="shared" si="0"/>
        <v>700.11500000000001</v>
      </c>
      <c r="J27" s="103">
        <f t="shared" si="1"/>
        <v>680.4849999999999</v>
      </c>
      <c r="K27" s="103">
        <v>700.11500000000001</v>
      </c>
      <c r="L27" s="103">
        <v>680.4849999999999</v>
      </c>
    </row>
    <row r="28" spans="1:12" x14ac:dyDescent="0.25">
      <c r="A28" s="100">
        <v>24</v>
      </c>
      <c r="B28" s="101" t="s">
        <v>1029</v>
      </c>
      <c r="C28" s="100">
        <v>3611372</v>
      </c>
      <c r="D28" s="101" t="s">
        <v>51</v>
      </c>
      <c r="E28" s="102">
        <v>690.04</v>
      </c>
      <c r="F28" s="102">
        <v>22.55</v>
      </c>
      <c r="G28" s="102">
        <v>662.78</v>
      </c>
      <c r="H28" s="102">
        <v>775.68</v>
      </c>
      <c r="I28" s="103">
        <f t="shared" si="0"/>
        <v>701.31499999999994</v>
      </c>
      <c r="J28" s="103">
        <f t="shared" si="1"/>
        <v>678.76499999999999</v>
      </c>
      <c r="K28" s="103">
        <v>701.31499999999994</v>
      </c>
      <c r="L28" s="103">
        <v>678.76499999999999</v>
      </c>
    </row>
    <row r="29" spans="1:12" x14ac:dyDescent="0.25">
      <c r="A29" s="100">
        <v>25</v>
      </c>
      <c r="B29" s="101" t="s">
        <v>933</v>
      </c>
      <c r="C29" s="100">
        <v>3211127</v>
      </c>
      <c r="D29" s="101" t="s">
        <v>294</v>
      </c>
      <c r="E29" s="102">
        <v>686.28</v>
      </c>
      <c r="F29" s="102">
        <v>17.95</v>
      </c>
      <c r="G29" s="102">
        <v>662.72</v>
      </c>
      <c r="H29" s="102">
        <v>726.21</v>
      </c>
      <c r="I29" s="103">
        <f t="shared" si="0"/>
        <v>695.255</v>
      </c>
      <c r="J29" s="103">
        <f t="shared" si="1"/>
        <v>677.30499999999995</v>
      </c>
      <c r="K29" s="103">
        <v>695.255</v>
      </c>
      <c r="L29" s="103">
        <v>677.30499999999995</v>
      </c>
    </row>
    <row r="30" spans="1:12" x14ac:dyDescent="0.25">
      <c r="A30" s="100">
        <v>26</v>
      </c>
      <c r="B30" s="101" t="s">
        <v>1029</v>
      </c>
      <c r="C30" s="100">
        <v>3611097</v>
      </c>
      <c r="D30" s="101" t="s">
        <v>436</v>
      </c>
      <c r="E30" s="102">
        <v>684.03</v>
      </c>
      <c r="F30" s="102">
        <v>19.39</v>
      </c>
      <c r="G30" s="102">
        <v>662.28</v>
      </c>
      <c r="H30" s="102">
        <v>748.47</v>
      </c>
      <c r="I30" s="103">
        <f t="shared" si="0"/>
        <v>693.72500000000002</v>
      </c>
      <c r="J30" s="103">
        <f t="shared" si="1"/>
        <v>674.33499999999992</v>
      </c>
      <c r="K30" s="103">
        <v>693.72500000000002</v>
      </c>
      <c r="L30" s="103">
        <v>674.33499999999992</v>
      </c>
    </row>
    <row r="31" spans="1:12" x14ac:dyDescent="0.25">
      <c r="A31" s="100">
        <v>27</v>
      </c>
      <c r="B31" s="101" t="s">
        <v>1029</v>
      </c>
      <c r="C31" s="100">
        <v>3611186</v>
      </c>
      <c r="D31" s="101" t="s">
        <v>111</v>
      </c>
      <c r="E31" s="102">
        <v>678.96</v>
      </c>
      <c r="F31" s="102">
        <v>12.69</v>
      </c>
      <c r="G31" s="102">
        <v>662.13</v>
      </c>
      <c r="H31" s="102">
        <v>714.25</v>
      </c>
      <c r="I31" s="103">
        <f t="shared" si="0"/>
        <v>685.30500000000006</v>
      </c>
      <c r="J31" s="103">
        <f t="shared" si="1"/>
        <v>672.61500000000001</v>
      </c>
      <c r="K31" s="103">
        <v>685.30500000000006</v>
      </c>
      <c r="L31" s="103">
        <v>672.61500000000001</v>
      </c>
    </row>
    <row r="32" spans="1:12" x14ac:dyDescent="0.25">
      <c r="A32" s="100">
        <v>28</v>
      </c>
      <c r="B32" s="101" t="s">
        <v>933</v>
      </c>
      <c r="C32" s="100">
        <v>3211023</v>
      </c>
      <c r="D32" s="101" t="s">
        <v>85</v>
      </c>
      <c r="E32" s="102">
        <v>683.56</v>
      </c>
      <c r="F32" s="102">
        <v>21.14</v>
      </c>
      <c r="G32" s="102">
        <v>661.58</v>
      </c>
      <c r="H32" s="102">
        <v>741.96</v>
      </c>
      <c r="I32" s="103">
        <f t="shared" si="0"/>
        <v>694.13</v>
      </c>
      <c r="J32" s="103">
        <f t="shared" si="1"/>
        <v>672.9899999999999</v>
      </c>
      <c r="K32" s="103">
        <v>694.13</v>
      </c>
      <c r="L32" s="103">
        <v>672.9899999999999</v>
      </c>
    </row>
    <row r="33" spans="1:12" x14ac:dyDescent="0.25">
      <c r="A33" s="100">
        <v>29</v>
      </c>
      <c r="B33" s="101" t="s">
        <v>933</v>
      </c>
      <c r="C33" s="100">
        <v>3211093</v>
      </c>
      <c r="D33" s="101" t="s">
        <v>54</v>
      </c>
      <c r="E33" s="102">
        <v>687.76</v>
      </c>
      <c r="F33" s="102">
        <v>21.64</v>
      </c>
      <c r="G33" s="102">
        <v>661.36</v>
      </c>
      <c r="H33" s="102">
        <v>759.18</v>
      </c>
      <c r="I33" s="103">
        <f t="shared" si="0"/>
        <v>698.58</v>
      </c>
      <c r="J33" s="103">
        <f t="shared" si="1"/>
        <v>676.93999999999994</v>
      </c>
      <c r="K33" s="103">
        <v>698.58</v>
      </c>
      <c r="L33" s="103">
        <v>676.93999999999994</v>
      </c>
    </row>
    <row r="34" spans="1:12" x14ac:dyDescent="0.25">
      <c r="A34" s="100">
        <v>30</v>
      </c>
      <c r="B34" s="101" t="s">
        <v>933</v>
      </c>
      <c r="C34" s="100">
        <v>3211224</v>
      </c>
      <c r="D34" s="101" t="s">
        <v>46</v>
      </c>
      <c r="E34" s="102">
        <v>686.5</v>
      </c>
      <c r="F34" s="102">
        <v>17.690000000000001</v>
      </c>
      <c r="G34" s="102">
        <v>661.04</v>
      </c>
      <c r="H34" s="102">
        <v>733.93</v>
      </c>
      <c r="I34" s="103">
        <f t="shared" si="0"/>
        <v>695.34500000000003</v>
      </c>
      <c r="J34" s="103">
        <f t="shared" si="1"/>
        <v>677.65499999999997</v>
      </c>
      <c r="K34" s="103">
        <v>695.34500000000003</v>
      </c>
      <c r="L34" s="103">
        <v>677.65499999999997</v>
      </c>
    </row>
    <row r="35" spans="1:12" x14ac:dyDescent="0.25">
      <c r="A35" s="104">
        <v>31</v>
      </c>
      <c r="B35" s="105" t="s">
        <v>906</v>
      </c>
      <c r="C35" s="104">
        <v>1711067</v>
      </c>
      <c r="D35" s="105" t="s">
        <v>1304</v>
      </c>
      <c r="E35" s="106">
        <v>676.76</v>
      </c>
      <c r="F35" s="106">
        <v>13.28</v>
      </c>
      <c r="G35" s="106">
        <v>660.96</v>
      </c>
      <c r="H35" s="106">
        <v>764.86</v>
      </c>
      <c r="I35" s="103">
        <f t="shared" si="0"/>
        <v>683.4</v>
      </c>
      <c r="J35" s="103">
        <f t="shared" si="1"/>
        <v>670.12</v>
      </c>
      <c r="K35" s="103">
        <v>683.4</v>
      </c>
      <c r="L35" s="103">
        <v>670.12</v>
      </c>
    </row>
    <row r="36" spans="1:12" x14ac:dyDescent="0.25">
      <c r="A36" s="100">
        <v>32</v>
      </c>
      <c r="B36" s="107" t="s">
        <v>953</v>
      </c>
      <c r="C36" s="108">
        <v>3241061</v>
      </c>
      <c r="D36" s="107" t="s">
        <v>236</v>
      </c>
      <c r="E36" s="106">
        <v>678.13</v>
      </c>
      <c r="F36" s="106">
        <v>16.14</v>
      </c>
      <c r="G36" s="106">
        <v>660.69</v>
      </c>
      <c r="H36" s="106">
        <v>737.54</v>
      </c>
      <c r="I36" s="103">
        <f t="shared" si="0"/>
        <v>686.2</v>
      </c>
      <c r="J36" s="103">
        <f t="shared" si="1"/>
        <v>670.06</v>
      </c>
      <c r="K36" s="103">
        <v>686.2</v>
      </c>
      <c r="L36" s="103">
        <v>670.06</v>
      </c>
    </row>
    <row r="37" spans="1:12" x14ac:dyDescent="0.25">
      <c r="A37" s="104">
        <v>33</v>
      </c>
      <c r="B37" s="107" t="s">
        <v>933</v>
      </c>
      <c r="C37" s="108">
        <v>3211031</v>
      </c>
      <c r="D37" s="107" t="s">
        <v>66</v>
      </c>
      <c r="E37" s="106">
        <v>685.03</v>
      </c>
      <c r="F37" s="106">
        <v>22.56</v>
      </c>
      <c r="G37" s="106">
        <v>660.52</v>
      </c>
      <c r="H37" s="106">
        <v>745.11</v>
      </c>
      <c r="I37" s="103">
        <f t="shared" si="0"/>
        <v>696.31</v>
      </c>
      <c r="J37" s="103">
        <f t="shared" si="1"/>
        <v>673.75</v>
      </c>
      <c r="K37" s="103">
        <v>696.31</v>
      </c>
      <c r="L37" s="103">
        <v>673.75</v>
      </c>
    </row>
    <row r="38" spans="1:12" x14ac:dyDescent="0.25">
      <c r="A38" s="100">
        <v>34</v>
      </c>
      <c r="B38" s="107" t="s">
        <v>1029</v>
      </c>
      <c r="C38" s="108">
        <v>3611027</v>
      </c>
      <c r="D38" s="107" t="s">
        <v>77</v>
      </c>
      <c r="E38" s="106">
        <v>679.18</v>
      </c>
      <c r="F38" s="106">
        <v>17.82</v>
      </c>
      <c r="G38" s="106">
        <v>659.42</v>
      </c>
      <c r="H38" s="106">
        <v>760.88</v>
      </c>
      <c r="I38" s="103">
        <f t="shared" si="0"/>
        <v>688.08999999999992</v>
      </c>
      <c r="J38" s="103">
        <f t="shared" si="1"/>
        <v>670.27</v>
      </c>
      <c r="K38" s="103">
        <v>688.08999999999992</v>
      </c>
      <c r="L38" s="103">
        <v>670.27</v>
      </c>
    </row>
    <row r="39" spans="1:12" x14ac:dyDescent="0.25">
      <c r="A39" s="104">
        <v>35</v>
      </c>
      <c r="B39" s="107" t="s">
        <v>1029</v>
      </c>
      <c r="C39" s="108">
        <v>3611333</v>
      </c>
      <c r="D39" s="107" t="s">
        <v>1305</v>
      </c>
      <c r="E39" s="106">
        <v>678.19</v>
      </c>
      <c r="F39" s="106">
        <v>17.82</v>
      </c>
      <c r="G39" s="106">
        <v>659.2</v>
      </c>
      <c r="H39" s="106">
        <v>733.62</v>
      </c>
      <c r="I39" s="103">
        <f t="shared" si="0"/>
        <v>687.1</v>
      </c>
      <c r="J39" s="103">
        <f t="shared" si="1"/>
        <v>669.28000000000009</v>
      </c>
      <c r="K39" s="103">
        <v>687.1</v>
      </c>
      <c r="L39" s="103">
        <v>669.28000000000009</v>
      </c>
    </row>
    <row r="40" spans="1:12" x14ac:dyDescent="0.25">
      <c r="A40" s="100">
        <v>36</v>
      </c>
      <c r="B40" s="107" t="s">
        <v>1306</v>
      </c>
      <c r="C40" s="108">
        <v>1211015</v>
      </c>
      <c r="D40" s="107" t="s">
        <v>1133</v>
      </c>
      <c r="E40" s="106">
        <v>680.69</v>
      </c>
      <c r="F40" s="106">
        <v>18.899999999999999</v>
      </c>
      <c r="G40" s="106">
        <v>658.69</v>
      </c>
      <c r="H40" s="106">
        <v>746.99</v>
      </c>
      <c r="I40" s="103">
        <f t="shared" si="0"/>
        <v>690.1400000000001</v>
      </c>
      <c r="J40" s="103">
        <f t="shared" si="1"/>
        <v>671.24</v>
      </c>
      <c r="K40" s="103">
        <v>690.1400000000001</v>
      </c>
      <c r="L40" s="103">
        <v>671.24</v>
      </c>
    </row>
    <row r="41" spans="1:12" x14ac:dyDescent="0.25">
      <c r="A41" s="104">
        <v>37</v>
      </c>
      <c r="B41" s="107" t="s">
        <v>1307</v>
      </c>
      <c r="C41" s="108">
        <v>3741124</v>
      </c>
      <c r="D41" s="107" t="s">
        <v>1133</v>
      </c>
      <c r="E41" s="106">
        <v>671.65</v>
      </c>
      <c r="F41" s="106">
        <v>8.99</v>
      </c>
      <c r="G41" s="106">
        <v>658.6</v>
      </c>
      <c r="H41" s="106">
        <v>692.56</v>
      </c>
      <c r="I41" s="103">
        <f t="shared" si="0"/>
        <v>676.14499999999998</v>
      </c>
      <c r="J41" s="103">
        <f t="shared" si="1"/>
        <v>667.15499999999997</v>
      </c>
      <c r="K41" s="103">
        <v>676.14499999999998</v>
      </c>
      <c r="L41" s="103">
        <v>667.15499999999997</v>
      </c>
    </row>
    <row r="42" spans="1:12" x14ac:dyDescent="0.25">
      <c r="A42" s="100">
        <v>38</v>
      </c>
      <c r="B42" s="107" t="s">
        <v>1308</v>
      </c>
      <c r="C42" s="108">
        <v>1411033</v>
      </c>
      <c r="D42" s="107" t="s">
        <v>1133</v>
      </c>
      <c r="E42" s="106">
        <v>677.67</v>
      </c>
      <c r="F42" s="106">
        <v>17.43</v>
      </c>
      <c r="G42" s="106">
        <v>658.6</v>
      </c>
      <c r="H42" s="106">
        <v>741.57</v>
      </c>
      <c r="I42" s="103">
        <f t="shared" si="0"/>
        <v>686.38499999999999</v>
      </c>
      <c r="J42" s="103">
        <f t="shared" si="1"/>
        <v>668.95499999999993</v>
      </c>
      <c r="K42" s="103">
        <v>686.38499999999999</v>
      </c>
      <c r="L42" s="103">
        <v>668.95499999999993</v>
      </c>
    </row>
    <row r="43" spans="1:12" x14ac:dyDescent="0.25">
      <c r="A43" s="104">
        <v>39</v>
      </c>
      <c r="B43" s="107" t="s">
        <v>1309</v>
      </c>
      <c r="C43" s="108">
        <v>3321034</v>
      </c>
      <c r="D43" s="107" t="s">
        <v>1310</v>
      </c>
      <c r="E43" s="106">
        <v>682.26</v>
      </c>
      <c r="F43" s="106">
        <v>20.46</v>
      </c>
      <c r="G43" s="106">
        <v>658.25</v>
      </c>
      <c r="H43" s="106">
        <v>774.44</v>
      </c>
      <c r="I43" s="103">
        <f t="shared" si="0"/>
        <v>692.49</v>
      </c>
      <c r="J43" s="103">
        <f t="shared" si="1"/>
        <v>672.03</v>
      </c>
      <c r="K43" s="103">
        <v>692.49</v>
      </c>
      <c r="L43" s="103">
        <v>672.03</v>
      </c>
    </row>
    <row r="44" spans="1:12" x14ac:dyDescent="0.25">
      <c r="A44" s="100">
        <v>40</v>
      </c>
      <c r="B44" s="107" t="s">
        <v>1311</v>
      </c>
      <c r="C44" s="108">
        <v>3331187</v>
      </c>
      <c r="D44" s="107" t="s">
        <v>1153</v>
      </c>
      <c r="E44" s="106">
        <v>683.58</v>
      </c>
      <c r="F44" s="106">
        <v>22.98</v>
      </c>
      <c r="G44" s="106">
        <v>657.83</v>
      </c>
      <c r="H44" s="106">
        <v>757.84</v>
      </c>
      <c r="I44" s="103">
        <f t="shared" si="0"/>
        <v>695.07</v>
      </c>
      <c r="J44" s="103">
        <f t="shared" si="1"/>
        <v>672.09</v>
      </c>
      <c r="K44" s="103">
        <v>695.07</v>
      </c>
      <c r="L44" s="103">
        <v>672.09</v>
      </c>
    </row>
    <row r="45" spans="1:12" x14ac:dyDescent="0.25">
      <c r="A45" s="104">
        <v>41</v>
      </c>
      <c r="B45" s="107" t="s">
        <v>1312</v>
      </c>
      <c r="C45" s="108">
        <v>7111076</v>
      </c>
      <c r="D45" s="107" t="s">
        <v>1133</v>
      </c>
      <c r="E45" s="106">
        <v>684.06</v>
      </c>
      <c r="F45" s="106">
        <v>21.41</v>
      </c>
      <c r="G45" s="106">
        <v>657.64</v>
      </c>
      <c r="H45" s="106">
        <v>746.03</v>
      </c>
      <c r="I45" s="103">
        <f t="shared" si="0"/>
        <v>694.76499999999999</v>
      </c>
      <c r="J45" s="103">
        <f t="shared" si="1"/>
        <v>673.3549999999999</v>
      </c>
      <c r="K45" s="103">
        <v>694.76499999999999</v>
      </c>
      <c r="L45" s="103">
        <v>673.3549999999999</v>
      </c>
    </row>
    <row r="46" spans="1:12" x14ac:dyDescent="0.25">
      <c r="A46" s="100">
        <v>42</v>
      </c>
      <c r="B46" s="107" t="s">
        <v>1313</v>
      </c>
      <c r="C46" s="108">
        <v>3611395</v>
      </c>
      <c r="D46" s="107" t="s">
        <v>1314</v>
      </c>
      <c r="E46" s="106">
        <v>681.71</v>
      </c>
      <c r="F46" s="106">
        <v>19.829999999999998</v>
      </c>
      <c r="G46" s="106">
        <v>656.72</v>
      </c>
      <c r="H46" s="106">
        <v>737.99</v>
      </c>
      <c r="I46" s="103">
        <f t="shared" si="0"/>
        <v>691.625</v>
      </c>
      <c r="J46" s="103">
        <f t="shared" si="1"/>
        <v>671.79500000000007</v>
      </c>
      <c r="K46" s="103">
        <v>691.625</v>
      </c>
      <c r="L46" s="103">
        <v>671.79500000000007</v>
      </c>
    </row>
    <row r="47" spans="1:12" x14ac:dyDescent="0.25">
      <c r="A47" s="104">
        <v>43</v>
      </c>
      <c r="B47" s="107" t="s">
        <v>1315</v>
      </c>
      <c r="C47" s="108">
        <v>3211143</v>
      </c>
      <c r="D47" s="107" t="s">
        <v>1316</v>
      </c>
      <c r="E47" s="106">
        <v>689.8</v>
      </c>
      <c r="F47" s="106">
        <v>23.85</v>
      </c>
      <c r="G47" s="106">
        <v>656.01</v>
      </c>
      <c r="H47" s="106">
        <v>739.98</v>
      </c>
      <c r="I47" s="103">
        <f t="shared" si="0"/>
        <v>701.72499999999991</v>
      </c>
      <c r="J47" s="103">
        <f t="shared" si="1"/>
        <v>677.875</v>
      </c>
      <c r="K47" s="103">
        <v>701.72499999999991</v>
      </c>
      <c r="L47" s="103">
        <v>677.875</v>
      </c>
    </row>
    <row r="48" spans="1:12" x14ac:dyDescent="0.25">
      <c r="A48" s="100">
        <v>44</v>
      </c>
      <c r="B48" s="107" t="s">
        <v>1315</v>
      </c>
      <c r="C48" s="108">
        <v>3211305</v>
      </c>
      <c r="D48" s="107" t="s">
        <v>1317</v>
      </c>
      <c r="E48" s="106">
        <v>681.15</v>
      </c>
      <c r="F48" s="106">
        <v>25.82</v>
      </c>
      <c r="G48" s="106">
        <v>655.85</v>
      </c>
      <c r="H48" s="106">
        <v>755.25</v>
      </c>
      <c r="I48" s="103">
        <f t="shared" si="0"/>
        <v>694.06</v>
      </c>
      <c r="J48" s="103">
        <f t="shared" si="1"/>
        <v>668.24</v>
      </c>
      <c r="K48" s="103">
        <v>694.06</v>
      </c>
      <c r="L48" s="103">
        <v>668.24</v>
      </c>
    </row>
    <row r="49" spans="1:12" x14ac:dyDescent="0.25">
      <c r="A49" s="104">
        <v>45</v>
      </c>
      <c r="B49" s="107" t="s">
        <v>1318</v>
      </c>
      <c r="C49" s="108">
        <v>3811022</v>
      </c>
      <c r="D49" s="107" t="s">
        <v>1319</v>
      </c>
      <c r="E49" s="106">
        <v>671.67</v>
      </c>
      <c r="F49" s="106">
        <v>12.44</v>
      </c>
      <c r="G49" s="106">
        <v>655.84</v>
      </c>
      <c r="H49" s="106">
        <v>706.74</v>
      </c>
      <c r="I49" s="103">
        <f t="shared" si="0"/>
        <v>677.89</v>
      </c>
      <c r="J49" s="103">
        <f t="shared" si="1"/>
        <v>665.44999999999993</v>
      </c>
      <c r="K49" s="103">
        <v>677.89</v>
      </c>
      <c r="L49" s="103">
        <v>665.44999999999993</v>
      </c>
    </row>
    <row r="50" spans="1:12" x14ac:dyDescent="0.25">
      <c r="A50" s="100">
        <v>46</v>
      </c>
      <c r="B50" s="107" t="s">
        <v>1309</v>
      </c>
      <c r="C50" s="108">
        <v>3321057</v>
      </c>
      <c r="D50" s="107" t="s">
        <v>1093</v>
      </c>
      <c r="E50" s="106">
        <v>683.68</v>
      </c>
      <c r="F50" s="106">
        <v>26.96</v>
      </c>
      <c r="G50" s="106">
        <v>655.66</v>
      </c>
      <c r="H50" s="106">
        <v>782.22</v>
      </c>
      <c r="I50" s="103">
        <f t="shared" si="0"/>
        <v>697.16</v>
      </c>
      <c r="J50" s="103">
        <f t="shared" si="1"/>
        <v>670.19999999999993</v>
      </c>
      <c r="K50" s="103">
        <v>697.16</v>
      </c>
      <c r="L50" s="103">
        <v>670.19999999999993</v>
      </c>
    </row>
    <row r="51" spans="1:12" x14ac:dyDescent="0.25">
      <c r="A51" s="104">
        <v>47</v>
      </c>
      <c r="B51" s="107" t="s">
        <v>1315</v>
      </c>
      <c r="C51" s="108">
        <v>3211321</v>
      </c>
      <c r="D51" s="107" t="s">
        <v>1320</v>
      </c>
      <c r="E51" s="106">
        <v>681.87</v>
      </c>
      <c r="F51" s="106">
        <v>29.04</v>
      </c>
      <c r="G51" s="106">
        <v>655.66</v>
      </c>
      <c r="H51" s="106">
        <v>764.33</v>
      </c>
      <c r="I51" s="103">
        <f t="shared" si="0"/>
        <v>696.39</v>
      </c>
      <c r="J51" s="103">
        <f t="shared" si="1"/>
        <v>667.35</v>
      </c>
      <c r="K51" s="103">
        <v>696.39</v>
      </c>
      <c r="L51" s="103">
        <v>667.35</v>
      </c>
    </row>
    <row r="52" spans="1:12" x14ac:dyDescent="0.25">
      <c r="A52" s="100">
        <v>48</v>
      </c>
      <c r="B52" s="107" t="s">
        <v>1313</v>
      </c>
      <c r="C52" s="108">
        <v>3611171</v>
      </c>
      <c r="D52" s="107" t="s">
        <v>1321</v>
      </c>
      <c r="E52" s="106">
        <v>670.97</v>
      </c>
      <c r="F52" s="106">
        <v>16.079999999999998</v>
      </c>
      <c r="G52" s="106">
        <v>654.91999999999996</v>
      </c>
      <c r="H52" s="106">
        <v>708.37</v>
      </c>
      <c r="I52" s="103">
        <f t="shared" si="0"/>
        <v>679.01</v>
      </c>
      <c r="J52" s="103">
        <f t="shared" si="1"/>
        <v>662.93000000000006</v>
      </c>
      <c r="K52" s="103">
        <v>679.01</v>
      </c>
      <c r="L52" s="103">
        <v>662.93000000000006</v>
      </c>
    </row>
    <row r="53" spans="1:12" x14ac:dyDescent="0.25">
      <c r="A53" s="104">
        <v>49</v>
      </c>
      <c r="B53" s="107" t="s">
        <v>1313</v>
      </c>
      <c r="C53" s="108">
        <v>3611437</v>
      </c>
      <c r="D53" s="107" t="s">
        <v>1322</v>
      </c>
      <c r="E53" s="106">
        <v>683.99</v>
      </c>
      <c r="F53" s="106">
        <v>24.09</v>
      </c>
      <c r="G53" s="106">
        <v>654.85</v>
      </c>
      <c r="H53" s="106">
        <v>756.26</v>
      </c>
      <c r="I53" s="103">
        <f t="shared" si="0"/>
        <v>696.03499999999997</v>
      </c>
      <c r="J53" s="103">
        <f t="shared" si="1"/>
        <v>671.94500000000005</v>
      </c>
      <c r="K53" s="103">
        <v>696.03499999999997</v>
      </c>
      <c r="L53" s="103">
        <v>671.94500000000005</v>
      </c>
    </row>
    <row r="54" spans="1:12" x14ac:dyDescent="0.25">
      <c r="A54" s="100">
        <v>50</v>
      </c>
      <c r="B54" s="107" t="s">
        <v>1313</v>
      </c>
      <c r="C54" s="108">
        <v>3611406</v>
      </c>
      <c r="D54" s="107" t="s">
        <v>1323</v>
      </c>
      <c r="E54" s="106">
        <v>682.64</v>
      </c>
      <c r="F54" s="106">
        <v>22.18</v>
      </c>
      <c r="G54" s="106">
        <v>654.26</v>
      </c>
      <c r="H54" s="106">
        <v>754.62</v>
      </c>
      <c r="I54" s="103">
        <f t="shared" si="0"/>
        <v>693.73</v>
      </c>
      <c r="J54" s="103">
        <f t="shared" si="1"/>
        <v>671.55</v>
      </c>
      <c r="K54" s="103">
        <v>693.73</v>
      </c>
      <c r="L54" s="103">
        <v>671.55</v>
      </c>
    </row>
    <row r="55" spans="1:12" x14ac:dyDescent="0.25">
      <c r="A55" s="104">
        <v>51</v>
      </c>
      <c r="B55" s="107" t="s">
        <v>1315</v>
      </c>
      <c r="C55" s="108">
        <v>3211104</v>
      </c>
      <c r="D55" s="107" t="s">
        <v>1314</v>
      </c>
      <c r="E55" s="106">
        <v>673.32</v>
      </c>
      <c r="F55" s="106">
        <v>15.8</v>
      </c>
      <c r="G55" s="106">
        <v>653.54999999999995</v>
      </c>
      <c r="H55" s="106">
        <v>714.89</v>
      </c>
      <c r="I55" s="103">
        <f t="shared" si="0"/>
        <v>681.22</v>
      </c>
      <c r="J55" s="103">
        <f t="shared" si="1"/>
        <v>665.42000000000007</v>
      </c>
      <c r="K55" s="103">
        <v>681.22</v>
      </c>
      <c r="L55" s="103">
        <v>665.42000000000007</v>
      </c>
    </row>
    <row r="56" spans="1:12" x14ac:dyDescent="0.25">
      <c r="A56" s="100">
        <v>52</v>
      </c>
      <c r="B56" s="107" t="s">
        <v>1309</v>
      </c>
      <c r="C56" s="108">
        <v>3321065</v>
      </c>
      <c r="D56" s="107" t="s">
        <v>1324</v>
      </c>
      <c r="E56" s="106">
        <v>672.96</v>
      </c>
      <c r="F56" s="106">
        <v>18.690000000000001</v>
      </c>
      <c r="G56" s="106">
        <v>653.36</v>
      </c>
      <c r="H56" s="106">
        <v>733.1</v>
      </c>
      <c r="I56" s="103">
        <f t="shared" si="0"/>
        <v>682.30500000000006</v>
      </c>
      <c r="J56" s="103">
        <f t="shared" si="1"/>
        <v>663.61500000000001</v>
      </c>
      <c r="K56" s="103">
        <v>682.30500000000006</v>
      </c>
      <c r="L56" s="103">
        <v>663.61500000000001</v>
      </c>
    </row>
    <row r="57" spans="1:12" x14ac:dyDescent="0.25">
      <c r="A57" s="104">
        <v>53</v>
      </c>
      <c r="B57" s="107" t="s">
        <v>1315</v>
      </c>
      <c r="C57" s="108">
        <v>3211216</v>
      </c>
      <c r="D57" s="107" t="s">
        <v>1325</v>
      </c>
      <c r="E57" s="106">
        <v>671.05</v>
      </c>
      <c r="F57" s="106">
        <v>16.440000000000001</v>
      </c>
      <c r="G57" s="106">
        <v>653.09</v>
      </c>
      <c r="H57" s="106">
        <v>717.12</v>
      </c>
      <c r="I57" s="103">
        <f t="shared" si="0"/>
        <v>679.27</v>
      </c>
      <c r="J57" s="103">
        <f t="shared" si="1"/>
        <v>662.82999999999993</v>
      </c>
      <c r="K57" s="103">
        <v>679.27</v>
      </c>
      <c r="L57" s="103">
        <v>662.82999999999993</v>
      </c>
    </row>
    <row r="58" spans="1:12" x14ac:dyDescent="0.25">
      <c r="A58" s="100">
        <v>54</v>
      </c>
      <c r="B58" s="107" t="s">
        <v>1315</v>
      </c>
      <c r="C58" s="108">
        <v>3211054</v>
      </c>
      <c r="D58" s="107" t="s">
        <v>1326</v>
      </c>
      <c r="E58" s="106">
        <v>675.3</v>
      </c>
      <c r="F58" s="106">
        <v>21.24</v>
      </c>
      <c r="G58" s="106">
        <v>652.98</v>
      </c>
      <c r="H58" s="106">
        <v>742.82</v>
      </c>
      <c r="I58" s="103">
        <f t="shared" si="0"/>
        <v>685.92</v>
      </c>
      <c r="J58" s="103">
        <f t="shared" si="1"/>
        <v>664.68</v>
      </c>
      <c r="K58" s="103">
        <v>685.92</v>
      </c>
      <c r="L58" s="103">
        <v>664.68</v>
      </c>
    </row>
    <row r="59" spans="1:12" x14ac:dyDescent="0.25">
      <c r="A59" s="104">
        <v>55</v>
      </c>
      <c r="B59" s="107" t="s">
        <v>1315</v>
      </c>
      <c r="C59" s="108">
        <v>3211247</v>
      </c>
      <c r="D59" s="107" t="s">
        <v>1327</v>
      </c>
      <c r="E59" s="106">
        <v>680.01</v>
      </c>
      <c r="F59" s="106">
        <v>25.02</v>
      </c>
      <c r="G59" s="106">
        <v>652.77</v>
      </c>
      <c r="H59" s="106">
        <v>743.38</v>
      </c>
      <c r="I59" s="103">
        <f t="shared" si="0"/>
        <v>692.52</v>
      </c>
      <c r="J59" s="103">
        <f t="shared" si="1"/>
        <v>667.5</v>
      </c>
      <c r="K59" s="103">
        <v>692.52</v>
      </c>
      <c r="L59" s="103">
        <v>667.5</v>
      </c>
    </row>
    <row r="60" spans="1:12" x14ac:dyDescent="0.25">
      <c r="A60" s="100">
        <v>56</v>
      </c>
      <c r="B60" s="107" t="s">
        <v>1328</v>
      </c>
      <c r="C60" s="108">
        <v>3821217</v>
      </c>
      <c r="D60" s="107" t="s">
        <v>1329</v>
      </c>
      <c r="E60" s="106">
        <v>669.85</v>
      </c>
      <c r="F60" s="106">
        <v>13.07</v>
      </c>
      <c r="G60" s="106">
        <v>652.73</v>
      </c>
      <c r="H60" s="106">
        <v>713.97</v>
      </c>
      <c r="I60" s="103">
        <f t="shared" si="0"/>
        <v>676.38499999999999</v>
      </c>
      <c r="J60" s="103">
        <f t="shared" si="1"/>
        <v>663.31500000000005</v>
      </c>
      <c r="K60" s="103">
        <v>676.38499999999999</v>
      </c>
      <c r="L60" s="103">
        <v>663.31500000000005</v>
      </c>
    </row>
    <row r="61" spans="1:12" x14ac:dyDescent="0.25">
      <c r="A61" s="104">
        <v>57</v>
      </c>
      <c r="B61" s="107" t="s">
        <v>1315</v>
      </c>
      <c r="C61" s="108">
        <v>3211077</v>
      </c>
      <c r="D61" s="107" t="s">
        <v>1330</v>
      </c>
      <c r="E61" s="106">
        <v>684.42</v>
      </c>
      <c r="F61" s="106">
        <v>23.2</v>
      </c>
      <c r="G61" s="106">
        <v>652.49</v>
      </c>
      <c r="H61" s="106">
        <v>735.81</v>
      </c>
      <c r="I61" s="103">
        <f t="shared" si="0"/>
        <v>696.02</v>
      </c>
      <c r="J61" s="103">
        <f t="shared" si="1"/>
        <v>672.81999999999994</v>
      </c>
      <c r="K61" s="103">
        <v>696.02</v>
      </c>
      <c r="L61" s="103">
        <v>672.81999999999994</v>
      </c>
    </row>
    <row r="62" spans="1:12" x14ac:dyDescent="0.25">
      <c r="A62" s="100">
        <v>58</v>
      </c>
      <c r="B62" s="107" t="s">
        <v>1315</v>
      </c>
      <c r="C62" s="108">
        <v>3211255</v>
      </c>
      <c r="D62" s="107" t="s">
        <v>1331</v>
      </c>
      <c r="E62" s="106">
        <v>682.11</v>
      </c>
      <c r="F62" s="106">
        <v>18.87</v>
      </c>
      <c r="G62" s="106">
        <v>652.45000000000005</v>
      </c>
      <c r="H62" s="106">
        <v>726.99</v>
      </c>
      <c r="I62" s="103">
        <f t="shared" si="0"/>
        <v>691.54499999999996</v>
      </c>
      <c r="J62" s="103">
        <f t="shared" si="1"/>
        <v>672.67500000000007</v>
      </c>
      <c r="K62" s="103">
        <v>691.54499999999996</v>
      </c>
      <c r="L62" s="103">
        <v>672.67500000000007</v>
      </c>
    </row>
    <row r="63" spans="1:12" x14ac:dyDescent="0.25">
      <c r="A63" s="104">
        <v>59</v>
      </c>
      <c r="B63" s="107" t="s">
        <v>1309</v>
      </c>
      <c r="C63" s="108">
        <v>3321026</v>
      </c>
      <c r="D63" s="107" t="s">
        <v>1091</v>
      </c>
      <c r="E63" s="106">
        <v>685.38</v>
      </c>
      <c r="F63" s="106">
        <v>23.81</v>
      </c>
      <c r="G63" s="106">
        <v>652.21</v>
      </c>
      <c r="H63" s="106">
        <v>749.4</v>
      </c>
      <c r="I63" s="103">
        <f t="shared" si="0"/>
        <v>697.28499999999997</v>
      </c>
      <c r="J63" s="103">
        <f t="shared" si="1"/>
        <v>673.47500000000002</v>
      </c>
      <c r="K63" s="103">
        <v>697.28499999999997</v>
      </c>
      <c r="L63" s="103">
        <v>673.47500000000002</v>
      </c>
    </row>
    <row r="64" spans="1:12" x14ac:dyDescent="0.25">
      <c r="A64" s="100">
        <v>60</v>
      </c>
      <c r="B64" s="107" t="s">
        <v>1315</v>
      </c>
      <c r="C64" s="108">
        <v>3211112</v>
      </c>
      <c r="D64" s="107" t="s">
        <v>1332</v>
      </c>
      <c r="E64" s="106">
        <v>675.49</v>
      </c>
      <c r="F64" s="106">
        <v>17.28</v>
      </c>
      <c r="G64" s="106">
        <v>651.98</v>
      </c>
      <c r="H64" s="106">
        <v>728.48</v>
      </c>
      <c r="I64" s="103">
        <f t="shared" si="0"/>
        <v>684.13</v>
      </c>
      <c r="J64" s="103">
        <f t="shared" si="1"/>
        <v>666.85</v>
      </c>
      <c r="K64" s="103">
        <v>684.13</v>
      </c>
      <c r="L64" s="103">
        <v>666.85</v>
      </c>
    </row>
    <row r="65" spans="1:12" x14ac:dyDescent="0.25">
      <c r="A65" s="104">
        <v>61</v>
      </c>
      <c r="B65" s="107" t="s">
        <v>1333</v>
      </c>
      <c r="C65" s="108">
        <v>3221114</v>
      </c>
      <c r="D65" s="107" t="s">
        <v>1133</v>
      </c>
      <c r="E65" s="106">
        <v>669.19</v>
      </c>
      <c r="F65" s="106">
        <v>14.17</v>
      </c>
      <c r="G65" s="106">
        <v>651.74</v>
      </c>
      <c r="H65" s="106">
        <v>712.06</v>
      </c>
      <c r="I65" s="103">
        <f t="shared" si="0"/>
        <v>676.27500000000009</v>
      </c>
      <c r="J65" s="103">
        <f t="shared" si="1"/>
        <v>662.10500000000002</v>
      </c>
      <c r="K65" s="103">
        <v>676.27500000000009</v>
      </c>
      <c r="L65" s="103">
        <v>662.10500000000002</v>
      </c>
    </row>
    <row r="66" spans="1:12" x14ac:dyDescent="0.25">
      <c r="A66" s="100">
        <v>62</v>
      </c>
      <c r="B66" s="107" t="s">
        <v>1311</v>
      </c>
      <c r="C66" s="108">
        <v>3331091</v>
      </c>
      <c r="D66" s="107" t="s">
        <v>1319</v>
      </c>
      <c r="E66" s="106">
        <v>675.26</v>
      </c>
      <c r="F66" s="106">
        <v>21.16</v>
      </c>
      <c r="G66" s="106">
        <v>651.54999999999995</v>
      </c>
      <c r="H66" s="106">
        <v>747.47</v>
      </c>
      <c r="I66" s="103">
        <f t="shared" si="0"/>
        <v>685.84</v>
      </c>
      <c r="J66" s="103">
        <f t="shared" si="1"/>
        <v>664.68</v>
      </c>
      <c r="K66" s="103">
        <v>685.84</v>
      </c>
      <c r="L66" s="103">
        <v>664.68</v>
      </c>
    </row>
    <row r="67" spans="1:12" x14ac:dyDescent="0.25">
      <c r="A67" s="104">
        <v>63</v>
      </c>
      <c r="B67" s="107" t="s">
        <v>1334</v>
      </c>
      <c r="C67" s="108">
        <v>6211224</v>
      </c>
      <c r="D67" s="107" t="s">
        <v>1133</v>
      </c>
      <c r="E67" s="106">
        <v>663.78</v>
      </c>
      <c r="F67" s="106">
        <v>13.65</v>
      </c>
      <c r="G67" s="106">
        <v>651.07000000000005</v>
      </c>
      <c r="H67" s="106">
        <v>706.02</v>
      </c>
      <c r="I67" s="103">
        <f t="shared" si="0"/>
        <v>670.60500000000002</v>
      </c>
      <c r="J67" s="103">
        <f t="shared" si="1"/>
        <v>656.95499999999993</v>
      </c>
      <c r="K67" s="103">
        <v>670.60500000000002</v>
      </c>
      <c r="L67" s="103">
        <v>656.95499999999993</v>
      </c>
    </row>
    <row r="68" spans="1:12" x14ac:dyDescent="0.25">
      <c r="A68" s="100">
        <v>64</v>
      </c>
      <c r="B68" s="107" t="s">
        <v>1313</v>
      </c>
      <c r="C68" s="108">
        <v>3611453</v>
      </c>
      <c r="D68" s="107" t="s">
        <v>1335</v>
      </c>
      <c r="E68" s="106">
        <v>671.93</v>
      </c>
      <c r="F68" s="106">
        <v>18.899999999999999</v>
      </c>
      <c r="G68" s="106">
        <v>650.64</v>
      </c>
      <c r="H68" s="106">
        <v>722.22</v>
      </c>
      <c r="I68" s="103">
        <f t="shared" si="0"/>
        <v>681.38</v>
      </c>
      <c r="J68" s="103">
        <f t="shared" si="1"/>
        <v>662.4799999999999</v>
      </c>
      <c r="K68" s="103">
        <v>681.38</v>
      </c>
      <c r="L68" s="103">
        <v>662.4799999999999</v>
      </c>
    </row>
    <row r="69" spans="1:12" x14ac:dyDescent="0.25">
      <c r="A69" s="104">
        <v>65</v>
      </c>
      <c r="B69" s="107" t="s">
        <v>1315</v>
      </c>
      <c r="C69" s="108">
        <v>3211046</v>
      </c>
      <c r="D69" s="107" t="s">
        <v>1138</v>
      </c>
      <c r="E69" s="106">
        <v>663.3</v>
      </c>
      <c r="F69" s="106">
        <v>13.95</v>
      </c>
      <c r="G69" s="106">
        <v>650.47</v>
      </c>
      <c r="H69" s="106">
        <v>705.48</v>
      </c>
      <c r="I69" s="103">
        <f t="shared" si="0"/>
        <v>670.27499999999998</v>
      </c>
      <c r="J69" s="103">
        <f t="shared" si="1"/>
        <v>656.32499999999993</v>
      </c>
      <c r="K69" s="103">
        <v>670.27499999999998</v>
      </c>
      <c r="L69" s="103">
        <v>656.32499999999993</v>
      </c>
    </row>
    <row r="70" spans="1:12" x14ac:dyDescent="0.25">
      <c r="A70" s="100">
        <v>66</v>
      </c>
      <c r="B70" s="107" t="s">
        <v>1328</v>
      </c>
      <c r="C70" s="108">
        <v>3821306</v>
      </c>
      <c r="D70" s="107" t="s">
        <v>1336</v>
      </c>
      <c r="E70" s="106">
        <v>672.43</v>
      </c>
      <c r="F70" s="106">
        <v>16.95</v>
      </c>
      <c r="G70" s="106">
        <v>650.25</v>
      </c>
      <c r="H70" s="106">
        <v>721.92</v>
      </c>
      <c r="I70" s="103">
        <f t="shared" ref="I70:I133" si="2">E70+0.5*F70</f>
        <v>680.90499999999997</v>
      </c>
      <c r="J70" s="103">
        <f t="shared" ref="J70:J133" si="3">E70-0.5*F70</f>
        <v>663.95499999999993</v>
      </c>
      <c r="K70" s="103">
        <v>680.90499999999997</v>
      </c>
      <c r="L70" s="103">
        <v>663.95499999999993</v>
      </c>
    </row>
    <row r="71" spans="1:12" x14ac:dyDescent="0.25">
      <c r="A71" s="104">
        <v>67</v>
      </c>
      <c r="B71" s="107" t="s">
        <v>1337</v>
      </c>
      <c r="C71" s="108">
        <v>3411226</v>
      </c>
      <c r="D71" s="107" t="s">
        <v>1317</v>
      </c>
      <c r="E71" s="106">
        <v>673.09</v>
      </c>
      <c r="F71" s="106">
        <v>22.43</v>
      </c>
      <c r="G71" s="106">
        <v>649.63</v>
      </c>
      <c r="H71" s="106">
        <v>727.19</v>
      </c>
      <c r="I71" s="103">
        <f t="shared" si="2"/>
        <v>684.30500000000006</v>
      </c>
      <c r="J71" s="103">
        <f t="shared" si="3"/>
        <v>661.875</v>
      </c>
      <c r="K71" s="103">
        <v>684.30500000000006</v>
      </c>
      <c r="L71" s="103">
        <v>661.875</v>
      </c>
    </row>
    <row r="72" spans="1:12" x14ac:dyDescent="0.25">
      <c r="A72" s="100">
        <v>68</v>
      </c>
      <c r="B72" s="107" t="s">
        <v>1313</v>
      </c>
      <c r="C72" s="108">
        <v>3611387</v>
      </c>
      <c r="D72" s="107" t="s">
        <v>1332</v>
      </c>
      <c r="E72" s="106">
        <v>673.98</v>
      </c>
      <c r="F72" s="106">
        <v>22.45</v>
      </c>
      <c r="G72" s="106">
        <v>649.61</v>
      </c>
      <c r="H72" s="106">
        <v>743.8</v>
      </c>
      <c r="I72" s="103">
        <f t="shared" si="2"/>
        <v>685.20500000000004</v>
      </c>
      <c r="J72" s="103">
        <f t="shared" si="3"/>
        <v>662.755</v>
      </c>
      <c r="K72" s="103">
        <v>685.20500000000004</v>
      </c>
      <c r="L72" s="103">
        <v>662.755</v>
      </c>
    </row>
    <row r="73" spans="1:12" x14ac:dyDescent="0.25">
      <c r="A73" s="104">
        <v>69</v>
      </c>
      <c r="B73" s="107" t="s">
        <v>1315</v>
      </c>
      <c r="C73" s="108">
        <v>3211174</v>
      </c>
      <c r="D73" s="107" t="s">
        <v>1338</v>
      </c>
      <c r="E73" s="106">
        <v>668.23</v>
      </c>
      <c r="F73" s="106">
        <v>14.56</v>
      </c>
      <c r="G73" s="106">
        <v>649.61</v>
      </c>
      <c r="H73" s="106">
        <v>716.31</v>
      </c>
      <c r="I73" s="103">
        <f t="shared" si="2"/>
        <v>675.51</v>
      </c>
      <c r="J73" s="103">
        <f t="shared" si="3"/>
        <v>660.95</v>
      </c>
      <c r="K73" s="103">
        <v>675.51</v>
      </c>
      <c r="L73" s="103">
        <v>660.95</v>
      </c>
    </row>
    <row r="74" spans="1:12" x14ac:dyDescent="0.25">
      <c r="A74" s="100">
        <v>70</v>
      </c>
      <c r="B74" s="107" t="s">
        <v>1315</v>
      </c>
      <c r="C74" s="108">
        <v>3211135</v>
      </c>
      <c r="D74" s="107" t="s">
        <v>1339</v>
      </c>
      <c r="E74" s="106">
        <v>679.35</v>
      </c>
      <c r="F74" s="106">
        <v>26.37</v>
      </c>
      <c r="G74" s="106">
        <v>649.47</v>
      </c>
      <c r="H74" s="106">
        <v>748.05</v>
      </c>
      <c r="I74" s="103">
        <f t="shared" si="2"/>
        <v>692.53499999999997</v>
      </c>
      <c r="J74" s="103">
        <f t="shared" si="3"/>
        <v>666.16500000000008</v>
      </c>
      <c r="K74" s="103">
        <v>692.53499999999997</v>
      </c>
      <c r="L74" s="103">
        <v>666.16500000000008</v>
      </c>
    </row>
    <row r="75" spans="1:12" x14ac:dyDescent="0.25">
      <c r="A75" s="104">
        <v>71</v>
      </c>
      <c r="B75" s="107" t="s">
        <v>1315</v>
      </c>
      <c r="C75" s="108">
        <v>3211201</v>
      </c>
      <c r="D75" s="107" t="s">
        <v>1102</v>
      </c>
      <c r="E75" s="106">
        <v>665.91</v>
      </c>
      <c r="F75" s="106">
        <v>15.55</v>
      </c>
      <c r="G75" s="106">
        <v>648.67999999999995</v>
      </c>
      <c r="H75" s="106">
        <v>702.08</v>
      </c>
      <c r="I75" s="103">
        <f t="shared" si="2"/>
        <v>673.68499999999995</v>
      </c>
      <c r="J75" s="103">
        <f t="shared" si="3"/>
        <v>658.13499999999999</v>
      </c>
      <c r="K75" s="103">
        <v>673.68499999999995</v>
      </c>
      <c r="L75" s="103">
        <v>658.13499999999999</v>
      </c>
    </row>
    <row r="76" spans="1:12" x14ac:dyDescent="0.25">
      <c r="A76" s="100">
        <v>72</v>
      </c>
      <c r="B76" s="107" t="s">
        <v>1337</v>
      </c>
      <c r="C76" s="108">
        <v>3411106</v>
      </c>
      <c r="D76" s="107" t="s">
        <v>1340</v>
      </c>
      <c r="E76" s="106">
        <v>663.79</v>
      </c>
      <c r="F76" s="106">
        <v>16.350000000000001</v>
      </c>
      <c r="G76" s="106">
        <v>648.62</v>
      </c>
      <c r="H76" s="106">
        <v>748.75</v>
      </c>
      <c r="I76" s="103">
        <f t="shared" si="2"/>
        <v>671.96499999999992</v>
      </c>
      <c r="J76" s="103">
        <f t="shared" si="3"/>
        <v>655.61500000000001</v>
      </c>
      <c r="K76" s="103">
        <v>671.96499999999992</v>
      </c>
      <c r="L76" s="103">
        <v>655.61500000000001</v>
      </c>
    </row>
    <row r="77" spans="1:12" x14ac:dyDescent="0.25">
      <c r="A77" s="104">
        <v>73</v>
      </c>
      <c r="B77" s="107" t="s">
        <v>1328</v>
      </c>
      <c r="C77" s="108">
        <v>3821121</v>
      </c>
      <c r="D77" s="107" t="s">
        <v>1323</v>
      </c>
      <c r="E77" s="106">
        <v>674.81</v>
      </c>
      <c r="F77" s="106">
        <v>26.84</v>
      </c>
      <c r="G77" s="106">
        <v>648.51</v>
      </c>
      <c r="H77" s="106">
        <v>765.69</v>
      </c>
      <c r="I77" s="103">
        <f t="shared" si="2"/>
        <v>688.2299999999999</v>
      </c>
      <c r="J77" s="103">
        <f t="shared" si="3"/>
        <v>661.39</v>
      </c>
      <c r="K77" s="103">
        <v>688.2299999999999</v>
      </c>
      <c r="L77" s="103">
        <v>661.39</v>
      </c>
    </row>
    <row r="78" spans="1:12" x14ac:dyDescent="0.25">
      <c r="A78" s="100">
        <v>74</v>
      </c>
      <c r="B78" s="107" t="s">
        <v>1341</v>
      </c>
      <c r="C78" s="108">
        <v>1911201</v>
      </c>
      <c r="D78" s="107" t="s">
        <v>1342</v>
      </c>
      <c r="E78" s="106">
        <v>663.55</v>
      </c>
      <c r="F78" s="106">
        <v>14.47</v>
      </c>
      <c r="G78" s="106">
        <v>647.02</v>
      </c>
      <c r="H78" s="106">
        <v>710.57</v>
      </c>
      <c r="I78" s="103">
        <f t="shared" si="2"/>
        <v>670.78499999999997</v>
      </c>
      <c r="J78" s="103">
        <f t="shared" si="3"/>
        <v>656.31499999999994</v>
      </c>
      <c r="K78" s="103">
        <v>670.78499999999997</v>
      </c>
      <c r="L78" s="103">
        <v>656.31499999999994</v>
      </c>
    </row>
    <row r="79" spans="1:12" x14ac:dyDescent="0.25">
      <c r="A79" s="104">
        <v>75</v>
      </c>
      <c r="B79" s="107" t="s">
        <v>1311</v>
      </c>
      <c r="C79" s="108">
        <v>3331284</v>
      </c>
      <c r="D79" s="107" t="s">
        <v>1343</v>
      </c>
      <c r="E79" s="106">
        <v>666.28</v>
      </c>
      <c r="F79" s="106">
        <v>17.2</v>
      </c>
      <c r="G79" s="106">
        <v>646.77</v>
      </c>
      <c r="H79" s="106">
        <v>722.01</v>
      </c>
      <c r="I79" s="103">
        <f t="shared" si="2"/>
        <v>674.88</v>
      </c>
      <c r="J79" s="103">
        <f t="shared" si="3"/>
        <v>657.68</v>
      </c>
      <c r="K79" s="103">
        <v>674.88</v>
      </c>
      <c r="L79" s="103">
        <v>657.68</v>
      </c>
    </row>
    <row r="80" spans="1:12" x14ac:dyDescent="0.25">
      <c r="A80" s="100">
        <v>76</v>
      </c>
      <c r="B80" s="107" t="s">
        <v>1315</v>
      </c>
      <c r="C80" s="108">
        <v>3211271</v>
      </c>
      <c r="D80" s="107" t="s">
        <v>1344</v>
      </c>
      <c r="E80" s="106">
        <v>661.59</v>
      </c>
      <c r="F80" s="106">
        <v>14.05</v>
      </c>
      <c r="G80" s="106">
        <v>646.44000000000005</v>
      </c>
      <c r="H80" s="106">
        <v>691.59</v>
      </c>
      <c r="I80" s="103">
        <f t="shared" si="2"/>
        <v>668.61500000000001</v>
      </c>
      <c r="J80" s="103">
        <f t="shared" si="3"/>
        <v>654.56500000000005</v>
      </c>
      <c r="K80" s="103">
        <v>668.61500000000001</v>
      </c>
      <c r="L80" s="103">
        <v>654.56500000000005</v>
      </c>
    </row>
    <row r="81" spans="1:12" x14ac:dyDescent="0.25">
      <c r="A81" s="104">
        <v>77</v>
      </c>
      <c r="B81" s="107" t="s">
        <v>1309</v>
      </c>
      <c r="C81" s="108">
        <v>3321011</v>
      </c>
      <c r="D81" s="107" t="s">
        <v>1101</v>
      </c>
      <c r="E81" s="106">
        <v>668.94</v>
      </c>
      <c r="F81" s="106">
        <v>17.02</v>
      </c>
      <c r="G81" s="106">
        <v>646.20000000000005</v>
      </c>
      <c r="H81" s="106">
        <v>732.1</v>
      </c>
      <c r="I81" s="103">
        <f t="shared" si="2"/>
        <v>677.45</v>
      </c>
      <c r="J81" s="103">
        <f t="shared" si="3"/>
        <v>660.43000000000006</v>
      </c>
      <c r="K81" s="103">
        <v>677.45</v>
      </c>
      <c r="L81" s="103">
        <v>660.43000000000006</v>
      </c>
    </row>
    <row r="82" spans="1:12" x14ac:dyDescent="0.25">
      <c r="A82" s="100">
        <v>78</v>
      </c>
      <c r="B82" s="107" t="s">
        <v>1313</v>
      </c>
      <c r="C82" s="108">
        <v>3611422</v>
      </c>
      <c r="D82" s="107" t="s">
        <v>1345</v>
      </c>
      <c r="E82" s="106">
        <v>667.32</v>
      </c>
      <c r="F82" s="106">
        <v>18.28</v>
      </c>
      <c r="G82" s="106">
        <v>645.87</v>
      </c>
      <c r="H82" s="106">
        <v>718.84</v>
      </c>
      <c r="I82" s="103">
        <f t="shared" si="2"/>
        <v>676.46</v>
      </c>
      <c r="J82" s="103">
        <f t="shared" si="3"/>
        <v>658.18000000000006</v>
      </c>
      <c r="K82" s="103">
        <v>676.46</v>
      </c>
      <c r="L82" s="103">
        <v>658.18000000000006</v>
      </c>
    </row>
    <row r="83" spans="1:12" x14ac:dyDescent="0.25">
      <c r="A83" s="104">
        <v>79</v>
      </c>
      <c r="B83" s="107" t="s">
        <v>1346</v>
      </c>
      <c r="C83" s="108">
        <v>1111165</v>
      </c>
      <c r="D83" s="107" t="s">
        <v>1133</v>
      </c>
      <c r="E83" s="106">
        <v>662.84</v>
      </c>
      <c r="F83" s="106">
        <v>16.600000000000001</v>
      </c>
      <c r="G83" s="106">
        <v>645.71</v>
      </c>
      <c r="H83" s="106">
        <v>711.67</v>
      </c>
      <c r="I83" s="103">
        <f t="shared" si="2"/>
        <v>671.14</v>
      </c>
      <c r="J83" s="103">
        <f t="shared" si="3"/>
        <v>654.54000000000008</v>
      </c>
      <c r="K83" s="103">
        <v>671.14</v>
      </c>
      <c r="L83" s="103">
        <v>654.54000000000008</v>
      </c>
    </row>
    <row r="84" spans="1:12" x14ac:dyDescent="0.25">
      <c r="A84" s="100">
        <v>80</v>
      </c>
      <c r="B84" s="107" t="s">
        <v>1311</v>
      </c>
      <c r="C84" s="108">
        <v>3331206</v>
      </c>
      <c r="D84" s="107" t="s">
        <v>1347</v>
      </c>
      <c r="E84" s="106">
        <v>663.9</v>
      </c>
      <c r="F84" s="106">
        <v>15.09</v>
      </c>
      <c r="G84" s="106">
        <v>645.65</v>
      </c>
      <c r="H84" s="106">
        <v>697.09</v>
      </c>
      <c r="I84" s="103">
        <f t="shared" si="2"/>
        <v>671.44499999999994</v>
      </c>
      <c r="J84" s="103">
        <f t="shared" si="3"/>
        <v>656.35500000000002</v>
      </c>
      <c r="K84" s="103">
        <v>671.44499999999994</v>
      </c>
      <c r="L84" s="103">
        <v>656.35500000000002</v>
      </c>
    </row>
    <row r="85" spans="1:12" x14ac:dyDescent="0.25">
      <c r="A85" s="104">
        <v>81</v>
      </c>
      <c r="B85" s="107" t="s">
        <v>1309</v>
      </c>
      <c r="C85" s="108">
        <v>3321123</v>
      </c>
      <c r="D85" s="107" t="s">
        <v>1348</v>
      </c>
      <c r="E85" s="106">
        <v>664.06</v>
      </c>
      <c r="F85" s="106">
        <v>13.84</v>
      </c>
      <c r="G85" s="106">
        <v>645.62</v>
      </c>
      <c r="H85" s="106">
        <v>704.3</v>
      </c>
      <c r="I85" s="103">
        <f t="shared" si="2"/>
        <v>670.9799999999999</v>
      </c>
      <c r="J85" s="103">
        <f t="shared" si="3"/>
        <v>657.14</v>
      </c>
      <c r="K85" s="103">
        <v>670.9799999999999</v>
      </c>
      <c r="L85" s="103">
        <v>657.14</v>
      </c>
    </row>
    <row r="86" spans="1:12" x14ac:dyDescent="0.25">
      <c r="A86" s="100">
        <v>82</v>
      </c>
      <c r="B86" s="107" t="s">
        <v>1313</v>
      </c>
      <c r="C86" s="108">
        <v>3611341</v>
      </c>
      <c r="D86" s="107" t="s">
        <v>1349</v>
      </c>
      <c r="E86" s="106">
        <v>665.49</v>
      </c>
      <c r="F86" s="106">
        <v>17.440000000000001</v>
      </c>
      <c r="G86" s="106">
        <v>645.42999999999995</v>
      </c>
      <c r="H86" s="106">
        <v>733.79</v>
      </c>
      <c r="I86" s="103">
        <f t="shared" si="2"/>
        <v>674.21</v>
      </c>
      <c r="J86" s="103">
        <f t="shared" si="3"/>
        <v>656.77</v>
      </c>
      <c r="K86" s="103">
        <v>674.21</v>
      </c>
      <c r="L86" s="103">
        <v>656.77</v>
      </c>
    </row>
    <row r="87" spans="1:12" x14ac:dyDescent="0.25">
      <c r="A87" s="104">
        <v>83</v>
      </c>
      <c r="B87" s="107" t="s">
        <v>1337</v>
      </c>
      <c r="C87" s="108">
        <v>3411497</v>
      </c>
      <c r="D87" s="107" t="s">
        <v>1350</v>
      </c>
      <c r="E87" s="106">
        <v>667.16</v>
      </c>
      <c r="F87" s="106">
        <v>18.329999999999998</v>
      </c>
      <c r="G87" s="106">
        <v>644.89</v>
      </c>
      <c r="H87" s="106">
        <v>699.32</v>
      </c>
      <c r="I87" s="103">
        <f t="shared" si="2"/>
        <v>676.32499999999993</v>
      </c>
      <c r="J87" s="103">
        <f t="shared" si="3"/>
        <v>657.995</v>
      </c>
      <c r="K87" s="103">
        <v>676.32499999999993</v>
      </c>
      <c r="L87" s="103">
        <v>657.995</v>
      </c>
    </row>
    <row r="88" spans="1:12" x14ac:dyDescent="0.25">
      <c r="A88" s="100">
        <v>84</v>
      </c>
      <c r="B88" s="107" t="s">
        <v>1351</v>
      </c>
      <c r="C88" s="108">
        <v>3711083</v>
      </c>
      <c r="D88" s="107" t="s">
        <v>1352</v>
      </c>
      <c r="E88" s="106">
        <v>660.04</v>
      </c>
      <c r="F88" s="106">
        <v>13.08</v>
      </c>
      <c r="G88" s="106">
        <v>644.70000000000005</v>
      </c>
      <c r="H88" s="106">
        <v>700.66</v>
      </c>
      <c r="I88" s="103">
        <f t="shared" si="2"/>
        <v>666.57999999999993</v>
      </c>
      <c r="J88" s="103">
        <f t="shared" si="3"/>
        <v>653.5</v>
      </c>
      <c r="K88" s="103">
        <v>666.57999999999993</v>
      </c>
      <c r="L88" s="103">
        <v>653.5</v>
      </c>
    </row>
    <row r="89" spans="1:12" x14ac:dyDescent="0.25">
      <c r="A89" s="104">
        <v>85</v>
      </c>
      <c r="B89" s="107" t="s">
        <v>1353</v>
      </c>
      <c r="C89" s="108">
        <v>3721305</v>
      </c>
      <c r="D89" s="107" t="s">
        <v>1319</v>
      </c>
      <c r="E89" s="106">
        <v>660.95</v>
      </c>
      <c r="F89" s="106">
        <v>14.96</v>
      </c>
      <c r="G89" s="106">
        <v>644.42999999999995</v>
      </c>
      <c r="H89" s="106">
        <v>698.6</v>
      </c>
      <c r="I89" s="103">
        <f t="shared" si="2"/>
        <v>668.43000000000006</v>
      </c>
      <c r="J89" s="103">
        <f t="shared" si="3"/>
        <v>653.47</v>
      </c>
      <c r="K89" s="103">
        <v>668.43000000000006</v>
      </c>
      <c r="L89" s="103">
        <v>653.47</v>
      </c>
    </row>
    <row r="90" spans="1:12" x14ac:dyDescent="0.25">
      <c r="A90" s="100">
        <v>86</v>
      </c>
      <c r="B90" s="107" t="s">
        <v>1354</v>
      </c>
      <c r="C90" s="108">
        <v>3511212</v>
      </c>
      <c r="D90" s="107" t="s">
        <v>1319</v>
      </c>
      <c r="E90" s="106">
        <v>657.41</v>
      </c>
      <c r="F90" s="106">
        <v>9.92</v>
      </c>
      <c r="G90" s="106">
        <v>643.80999999999995</v>
      </c>
      <c r="H90" s="106">
        <v>680.39</v>
      </c>
      <c r="I90" s="103">
        <f t="shared" si="2"/>
        <v>662.37</v>
      </c>
      <c r="J90" s="103">
        <f t="shared" si="3"/>
        <v>652.44999999999993</v>
      </c>
      <c r="K90" s="103">
        <v>662.37</v>
      </c>
      <c r="L90" s="103">
        <v>652.44999999999993</v>
      </c>
    </row>
    <row r="91" spans="1:12" x14ac:dyDescent="0.25">
      <c r="A91" s="104">
        <v>87</v>
      </c>
      <c r="B91" s="107" t="s">
        <v>1313</v>
      </c>
      <c r="C91" s="108">
        <v>3611082</v>
      </c>
      <c r="D91" s="107" t="s">
        <v>1355</v>
      </c>
      <c r="E91" s="106">
        <v>668.69</v>
      </c>
      <c r="F91" s="106">
        <v>18.920000000000002</v>
      </c>
      <c r="G91" s="106">
        <v>643.32000000000005</v>
      </c>
      <c r="H91" s="106">
        <v>721.54</v>
      </c>
      <c r="I91" s="103">
        <f t="shared" si="2"/>
        <v>678.15000000000009</v>
      </c>
      <c r="J91" s="103">
        <f t="shared" si="3"/>
        <v>659.23</v>
      </c>
      <c r="K91" s="103">
        <v>678.15000000000009</v>
      </c>
      <c r="L91" s="103">
        <v>659.23</v>
      </c>
    </row>
    <row r="92" spans="1:12" x14ac:dyDescent="0.25">
      <c r="A92" s="100">
        <v>88</v>
      </c>
      <c r="B92" s="107" t="s">
        <v>1328</v>
      </c>
      <c r="C92" s="108">
        <v>3821071</v>
      </c>
      <c r="D92" s="107" t="s">
        <v>1332</v>
      </c>
      <c r="E92" s="106">
        <v>665.03</v>
      </c>
      <c r="F92" s="106">
        <v>17.38</v>
      </c>
      <c r="G92" s="106">
        <v>643.07000000000005</v>
      </c>
      <c r="H92" s="106">
        <v>733.21</v>
      </c>
      <c r="I92" s="103">
        <f t="shared" si="2"/>
        <v>673.72</v>
      </c>
      <c r="J92" s="103">
        <f t="shared" si="3"/>
        <v>656.33999999999992</v>
      </c>
      <c r="K92" s="103">
        <v>673.72</v>
      </c>
      <c r="L92" s="103">
        <v>656.33999999999992</v>
      </c>
    </row>
    <row r="93" spans="1:12" x14ac:dyDescent="0.25">
      <c r="A93" s="104">
        <v>89</v>
      </c>
      <c r="B93" s="107" t="s">
        <v>1356</v>
      </c>
      <c r="C93" s="108">
        <v>1311191</v>
      </c>
      <c r="D93" s="107" t="s">
        <v>1357</v>
      </c>
      <c r="E93" s="106">
        <v>658.77</v>
      </c>
      <c r="F93" s="106">
        <v>17.440000000000001</v>
      </c>
      <c r="G93" s="106">
        <v>643.01</v>
      </c>
      <c r="H93" s="106">
        <v>720.68</v>
      </c>
      <c r="I93" s="103">
        <f t="shared" si="2"/>
        <v>667.49</v>
      </c>
      <c r="J93" s="103">
        <f t="shared" si="3"/>
        <v>650.04999999999995</v>
      </c>
      <c r="K93" s="103">
        <v>667.49</v>
      </c>
      <c r="L93" s="103">
        <v>650.04999999999995</v>
      </c>
    </row>
    <row r="94" spans="1:12" x14ac:dyDescent="0.25">
      <c r="A94" s="100">
        <v>90</v>
      </c>
      <c r="B94" s="107" t="s">
        <v>1315</v>
      </c>
      <c r="C94" s="108">
        <v>3211263</v>
      </c>
      <c r="D94" s="107" t="s">
        <v>1358</v>
      </c>
      <c r="E94" s="106">
        <v>655.39</v>
      </c>
      <c r="F94" s="106">
        <v>10.17</v>
      </c>
      <c r="G94" s="106">
        <v>642.77</v>
      </c>
      <c r="H94" s="106">
        <v>678.3</v>
      </c>
      <c r="I94" s="103">
        <f t="shared" si="2"/>
        <v>660.47500000000002</v>
      </c>
      <c r="J94" s="103">
        <f t="shared" si="3"/>
        <v>650.30499999999995</v>
      </c>
      <c r="K94" s="103">
        <v>660.47500000000002</v>
      </c>
      <c r="L94" s="103">
        <v>650.30499999999995</v>
      </c>
    </row>
    <row r="95" spans="1:12" x14ac:dyDescent="0.25">
      <c r="A95" s="104">
        <v>91</v>
      </c>
      <c r="B95" s="107" t="s">
        <v>1328</v>
      </c>
      <c r="C95" s="108">
        <v>3821086</v>
      </c>
      <c r="D95" s="107" t="s">
        <v>1316</v>
      </c>
      <c r="E95" s="106">
        <v>669.82</v>
      </c>
      <c r="F95" s="106">
        <v>19.95</v>
      </c>
      <c r="G95" s="106">
        <v>642.55999999999995</v>
      </c>
      <c r="H95" s="106">
        <v>727.17</v>
      </c>
      <c r="I95" s="103">
        <f t="shared" si="2"/>
        <v>679.79500000000007</v>
      </c>
      <c r="J95" s="103">
        <f t="shared" si="3"/>
        <v>659.84500000000003</v>
      </c>
      <c r="K95" s="103">
        <v>679.79500000000007</v>
      </c>
      <c r="L95" s="103">
        <v>659.84500000000003</v>
      </c>
    </row>
    <row r="96" spans="1:12" x14ac:dyDescent="0.25">
      <c r="A96" s="100">
        <v>92</v>
      </c>
      <c r="B96" s="107" t="s">
        <v>1359</v>
      </c>
      <c r="C96" s="108">
        <v>3551236</v>
      </c>
      <c r="D96" s="107" t="s">
        <v>1322</v>
      </c>
      <c r="E96" s="106">
        <v>662.06</v>
      </c>
      <c r="F96" s="106">
        <v>16.04</v>
      </c>
      <c r="G96" s="106">
        <v>642.38</v>
      </c>
      <c r="H96" s="106">
        <v>714.4</v>
      </c>
      <c r="I96" s="103">
        <f t="shared" si="2"/>
        <v>670.07999999999993</v>
      </c>
      <c r="J96" s="103">
        <f t="shared" si="3"/>
        <v>654.04</v>
      </c>
      <c r="K96" s="103">
        <v>670.07999999999993</v>
      </c>
      <c r="L96" s="103">
        <v>654.04</v>
      </c>
    </row>
    <row r="97" spans="1:12" x14ac:dyDescent="0.25">
      <c r="A97" s="104">
        <v>93</v>
      </c>
      <c r="B97" s="107" t="s">
        <v>1313</v>
      </c>
      <c r="C97" s="108">
        <v>3611356</v>
      </c>
      <c r="D97" s="107" t="s">
        <v>1360</v>
      </c>
      <c r="E97" s="106">
        <v>663.06</v>
      </c>
      <c r="F97" s="106">
        <v>20.62</v>
      </c>
      <c r="G97" s="106">
        <v>641.44000000000005</v>
      </c>
      <c r="H97" s="106">
        <v>747.32</v>
      </c>
      <c r="I97" s="103">
        <f t="shared" si="2"/>
        <v>673.36999999999989</v>
      </c>
      <c r="J97" s="103">
        <f t="shared" si="3"/>
        <v>652.75</v>
      </c>
      <c r="K97" s="103">
        <v>673.36999999999989</v>
      </c>
      <c r="L97" s="103">
        <v>652.75</v>
      </c>
    </row>
    <row r="98" spans="1:12" x14ac:dyDescent="0.25">
      <c r="A98" s="100">
        <v>94</v>
      </c>
      <c r="B98" s="107" t="s">
        <v>1313</v>
      </c>
      <c r="C98" s="108">
        <v>3611163</v>
      </c>
      <c r="D98" s="107" t="s">
        <v>1326</v>
      </c>
      <c r="E98" s="106">
        <v>660.98</v>
      </c>
      <c r="F98" s="106">
        <v>20.71</v>
      </c>
      <c r="G98" s="106">
        <v>641.29999999999995</v>
      </c>
      <c r="H98" s="106">
        <v>729.88</v>
      </c>
      <c r="I98" s="103">
        <f t="shared" si="2"/>
        <v>671.33500000000004</v>
      </c>
      <c r="J98" s="103">
        <f t="shared" si="3"/>
        <v>650.625</v>
      </c>
      <c r="K98" s="103">
        <v>671.33500000000004</v>
      </c>
      <c r="L98" s="103">
        <v>650.625</v>
      </c>
    </row>
    <row r="99" spans="1:12" x14ac:dyDescent="0.25">
      <c r="A99" s="104">
        <v>95</v>
      </c>
      <c r="B99" s="107" t="s">
        <v>1361</v>
      </c>
      <c r="C99" s="108">
        <v>3531174</v>
      </c>
      <c r="D99" s="107" t="s">
        <v>1362</v>
      </c>
      <c r="E99" s="106">
        <v>659.53</v>
      </c>
      <c r="F99" s="106">
        <v>17.2</v>
      </c>
      <c r="G99" s="106">
        <v>639.86</v>
      </c>
      <c r="H99" s="106">
        <v>718.34</v>
      </c>
      <c r="I99" s="103">
        <f t="shared" si="2"/>
        <v>668.13</v>
      </c>
      <c r="J99" s="103">
        <f t="shared" si="3"/>
        <v>650.92999999999995</v>
      </c>
      <c r="K99" s="103">
        <v>668.13</v>
      </c>
      <c r="L99" s="103">
        <v>650.92999999999995</v>
      </c>
    </row>
    <row r="100" spans="1:12" x14ac:dyDescent="0.25">
      <c r="A100" s="100">
        <v>96</v>
      </c>
      <c r="B100" s="107" t="s">
        <v>1328</v>
      </c>
      <c r="C100" s="108">
        <v>3821136</v>
      </c>
      <c r="D100" s="107" t="s">
        <v>1339</v>
      </c>
      <c r="E100" s="106">
        <v>660.33</v>
      </c>
      <c r="F100" s="106">
        <v>22.64</v>
      </c>
      <c r="G100" s="106">
        <v>639.37</v>
      </c>
      <c r="H100" s="106">
        <v>767.21</v>
      </c>
      <c r="I100" s="103">
        <f t="shared" si="2"/>
        <v>671.65000000000009</v>
      </c>
      <c r="J100" s="103">
        <f t="shared" si="3"/>
        <v>649.01</v>
      </c>
      <c r="K100" s="103">
        <v>671.65000000000009</v>
      </c>
      <c r="L100" s="103">
        <v>649.01</v>
      </c>
    </row>
    <row r="101" spans="1:12" x14ac:dyDescent="0.25">
      <c r="A101" s="104">
        <v>97</v>
      </c>
      <c r="B101" s="107" t="s">
        <v>1328</v>
      </c>
      <c r="C101" s="108">
        <v>3821032</v>
      </c>
      <c r="D101" s="107" t="s">
        <v>1317</v>
      </c>
      <c r="E101" s="106">
        <v>659.15</v>
      </c>
      <c r="F101" s="106">
        <v>17.82</v>
      </c>
      <c r="G101" s="106">
        <v>639.30999999999995</v>
      </c>
      <c r="H101" s="106">
        <v>724.21</v>
      </c>
      <c r="I101" s="103">
        <f t="shared" si="2"/>
        <v>668.06</v>
      </c>
      <c r="J101" s="103">
        <f t="shared" si="3"/>
        <v>650.24</v>
      </c>
      <c r="K101" s="103">
        <v>668.06</v>
      </c>
      <c r="L101" s="103">
        <v>650.24</v>
      </c>
    </row>
    <row r="102" spans="1:12" x14ac:dyDescent="0.25">
      <c r="A102" s="100">
        <v>98</v>
      </c>
      <c r="B102" s="107" t="s">
        <v>1328</v>
      </c>
      <c r="C102" s="108">
        <v>3821314</v>
      </c>
      <c r="D102" s="107" t="s">
        <v>1363</v>
      </c>
      <c r="E102" s="106">
        <v>659.18</v>
      </c>
      <c r="F102" s="106">
        <v>17.510000000000002</v>
      </c>
      <c r="G102" s="106">
        <v>638.99</v>
      </c>
      <c r="H102" s="106">
        <v>700.49</v>
      </c>
      <c r="I102" s="103">
        <f t="shared" si="2"/>
        <v>667.93499999999995</v>
      </c>
      <c r="J102" s="103">
        <f t="shared" si="3"/>
        <v>650.42499999999995</v>
      </c>
      <c r="K102" s="103">
        <v>667.93499999999995</v>
      </c>
      <c r="L102" s="103">
        <v>650.42499999999995</v>
      </c>
    </row>
    <row r="103" spans="1:12" x14ac:dyDescent="0.25">
      <c r="A103" s="104">
        <v>99</v>
      </c>
      <c r="B103" s="107" t="s">
        <v>1359</v>
      </c>
      <c r="C103" s="108">
        <v>3551171</v>
      </c>
      <c r="D103" s="107" t="s">
        <v>1323</v>
      </c>
      <c r="E103" s="106">
        <v>656.18</v>
      </c>
      <c r="F103" s="106">
        <v>15.2</v>
      </c>
      <c r="G103" s="106">
        <v>638.74</v>
      </c>
      <c r="H103" s="106">
        <v>712.13</v>
      </c>
      <c r="I103" s="103">
        <f t="shared" si="2"/>
        <v>663.78</v>
      </c>
      <c r="J103" s="103">
        <f t="shared" si="3"/>
        <v>648.57999999999993</v>
      </c>
      <c r="K103" s="103">
        <v>663.78</v>
      </c>
      <c r="L103" s="103">
        <v>648.57999999999993</v>
      </c>
    </row>
    <row r="104" spans="1:12" x14ac:dyDescent="0.25">
      <c r="A104" s="100">
        <v>100</v>
      </c>
      <c r="B104" s="107" t="s">
        <v>1328</v>
      </c>
      <c r="C104" s="108">
        <v>3821105</v>
      </c>
      <c r="D104" s="107" t="s">
        <v>1322</v>
      </c>
      <c r="E104" s="106">
        <v>667.42</v>
      </c>
      <c r="F104" s="106">
        <v>19.989999999999998</v>
      </c>
      <c r="G104" s="106">
        <v>638.66999999999996</v>
      </c>
      <c r="H104" s="106">
        <v>725.73</v>
      </c>
      <c r="I104" s="103">
        <f t="shared" si="2"/>
        <v>677.41499999999996</v>
      </c>
      <c r="J104" s="103">
        <f t="shared" si="3"/>
        <v>657.42499999999995</v>
      </c>
      <c r="K104" s="103">
        <v>677.41499999999996</v>
      </c>
      <c r="L104" s="103">
        <v>657.42499999999995</v>
      </c>
    </row>
    <row r="105" spans="1:12" x14ac:dyDescent="0.25">
      <c r="A105" s="104">
        <v>101</v>
      </c>
      <c r="B105" s="107" t="s">
        <v>1315</v>
      </c>
      <c r="C105" s="108">
        <v>3211294</v>
      </c>
      <c r="D105" s="107" t="s">
        <v>1364</v>
      </c>
      <c r="E105" s="106">
        <v>654.35</v>
      </c>
      <c r="F105" s="106">
        <v>14.27</v>
      </c>
      <c r="G105" s="106">
        <v>638.6</v>
      </c>
      <c r="H105" s="106">
        <v>702.73</v>
      </c>
      <c r="I105" s="103">
        <f t="shared" si="2"/>
        <v>661.48500000000001</v>
      </c>
      <c r="J105" s="103">
        <f t="shared" si="3"/>
        <v>647.21500000000003</v>
      </c>
      <c r="K105" s="103">
        <v>661.48500000000001</v>
      </c>
      <c r="L105" s="103">
        <v>647.21500000000003</v>
      </c>
    </row>
    <row r="106" spans="1:12" x14ac:dyDescent="0.25">
      <c r="A106" s="100">
        <v>102</v>
      </c>
      <c r="B106" s="107" t="s">
        <v>1309</v>
      </c>
      <c r="C106" s="108">
        <v>3321154</v>
      </c>
      <c r="D106" s="107" t="s">
        <v>1365</v>
      </c>
      <c r="E106" s="106">
        <v>653.49</v>
      </c>
      <c r="F106" s="106">
        <v>14.96</v>
      </c>
      <c r="G106" s="106">
        <v>638.5</v>
      </c>
      <c r="H106" s="106">
        <v>696.62</v>
      </c>
      <c r="I106" s="103">
        <f t="shared" si="2"/>
        <v>660.97</v>
      </c>
      <c r="J106" s="103">
        <f t="shared" si="3"/>
        <v>646.01</v>
      </c>
      <c r="K106" s="103">
        <v>660.97</v>
      </c>
      <c r="L106" s="103">
        <v>646.01</v>
      </c>
    </row>
    <row r="107" spans="1:12" x14ac:dyDescent="0.25">
      <c r="A107" s="104">
        <v>103</v>
      </c>
      <c r="B107" s="107" t="s">
        <v>1313</v>
      </c>
      <c r="C107" s="108">
        <v>3611213</v>
      </c>
      <c r="D107" s="107" t="s">
        <v>1366</v>
      </c>
      <c r="E107" s="106">
        <v>665.27</v>
      </c>
      <c r="F107" s="106">
        <v>19.16</v>
      </c>
      <c r="G107" s="106">
        <v>638.37</v>
      </c>
      <c r="H107" s="106">
        <v>713.91</v>
      </c>
      <c r="I107" s="103">
        <f t="shared" si="2"/>
        <v>674.85</v>
      </c>
      <c r="J107" s="103">
        <f t="shared" si="3"/>
        <v>655.68999999999994</v>
      </c>
      <c r="K107" s="103">
        <v>674.85</v>
      </c>
      <c r="L107" s="103">
        <v>655.68999999999994</v>
      </c>
    </row>
    <row r="108" spans="1:12" x14ac:dyDescent="0.25">
      <c r="A108" s="100">
        <v>104</v>
      </c>
      <c r="B108" s="107" t="s">
        <v>1309</v>
      </c>
      <c r="C108" s="108">
        <v>3321131</v>
      </c>
      <c r="D108" s="107" t="s">
        <v>1367</v>
      </c>
      <c r="E108" s="106">
        <v>656.61</v>
      </c>
      <c r="F108" s="106">
        <v>13.55</v>
      </c>
      <c r="G108" s="106">
        <v>638.12</v>
      </c>
      <c r="H108" s="106">
        <v>693.83</v>
      </c>
      <c r="I108" s="103">
        <f t="shared" si="2"/>
        <v>663.38499999999999</v>
      </c>
      <c r="J108" s="103">
        <f t="shared" si="3"/>
        <v>649.83500000000004</v>
      </c>
      <c r="K108" s="103">
        <v>663.38499999999999</v>
      </c>
      <c r="L108" s="103">
        <v>649.83500000000004</v>
      </c>
    </row>
    <row r="109" spans="1:12" x14ac:dyDescent="0.25">
      <c r="A109" s="104">
        <v>105</v>
      </c>
      <c r="B109" s="107" t="s">
        <v>1313</v>
      </c>
      <c r="C109" s="108">
        <v>3611205</v>
      </c>
      <c r="D109" s="107" t="s">
        <v>1368</v>
      </c>
      <c r="E109" s="106">
        <v>657.52</v>
      </c>
      <c r="F109" s="106">
        <v>17.329999999999998</v>
      </c>
      <c r="G109" s="106">
        <v>637.75</v>
      </c>
      <c r="H109" s="106">
        <v>700.2</v>
      </c>
      <c r="I109" s="103">
        <f t="shared" si="2"/>
        <v>666.18499999999995</v>
      </c>
      <c r="J109" s="103">
        <f t="shared" si="3"/>
        <v>648.85500000000002</v>
      </c>
      <c r="K109" s="103">
        <v>666.18499999999995</v>
      </c>
      <c r="L109" s="103">
        <v>648.85500000000002</v>
      </c>
    </row>
    <row r="110" spans="1:12" x14ac:dyDescent="0.25">
      <c r="A110" s="100">
        <v>106</v>
      </c>
      <c r="B110" s="107" t="s">
        <v>1359</v>
      </c>
      <c r="C110" s="108">
        <v>3551333</v>
      </c>
      <c r="D110" s="107" t="s">
        <v>1369</v>
      </c>
      <c r="E110" s="106">
        <v>661.94</v>
      </c>
      <c r="F110" s="106">
        <v>26.87</v>
      </c>
      <c r="G110" s="106">
        <v>637.63</v>
      </c>
      <c r="H110" s="106">
        <v>742.02</v>
      </c>
      <c r="I110" s="103">
        <f t="shared" si="2"/>
        <v>675.375</v>
      </c>
      <c r="J110" s="103">
        <f t="shared" si="3"/>
        <v>648.50500000000011</v>
      </c>
      <c r="K110" s="103">
        <v>675.375</v>
      </c>
      <c r="L110" s="103">
        <v>648.50500000000011</v>
      </c>
    </row>
    <row r="111" spans="1:12" x14ac:dyDescent="0.25">
      <c r="A111" s="104">
        <v>107</v>
      </c>
      <c r="B111" s="107" t="s">
        <v>1328</v>
      </c>
      <c r="C111" s="108">
        <v>3821295</v>
      </c>
      <c r="D111" s="107" t="s">
        <v>1370</v>
      </c>
      <c r="E111" s="106">
        <v>657.05</v>
      </c>
      <c r="F111" s="106">
        <v>16.23</v>
      </c>
      <c r="G111" s="106">
        <v>636.9</v>
      </c>
      <c r="H111" s="106">
        <v>687.38</v>
      </c>
      <c r="I111" s="103">
        <f t="shared" si="2"/>
        <v>665.16499999999996</v>
      </c>
      <c r="J111" s="103">
        <f t="shared" si="3"/>
        <v>648.93499999999995</v>
      </c>
      <c r="K111" s="103">
        <v>665.16499999999996</v>
      </c>
      <c r="L111" s="103">
        <v>648.93499999999995</v>
      </c>
    </row>
    <row r="112" spans="1:12" x14ac:dyDescent="0.25">
      <c r="A112" s="100">
        <v>108</v>
      </c>
      <c r="B112" s="107" t="s">
        <v>1328</v>
      </c>
      <c r="C112" s="108">
        <v>3821063</v>
      </c>
      <c r="D112" s="107" t="s">
        <v>1314</v>
      </c>
      <c r="E112" s="106">
        <v>659.35</v>
      </c>
      <c r="F112" s="106">
        <v>16.37</v>
      </c>
      <c r="G112" s="106">
        <v>636.70000000000005</v>
      </c>
      <c r="H112" s="106">
        <v>718.5</v>
      </c>
      <c r="I112" s="103">
        <f t="shared" si="2"/>
        <v>667.53499999999997</v>
      </c>
      <c r="J112" s="103">
        <f t="shared" si="3"/>
        <v>651.16500000000008</v>
      </c>
      <c r="K112" s="103">
        <v>667.53499999999997</v>
      </c>
      <c r="L112" s="103">
        <v>651.16500000000008</v>
      </c>
    </row>
    <row r="113" spans="1:12" x14ac:dyDescent="0.25">
      <c r="A113" s="104">
        <v>109</v>
      </c>
      <c r="B113" s="107" t="s">
        <v>1371</v>
      </c>
      <c r="C113" s="108">
        <v>6121217</v>
      </c>
      <c r="D113" s="107" t="s">
        <v>1372</v>
      </c>
      <c r="E113" s="106">
        <v>656.65</v>
      </c>
      <c r="F113" s="106">
        <v>24.65</v>
      </c>
      <c r="G113" s="106">
        <v>636.54</v>
      </c>
      <c r="H113" s="106">
        <v>734.63</v>
      </c>
      <c r="I113" s="103">
        <f t="shared" si="2"/>
        <v>668.97500000000002</v>
      </c>
      <c r="J113" s="103">
        <f t="shared" si="3"/>
        <v>644.32499999999993</v>
      </c>
      <c r="K113" s="103">
        <v>668.97500000000002</v>
      </c>
      <c r="L113" s="103">
        <v>644.32499999999993</v>
      </c>
    </row>
    <row r="114" spans="1:12" x14ac:dyDescent="0.25">
      <c r="A114" s="100">
        <v>110</v>
      </c>
      <c r="B114" s="107" t="s">
        <v>1361</v>
      </c>
      <c r="C114" s="108">
        <v>3531023</v>
      </c>
      <c r="D114" s="107" t="s">
        <v>1153</v>
      </c>
      <c r="E114" s="106">
        <v>652.26</v>
      </c>
      <c r="F114" s="106">
        <v>12.63</v>
      </c>
      <c r="G114" s="106">
        <v>636.51</v>
      </c>
      <c r="H114" s="106">
        <v>685.89</v>
      </c>
      <c r="I114" s="103">
        <f t="shared" si="2"/>
        <v>658.57500000000005</v>
      </c>
      <c r="J114" s="103">
        <f t="shared" si="3"/>
        <v>645.94499999999994</v>
      </c>
      <c r="K114" s="103">
        <v>658.57500000000005</v>
      </c>
      <c r="L114" s="103">
        <v>645.94499999999994</v>
      </c>
    </row>
    <row r="115" spans="1:12" x14ac:dyDescent="0.25">
      <c r="A115" s="104">
        <v>111</v>
      </c>
      <c r="B115" s="107" t="s">
        <v>1337</v>
      </c>
      <c r="C115" s="108">
        <v>3411273</v>
      </c>
      <c r="D115" s="107" t="s">
        <v>1373</v>
      </c>
      <c r="E115" s="106">
        <v>657.46</v>
      </c>
      <c r="F115" s="106">
        <v>18.649999999999999</v>
      </c>
      <c r="G115" s="106">
        <v>636.41999999999996</v>
      </c>
      <c r="H115" s="106">
        <v>728.04</v>
      </c>
      <c r="I115" s="103">
        <f t="shared" si="2"/>
        <v>666.78500000000008</v>
      </c>
      <c r="J115" s="103">
        <f t="shared" si="3"/>
        <v>648.13499999999999</v>
      </c>
      <c r="K115" s="103">
        <v>666.78500000000008</v>
      </c>
      <c r="L115" s="103">
        <v>648.13499999999999</v>
      </c>
    </row>
    <row r="116" spans="1:12" x14ac:dyDescent="0.25">
      <c r="A116" s="100">
        <v>112</v>
      </c>
      <c r="B116" s="107" t="s">
        <v>1359</v>
      </c>
      <c r="C116" s="108">
        <v>3551205</v>
      </c>
      <c r="D116" s="107" t="s">
        <v>1316</v>
      </c>
      <c r="E116" s="106">
        <v>655.57</v>
      </c>
      <c r="F116" s="106">
        <v>14.57</v>
      </c>
      <c r="G116" s="106">
        <v>636.15</v>
      </c>
      <c r="H116" s="106">
        <v>698.9</v>
      </c>
      <c r="I116" s="103">
        <f t="shared" si="2"/>
        <v>662.85500000000002</v>
      </c>
      <c r="J116" s="103">
        <f t="shared" si="3"/>
        <v>648.28500000000008</v>
      </c>
      <c r="K116" s="103">
        <v>662.85500000000002</v>
      </c>
      <c r="L116" s="103">
        <v>648.28500000000008</v>
      </c>
    </row>
    <row r="117" spans="1:12" x14ac:dyDescent="0.25">
      <c r="A117" s="104">
        <v>113</v>
      </c>
      <c r="B117" s="107" t="s">
        <v>1315</v>
      </c>
      <c r="C117" s="108">
        <v>3211062</v>
      </c>
      <c r="D117" s="107" t="s">
        <v>1374</v>
      </c>
      <c r="E117" s="106">
        <v>657.97</v>
      </c>
      <c r="F117" s="106">
        <v>20.27</v>
      </c>
      <c r="G117" s="106">
        <v>635.91</v>
      </c>
      <c r="H117" s="106">
        <v>708.95</v>
      </c>
      <c r="I117" s="103">
        <f t="shared" si="2"/>
        <v>668.10500000000002</v>
      </c>
      <c r="J117" s="103">
        <f t="shared" si="3"/>
        <v>647.83500000000004</v>
      </c>
      <c r="K117" s="103">
        <v>668.10500000000002</v>
      </c>
      <c r="L117" s="103">
        <v>647.83500000000004</v>
      </c>
    </row>
    <row r="118" spans="1:12" x14ac:dyDescent="0.25">
      <c r="A118" s="100">
        <v>114</v>
      </c>
      <c r="B118" s="107" t="s">
        <v>1359</v>
      </c>
      <c r="C118" s="108">
        <v>3551101</v>
      </c>
      <c r="D118" s="107" t="s">
        <v>1362</v>
      </c>
      <c r="E118" s="106">
        <v>656.98</v>
      </c>
      <c r="F118" s="106">
        <v>17.329999999999998</v>
      </c>
      <c r="G118" s="106">
        <v>635.62</v>
      </c>
      <c r="H118" s="106">
        <v>707.66</v>
      </c>
      <c r="I118" s="103">
        <f t="shared" si="2"/>
        <v>665.64499999999998</v>
      </c>
      <c r="J118" s="103">
        <f t="shared" si="3"/>
        <v>648.31500000000005</v>
      </c>
      <c r="K118" s="103">
        <v>665.64499999999998</v>
      </c>
      <c r="L118" s="103">
        <v>648.31500000000005</v>
      </c>
    </row>
    <row r="119" spans="1:12" x14ac:dyDescent="0.25">
      <c r="A119" s="104">
        <v>115</v>
      </c>
      <c r="B119" s="107" t="s">
        <v>1315</v>
      </c>
      <c r="C119" s="108">
        <v>3211286</v>
      </c>
      <c r="D119" s="107" t="s">
        <v>1368</v>
      </c>
      <c r="E119" s="106">
        <v>656</v>
      </c>
      <c r="F119" s="106">
        <v>15.78</v>
      </c>
      <c r="G119" s="106">
        <v>635.5</v>
      </c>
      <c r="H119" s="106">
        <v>700.48</v>
      </c>
      <c r="I119" s="103">
        <f t="shared" si="2"/>
        <v>663.89</v>
      </c>
      <c r="J119" s="103">
        <f t="shared" si="3"/>
        <v>648.11</v>
      </c>
      <c r="K119" s="103">
        <v>663.89</v>
      </c>
      <c r="L119" s="103">
        <v>648.11</v>
      </c>
    </row>
    <row r="120" spans="1:12" x14ac:dyDescent="0.25">
      <c r="A120" s="100">
        <v>116</v>
      </c>
      <c r="B120" s="107" t="s">
        <v>1337</v>
      </c>
      <c r="C120" s="108">
        <v>3411315</v>
      </c>
      <c r="D120" s="107" t="s">
        <v>1375</v>
      </c>
      <c r="E120" s="106">
        <v>650.1</v>
      </c>
      <c r="F120" s="106">
        <v>9.98</v>
      </c>
      <c r="G120" s="106">
        <v>635.39</v>
      </c>
      <c r="H120" s="106">
        <v>676.71</v>
      </c>
      <c r="I120" s="103">
        <f t="shared" si="2"/>
        <v>655.09</v>
      </c>
      <c r="J120" s="103">
        <f t="shared" si="3"/>
        <v>645.11</v>
      </c>
      <c r="K120" s="103">
        <v>655.09</v>
      </c>
      <c r="L120" s="103">
        <v>645.11</v>
      </c>
    </row>
    <row r="121" spans="1:12" x14ac:dyDescent="0.25">
      <c r="A121" s="104">
        <v>117</v>
      </c>
      <c r="B121" s="107" t="s">
        <v>1376</v>
      </c>
      <c r="C121" s="108">
        <v>5411211</v>
      </c>
      <c r="D121" s="107" t="s">
        <v>1133</v>
      </c>
      <c r="E121" s="106">
        <v>650.57000000000005</v>
      </c>
      <c r="F121" s="106">
        <v>13.2</v>
      </c>
      <c r="G121" s="106">
        <v>635.14</v>
      </c>
      <c r="H121" s="106">
        <v>682.35</v>
      </c>
      <c r="I121" s="103">
        <f t="shared" si="2"/>
        <v>657.17000000000007</v>
      </c>
      <c r="J121" s="103">
        <f t="shared" si="3"/>
        <v>643.97</v>
      </c>
      <c r="K121" s="103">
        <v>657.17000000000007</v>
      </c>
      <c r="L121" s="103">
        <v>643.97</v>
      </c>
    </row>
    <row r="122" spans="1:12" x14ac:dyDescent="0.25">
      <c r="A122" s="100">
        <v>118</v>
      </c>
      <c r="B122" s="107" t="s">
        <v>1313</v>
      </c>
      <c r="C122" s="108">
        <v>3611364</v>
      </c>
      <c r="D122" s="107" t="s">
        <v>1377</v>
      </c>
      <c r="E122" s="106">
        <v>657.45</v>
      </c>
      <c r="F122" s="106">
        <v>20.59</v>
      </c>
      <c r="G122" s="106">
        <v>634.99</v>
      </c>
      <c r="H122" s="106">
        <v>727.19</v>
      </c>
      <c r="I122" s="103">
        <f t="shared" si="2"/>
        <v>667.745</v>
      </c>
      <c r="J122" s="103">
        <f t="shared" si="3"/>
        <v>647.15500000000009</v>
      </c>
      <c r="K122" s="103">
        <v>667.745</v>
      </c>
      <c r="L122" s="103">
        <v>647.15500000000009</v>
      </c>
    </row>
    <row r="123" spans="1:12" x14ac:dyDescent="0.25">
      <c r="A123" s="104">
        <v>119</v>
      </c>
      <c r="B123" s="107" t="s">
        <v>1311</v>
      </c>
      <c r="C123" s="108">
        <v>3331164</v>
      </c>
      <c r="D123" s="107" t="s">
        <v>1330</v>
      </c>
      <c r="E123" s="106">
        <v>659.09</v>
      </c>
      <c r="F123" s="106">
        <v>21.88</v>
      </c>
      <c r="G123" s="106">
        <v>634.72</v>
      </c>
      <c r="H123" s="106">
        <v>753.46</v>
      </c>
      <c r="I123" s="103">
        <f t="shared" si="2"/>
        <v>670.03000000000009</v>
      </c>
      <c r="J123" s="103">
        <f t="shared" si="3"/>
        <v>648.15</v>
      </c>
      <c r="K123" s="103">
        <v>670.03000000000009</v>
      </c>
      <c r="L123" s="103">
        <v>648.15</v>
      </c>
    </row>
    <row r="124" spans="1:12" x14ac:dyDescent="0.25">
      <c r="A124" s="100">
        <v>120</v>
      </c>
      <c r="B124" s="107" t="s">
        <v>1354</v>
      </c>
      <c r="C124" s="108">
        <v>3511131</v>
      </c>
      <c r="D124" s="107" t="s">
        <v>1330</v>
      </c>
      <c r="E124" s="106">
        <v>649.13</v>
      </c>
      <c r="F124" s="106">
        <v>14.85</v>
      </c>
      <c r="G124" s="106">
        <v>634.33000000000004</v>
      </c>
      <c r="H124" s="106">
        <v>729.52</v>
      </c>
      <c r="I124" s="103">
        <f t="shared" si="2"/>
        <v>656.55499999999995</v>
      </c>
      <c r="J124" s="103">
        <f t="shared" si="3"/>
        <v>641.70500000000004</v>
      </c>
      <c r="K124" s="103">
        <v>656.55499999999995</v>
      </c>
      <c r="L124" s="103">
        <v>641.70500000000004</v>
      </c>
    </row>
    <row r="125" spans="1:12" x14ac:dyDescent="0.25">
      <c r="A125" s="104">
        <v>121</v>
      </c>
      <c r="B125" s="107" t="s">
        <v>1318</v>
      </c>
      <c r="C125" s="108">
        <v>3811037</v>
      </c>
      <c r="D125" s="107" t="s">
        <v>1378</v>
      </c>
      <c r="E125" s="106">
        <v>657.01</v>
      </c>
      <c r="F125" s="106">
        <v>16.239999999999998</v>
      </c>
      <c r="G125" s="106">
        <v>634.27</v>
      </c>
      <c r="H125" s="106">
        <v>724.26</v>
      </c>
      <c r="I125" s="103">
        <f t="shared" si="2"/>
        <v>665.13</v>
      </c>
      <c r="J125" s="103">
        <f t="shared" si="3"/>
        <v>648.89</v>
      </c>
      <c r="K125" s="103">
        <v>665.13</v>
      </c>
      <c r="L125" s="103">
        <v>648.89</v>
      </c>
    </row>
    <row r="126" spans="1:12" x14ac:dyDescent="0.25">
      <c r="A126" s="100">
        <v>122</v>
      </c>
      <c r="B126" s="107" t="s">
        <v>1353</v>
      </c>
      <c r="C126" s="108">
        <v>3721247</v>
      </c>
      <c r="D126" s="107" t="s">
        <v>1322</v>
      </c>
      <c r="E126" s="106">
        <v>650.02</v>
      </c>
      <c r="F126" s="106">
        <v>15.56</v>
      </c>
      <c r="G126" s="106">
        <v>633.64</v>
      </c>
      <c r="H126" s="106">
        <v>699.37</v>
      </c>
      <c r="I126" s="103">
        <f t="shared" si="2"/>
        <v>657.8</v>
      </c>
      <c r="J126" s="103">
        <f t="shared" si="3"/>
        <v>642.24</v>
      </c>
      <c r="K126" s="103">
        <v>657.8</v>
      </c>
      <c r="L126" s="103">
        <v>642.24</v>
      </c>
    </row>
    <row r="127" spans="1:12" x14ac:dyDescent="0.25">
      <c r="A127" s="104">
        <v>123</v>
      </c>
      <c r="B127" s="107" t="s">
        <v>1379</v>
      </c>
      <c r="C127" s="108">
        <v>5311233</v>
      </c>
      <c r="D127" s="107" t="s">
        <v>1133</v>
      </c>
      <c r="E127" s="106">
        <v>653.29999999999995</v>
      </c>
      <c r="F127" s="106">
        <v>17.59</v>
      </c>
      <c r="G127" s="106">
        <v>633.45000000000005</v>
      </c>
      <c r="H127" s="106">
        <v>725.57</v>
      </c>
      <c r="I127" s="103">
        <f t="shared" si="2"/>
        <v>662.09499999999991</v>
      </c>
      <c r="J127" s="103">
        <f t="shared" si="3"/>
        <v>644.505</v>
      </c>
      <c r="K127" s="103">
        <v>662.09499999999991</v>
      </c>
      <c r="L127" s="103">
        <v>644.505</v>
      </c>
    </row>
    <row r="128" spans="1:12" x14ac:dyDescent="0.25">
      <c r="A128" s="100">
        <v>124</v>
      </c>
      <c r="B128" s="107" t="s">
        <v>1313</v>
      </c>
      <c r="C128" s="108">
        <v>3611461</v>
      </c>
      <c r="D128" s="107" t="s">
        <v>1380</v>
      </c>
      <c r="E128" s="106">
        <v>653.79999999999995</v>
      </c>
      <c r="F128" s="106">
        <v>18.940000000000001</v>
      </c>
      <c r="G128" s="106">
        <v>633.36</v>
      </c>
      <c r="H128" s="106">
        <v>720.78</v>
      </c>
      <c r="I128" s="103">
        <f t="shared" si="2"/>
        <v>663.27</v>
      </c>
      <c r="J128" s="103">
        <f t="shared" si="3"/>
        <v>644.32999999999993</v>
      </c>
      <c r="K128" s="103">
        <v>663.27</v>
      </c>
      <c r="L128" s="103">
        <v>644.32999999999993</v>
      </c>
    </row>
    <row r="129" spans="1:12" x14ac:dyDescent="0.25">
      <c r="A129" s="104">
        <v>125</v>
      </c>
      <c r="B129" s="107" t="s">
        <v>1353</v>
      </c>
      <c r="C129" s="108">
        <v>3721182</v>
      </c>
      <c r="D129" s="107" t="s">
        <v>1317</v>
      </c>
      <c r="E129" s="106">
        <v>649.74</v>
      </c>
      <c r="F129" s="106">
        <v>16.77</v>
      </c>
      <c r="G129" s="106">
        <v>632.86</v>
      </c>
      <c r="H129" s="106">
        <v>713.69</v>
      </c>
      <c r="I129" s="103">
        <f t="shared" si="2"/>
        <v>658.125</v>
      </c>
      <c r="J129" s="103">
        <f t="shared" si="3"/>
        <v>641.35500000000002</v>
      </c>
      <c r="K129" s="103">
        <v>658.125</v>
      </c>
      <c r="L129" s="103">
        <v>641.35500000000002</v>
      </c>
    </row>
    <row r="130" spans="1:12" x14ac:dyDescent="0.25">
      <c r="A130" s="100">
        <v>126</v>
      </c>
      <c r="B130" s="107" t="s">
        <v>1337</v>
      </c>
      <c r="C130" s="108">
        <v>3411354</v>
      </c>
      <c r="D130" s="107" t="s">
        <v>1381</v>
      </c>
      <c r="E130" s="106">
        <v>650.77</v>
      </c>
      <c r="F130" s="106">
        <v>15.28</v>
      </c>
      <c r="G130" s="106">
        <v>632.78</v>
      </c>
      <c r="H130" s="106">
        <v>690.39</v>
      </c>
      <c r="I130" s="103">
        <f t="shared" si="2"/>
        <v>658.41</v>
      </c>
      <c r="J130" s="103">
        <f t="shared" si="3"/>
        <v>643.13</v>
      </c>
      <c r="K130" s="103">
        <v>658.41</v>
      </c>
      <c r="L130" s="103">
        <v>643.13</v>
      </c>
    </row>
    <row r="131" spans="1:12" x14ac:dyDescent="0.25">
      <c r="A131" s="104">
        <v>127</v>
      </c>
      <c r="B131" s="107" t="s">
        <v>1382</v>
      </c>
      <c r="C131" s="108">
        <v>5111207</v>
      </c>
      <c r="D131" s="107" t="s">
        <v>1357</v>
      </c>
      <c r="E131" s="106">
        <v>655.37</v>
      </c>
      <c r="F131" s="106">
        <v>18.420000000000002</v>
      </c>
      <c r="G131" s="106">
        <v>632.65</v>
      </c>
      <c r="H131" s="106">
        <v>708.53</v>
      </c>
      <c r="I131" s="103">
        <f t="shared" si="2"/>
        <v>664.58</v>
      </c>
      <c r="J131" s="103">
        <f t="shared" si="3"/>
        <v>646.16</v>
      </c>
      <c r="K131" s="103">
        <v>664.58</v>
      </c>
      <c r="L131" s="103">
        <v>646.16</v>
      </c>
    </row>
    <row r="132" spans="1:12" x14ac:dyDescent="0.25">
      <c r="A132" s="100">
        <v>128</v>
      </c>
      <c r="B132" s="107" t="s">
        <v>1383</v>
      </c>
      <c r="C132" s="108">
        <v>6111262</v>
      </c>
      <c r="D132" s="107" t="s">
        <v>1319</v>
      </c>
      <c r="E132" s="106">
        <v>646.77</v>
      </c>
      <c r="F132" s="106">
        <v>11.1</v>
      </c>
      <c r="G132" s="106">
        <v>632.59</v>
      </c>
      <c r="H132" s="106">
        <v>669.91</v>
      </c>
      <c r="I132" s="103">
        <f t="shared" si="2"/>
        <v>652.31999999999994</v>
      </c>
      <c r="J132" s="103">
        <f t="shared" si="3"/>
        <v>641.22</v>
      </c>
      <c r="K132" s="103">
        <v>652.31999999999994</v>
      </c>
      <c r="L132" s="103">
        <v>641.22</v>
      </c>
    </row>
    <row r="133" spans="1:12" x14ac:dyDescent="0.25">
      <c r="A133" s="104">
        <v>129</v>
      </c>
      <c r="B133" s="107" t="s">
        <v>1384</v>
      </c>
      <c r="C133" s="108">
        <v>1511146</v>
      </c>
      <c r="D133" s="107" t="s">
        <v>1372</v>
      </c>
      <c r="E133" s="106">
        <v>644.41</v>
      </c>
      <c r="F133" s="106">
        <v>9.66</v>
      </c>
      <c r="G133" s="106">
        <v>632.41999999999996</v>
      </c>
      <c r="H133" s="106">
        <v>669.9</v>
      </c>
      <c r="I133" s="103">
        <f t="shared" si="2"/>
        <v>649.24</v>
      </c>
      <c r="J133" s="103">
        <f t="shared" si="3"/>
        <v>639.57999999999993</v>
      </c>
      <c r="K133" s="103">
        <v>649.24</v>
      </c>
      <c r="L133" s="103">
        <v>639.57999999999993</v>
      </c>
    </row>
    <row r="134" spans="1:12" x14ac:dyDescent="0.25">
      <c r="A134" s="100">
        <v>130</v>
      </c>
      <c r="B134" s="107" t="s">
        <v>1337</v>
      </c>
      <c r="C134" s="108">
        <v>3411041</v>
      </c>
      <c r="D134" s="107" t="s">
        <v>1385</v>
      </c>
      <c r="E134" s="106">
        <v>649.44000000000005</v>
      </c>
      <c r="F134" s="106">
        <v>18.41</v>
      </c>
      <c r="G134" s="106">
        <v>631.92999999999995</v>
      </c>
      <c r="H134" s="106">
        <v>704.43</v>
      </c>
      <c r="I134" s="103">
        <f t="shared" ref="I134:I197" si="4">E134+0.5*F134</f>
        <v>658.6450000000001</v>
      </c>
      <c r="J134" s="103">
        <f t="shared" ref="J134:J197" si="5">E134-0.5*F134</f>
        <v>640.23500000000001</v>
      </c>
      <c r="K134" s="103">
        <v>658.6450000000001</v>
      </c>
      <c r="L134" s="103">
        <v>640.23500000000001</v>
      </c>
    </row>
    <row r="135" spans="1:12" x14ac:dyDescent="0.25">
      <c r="A135" s="104">
        <v>131</v>
      </c>
      <c r="B135" s="107" t="s">
        <v>1361</v>
      </c>
      <c r="C135" s="108">
        <v>3531077</v>
      </c>
      <c r="D135" s="107" t="s">
        <v>1323</v>
      </c>
      <c r="E135" s="106">
        <v>647.11</v>
      </c>
      <c r="F135" s="106">
        <v>11.62</v>
      </c>
      <c r="G135" s="106">
        <v>631.88</v>
      </c>
      <c r="H135" s="106">
        <v>690.46</v>
      </c>
      <c r="I135" s="103">
        <f t="shared" si="4"/>
        <v>652.91999999999996</v>
      </c>
      <c r="J135" s="103">
        <f t="shared" si="5"/>
        <v>641.30000000000007</v>
      </c>
      <c r="K135" s="103">
        <v>652.91999999999996</v>
      </c>
      <c r="L135" s="103">
        <v>641.30000000000007</v>
      </c>
    </row>
    <row r="136" spans="1:12" x14ac:dyDescent="0.25">
      <c r="A136" s="100">
        <v>132</v>
      </c>
      <c r="B136" s="107" t="s">
        <v>1311</v>
      </c>
      <c r="C136" s="108">
        <v>3331067</v>
      </c>
      <c r="D136" s="107" t="s">
        <v>1317</v>
      </c>
      <c r="E136" s="106">
        <v>656.38</v>
      </c>
      <c r="F136" s="106">
        <v>23.99</v>
      </c>
      <c r="G136" s="106">
        <v>631.73</v>
      </c>
      <c r="H136" s="106">
        <v>738.17</v>
      </c>
      <c r="I136" s="103">
        <f t="shared" si="4"/>
        <v>668.375</v>
      </c>
      <c r="J136" s="103">
        <f t="shared" si="5"/>
        <v>644.38499999999999</v>
      </c>
      <c r="K136" s="103">
        <v>668.375</v>
      </c>
      <c r="L136" s="103">
        <v>644.38499999999999</v>
      </c>
    </row>
    <row r="137" spans="1:12" x14ac:dyDescent="0.25">
      <c r="A137" s="104">
        <v>133</v>
      </c>
      <c r="B137" s="107" t="s">
        <v>1328</v>
      </c>
      <c r="C137" s="108">
        <v>3821094</v>
      </c>
      <c r="D137" s="107" t="s">
        <v>1345</v>
      </c>
      <c r="E137" s="106">
        <v>650.02</v>
      </c>
      <c r="F137" s="106">
        <v>15.77</v>
      </c>
      <c r="G137" s="106">
        <v>631.59</v>
      </c>
      <c r="H137" s="106">
        <v>705.3</v>
      </c>
      <c r="I137" s="103">
        <f t="shared" si="4"/>
        <v>657.90499999999997</v>
      </c>
      <c r="J137" s="103">
        <f t="shared" si="5"/>
        <v>642.13499999999999</v>
      </c>
      <c r="K137" s="103">
        <v>657.90499999999997</v>
      </c>
      <c r="L137" s="103">
        <v>642.13499999999999</v>
      </c>
    </row>
    <row r="138" spans="1:12" x14ac:dyDescent="0.25">
      <c r="A138" s="100">
        <v>134</v>
      </c>
      <c r="B138" s="107" t="s">
        <v>1313</v>
      </c>
      <c r="C138" s="108">
        <v>3611012</v>
      </c>
      <c r="D138" s="107" t="s">
        <v>1374</v>
      </c>
      <c r="E138" s="106">
        <v>652.04999999999995</v>
      </c>
      <c r="F138" s="106">
        <v>17.71</v>
      </c>
      <c r="G138" s="106">
        <v>631.44000000000005</v>
      </c>
      <c r="H138" s="106">
        <v>723.88</v>
      </c>
      <c r="I138" s="103">
        <f t="shared" si="4"/>
        <v>660.90499999999997</v>
      </c>
      <c r="J138" s="103">
        <f t="shared" si="5"/>
        <v>643.19499999999994</v>
      </c>
      <c r="K138" s="103">
        <v>660.90499999999997</v>
      </c>
      <c r="L138" s="103">
        <v>643.19499999999994</v>
      </c>
    </row>
    <row r="139" spans="1:12" x14ac:dyDescent="0.25">
      <c r="A139" s="104">
        <v>135</v>
      </c>
      <c r="B139" s="107" t="s">
        <v>1313</v>
      </c>
      <c r="C139" s="108">
        <v>3611051</v>
      </c>
      <c r="D139" s="107" t="s">
        <v>1386</v>
      </c>
      <c r="E139" s="106">
        <v>654.73</v>
      </c>
      <c r="F139" s="106">
        <v>17.489999999999998</v>
      </c>
      <c r="G139" s="106">
        <v>631.42999999999995</v>
      </c>
      <c r="H139" s="106">
        <v>691.19</v>
      </c>
      <c r="I139" s="103">
        <f t="shared" si="4"/>
        <v>663.47500000000002</v>
      </c>
      <c r="J139" s="103">
        <f t="shared" si="5"/>
        <v>645.98500000000001</v>
      </c>
      <c r="K139" s="103">
        <v>663.47500000000002</v>
      </c>
      <c r="L139" s="103">
        <v>645.98500000000001</v>
      </c>
    </row>
    <row r="140" spans="1:12" x14ac:dyDescent="0.25">
      <c r="A140" s="100">
        <v>136</v>
      </c>
      <c r="B140" s="107" t="s">
        <v>1311</v>
      </c>
      <c r="C140" s="108">
        <v>3331141</v>
      </c>
      <c r="D140" s="107" t="s">
        <v>1387</v>
      </c>
      <c r="E140" s="106">
        <v>651.11</v>
      </c>
      <c r="F140" s="106">
        <v>19.649999999999999</v>
      </c>
      <c r="G140" s="106">
        <v>631.24</v>
      </c>
      <c r="H140" s="106">
        <v>733.32</v>
      </c>
      <c r="I140" s="103">
        <f t="shared" si="4"/>
        <v>660.93500000000006</v>
      </c>
      <c r="J140" s="103">
        <f t="shared" si="5"/>
        <v>641.28499999999997</v>
      </c>
      <c r="K140" s="103">
        <v>660.93500000000006</v>
      </c>
      <c r="L140" s="103">
        <v>641.28499999999997</v>
      </c>
    </row>
    <row r="141" spans="1:12" x14ac:dyDescent="0.25">
      <c r="A141" s="104">
        <v>137</v>
      </c>
      <c r="B141" s="107" t="s">
        <v>1328</v>
      </c>
      <c r="C141" s="108">
        <v>3821256</v>
      </c>
      <c r="D141" s="107" t="s">
        <v>1325</v>
      </c>
      <c r="E141" s="106">
        <v>653.27</v>
      </c>
      <c r="F141" s="106">
        <v>19.690000000000001</v>
      </c>
      <c r="G141" s="106">
        <v>630.95000000000005</v>
      </c>
      <c r="H141" s="106">
        <v>704.1</v>
      </c>
      <c r="I141" s="103">
        <f t="shared" si="4"/>
        <v>663.11500000000001</v>
      </c>
      <c r="J141" s="103">
        <f t="shared" si="5"/>
        <v>643.42499999999995</v>
      </c>
      <c r="K141" s="103">
        <v>663.11500000000001</v>
      </c>
      <c r="L141" s="103">
        <v>643.42499999999995</v>
      </c>
    </row>
    <row r="142" spans="1:12" x14ac:dyDescent="0.25">
      <c r="A142" s="100">
        <v>138</v>
      </c>
      <c r="B142" s="107" t="s">
        <v>1313</v>
      </c>
      <c r="C142" s="108">
        <v>3611414</v>
      </c>
      <c r="D142" s="107" t="s">
        <v>1388</v>
      </c>
      <c r="E142" s="106">
        <v>661.84</v>
      </c>
      <c r="F142" s="106">
        <v>23.53</v>
      </c>
      <c r="G142" s="106">
        <v>630.21</v>
      </c>
      <c r="H142" s="106">
        <v>726.07</v>
      </c>
      <c r="I142" s="103">
        <f t="shared" si="4"/>
        <v>673.60500000000002</v>
      </c>
      <c r="J142" s="103">
        <f t="shared" si="5"/>
        <v>650.07500000000005</v>
      </c>
      <c r="K142" s="103">
        <v>673.60500000000002</v>
      </c>
      <c r="L142" s="103">
        <v>650.07500000000005</v>
      </c>
    </row>
    <row r="143" spans="1:12" x14ac:dyDescent="0.25">
      <c r="A143" s="104">
        <v>139</v>
      </c>
      <c r="B143" s="107" t="s">
        <v>1315</v>
      </c>
      <c r="C143" s="108">
        <v>3211085</v>
      </c>
      <c r="D143" s="107" t="s">
        <v>1254</v>
      </c>
      <c r="E143" s="106">
        <v>645.62</v>
      </c>
      <c r="F143" s="106">
        <v>12.87</v>
      </c>
      <c r="G143" s="106">
        <v>629.84</v>
      </c>
      <c r="H143" s="106">
        <v>694.27</v>
      </c>
      <c r="I143" s="103">
        <f t="shared" si="4"/>
        <v>652.05499999999995</v>
      </c>
      <c r="J143" s="103">
        <f t="shared" si="5"/>
        <v>639.18500000000006</v>
      </c>
      <c r="K143" s="103">
        <v>652.05499999999995</v>
      </c>
      <c r="L143" s="103">
        <v>639.18500000000006</v>
      </c>
    </row>
    <row r="144" spans="1:12" x14ac:dyDescent="0.25">
      <c r="A144" s="100">
        <v>140</v>
      </c>
      <c r="B144" s="107" t="s">
        <v>1353</v>
      </c>
      <c r="C144" s="108">
        <v>3721255</v>
      </c>
      <c r="D144" s="107" t="s">
        <v>1347</v>
      </c>
      <c r="E144" s="106">
        <v>646.77</v>
      </c>
      <c r="F144" s="106">
        <v>14.48</v>
      </c>
      <c r="G144" s="106">
        <v>629.77</v>
      </c>
      <c r="H144" s="106">
        <v>685.55</v>
      </c>
      <c r="I144" s="103">
        <f t="shared" si="4"/>
        <v>654.01</v>
      </c>
      <c r="J144" s="103">
        <f t="shared" si="5"/>
        <v>639.53</v>
      </c>
      <c r="K144" s="103">
        <v>654.01</v>
      </c>
      <c r="L144" s="103">
        <v>639.53</v>
      </c>
    </row>
    <row r="145" spans="1:12" x14ac:dyDescent="0.25">
      <c r="A145" s="104">
        <v>141</v>
      </c>
      <c r="B145" s="107" t="s">
        <v>1353</v>
      </c>
      <c r="C145" s="108">
        <v>3721367</v>
      </c>
      <c r="D145" s="107" t="s">
        <v>1329</v>
      </c>
      <c r="E145" s="106">
        <v>644.45000000000005</v>
      </c>
      <c r="F145" s="106">
        <v>12.84</v>
      </c>
      <c r="G145" s="106">
        <v>629.63</v>
      </c>
      <c r="H145" s="106">
        <v>699.99</v>
      </c>
      <c r="I145" s="103">
        <f t="shared" si="4"/>
        <v>650.87</v>
      </c>
      <c r="J145" s="103">
        <f t="shared" si="5"/>
        <v>638.03000000000009</v>
      </c>
      <c r="K145" s="103">
        <v>650.87</v>
      </c>
      <c r="L145" s="103">
        <v>638.03000000000009</v>
      </c>
    </row>
    <row r="146" spans="1:12" x14ac:dyDescent="0.25">
      <c r="A146" s="100">
        <v>142</v>
      </c>
      <c r="B146" s="107" t="s">
        <v>1308</v>
      </c>
      <c r="C146" s="108">
        <v>1411064</v>
      </c>
      <c r="D146" s="107" t="s">
        <v>1319</v>
      </c>
      <c r="E146" s="106">
        <v>644.4</v>
      </c>
      <c r="F146" s="106">
        <v>11.36</v>
      </c>
      <c r="G146" s="106">
        <v>629.58000000000004</v>
      </c>
      <c r="H146" s="106">
        <v>669.15</v>
      </c>
      <c r="I146" s="103">
        <f t="shared" si="4"/>
        <v>650.07999999999993</v>
      </c>
      <c r="J146" s="103">
        <f t="shared" si="5"/>
        <v>638.72</v>
      </c>
      <c r="K146" s="103">
        <v>650.07999999999993</v>
      </c>
      <c r="L146" s="103">
        <v>638.72</v>
      </c>
    </row>
    <row r="147" spans="1:12" x14ac:dyDescent="0.25">
      <c r="A147" s="104">
        <v>143</v>
      </c>
      <c r="B147" s="107" t="s">
        <v>1353</v>
      </c>
      <c r="C147" s="108">
        <v>3721336</v>
      </c>
      <c r="D147" s="107" t="s">
        <v>1330</v>
      </c>
      <c r="E147" s="106">
        <v>649.23</v>
      </c>
      <c r="F147" s="106">
        <v>18.48</v>
      </c>
      <c r="G147" s="106">
        <v>629.28</v>
      </c>
      <c r="H147" s="106">
        <v>708.74</v>
      </c>
      <c r="I147" s="103">
        <f t="shared" si="4"/>
        <v>658.47</v>
      </c>
      <c r="J147" s="103">
        <f t="shared" si="5"/>
        <v>639.99</v>
      </c>
      <c r="K147" s="103">
        <v>658.47</v>
      </c>
      <c r="L147" s="103">
        <v>639.99</v>
      </c>
    </row>
    <row r="148" spans="1:12" x14ac:dyDescent="0.25">
      <c r="A148" s="100">
        <v>144</v>
      </c>
      <c r="B148" s="107" t="s">
        <v>1361</v>
      </c>
      <c r="C148" s="108">
        <v>3531112</v>
      </c>
      <c r="D148" s="107" t="s">
        <v>1316</v>
      </c>
      <c r="E148" s="106">
        <v>642.97</v>
      </c>
      <c r="F148" s="106">
        <v>11.54</v>
      </c>
      <c r="G148" s="106">
        <v>629.27</v>
      </c>
      <c r="H148" s="106">
        <v>675.25</v>
      </c>
      <c r="I148" s="103">
        <f t="shared" si="4"/>
        <v>648.74</v>
      </c>
      <c r="J148" s="103">
        <f t="shared" si="5"/>
        <v>637.20000000000005</v>
      </c>
      <c r="K148" s="103">
        <v>648.74</v>
      </c>
      <c r="L148" s="103">
        <v>637.20000000000005</v>
      </c>
    </row>
    <row r="149" spans="1:12" x14ac:dyDescent="0.25">
      <c r="A149" s="104">
        <v>145</v>
      </c>
      <c r="B149" s="107" t="s">
        <v>1311</v>
      </c>
      <c r="C149" s="108">
        <v>3331036</v>
      </c>
      <c r="D149" s="107" t="s">
        <v>1326</v>
      </c>
      <c r="E149" s="106">
        <v>645.6</v>
      </c>
      <c r="F149" s="106">
        <v>13.13</v>
      </c>
      <c r="G149" s="106">
        <v>629.08000000000004</v>
      </c>
      <c r="H149" s="106">
        <v>693.16</v>
      </c>
      <c r="I149" s="103">
        <f t="shared" si="4"/>
        <v>652.16500000000008</v>
      </c>
      <c r="J149" s="103">
        <f t="shared" si="5"/>
        <v>639.03499999999997</v>
      </c>
      <c r="K149" s="103">
        <v>652.16500000000008</v>
      </c>
      <c r="L149" s="103">
        <v>639.03499999999997</v>
      </c>
    </row>
    <row r="150" spans="1:12" x14ac:dyDescent="0.25">
      <c r="A150" s="100">
        <v>146</v>
      </c>
      <c r="B150" s="107" t="s">
        <v>1315</v>
      </c>
      <c r="C150" s="108">
        <v>3211197</v>
      </c>
      <c r="D150" s="107" t="s">
        <v>1389</v>
      </c>
      <c r="E150" s="106">
        <v>645.84</v>
      </c>
      <c r="F150" s="106">
        <v>15.92</v>
      </c>
      <c r="G150" s="106">
        <v>629.01</v>
      </c>
      <c r="H150" s="106">
        <v>680.35</v>
      </c>
      <c r="I150" s="103">
        <f t="shared" si="4"/>
        <v>653.80000000000007</v>
      </c>
      <c r="J150" s="103">
        <f t="shared" si="5"/>
        <v>637.88</v>
      </c>
      <c r="K150" s="103">
        <v>653.80000000000007</v>
      </c>
      <c r="L150" s="103">
        <v>637.88</v>
      </c>
    </row>
    <row r="151" spans="1:12" x14ac:dyDescent="0.25">
      <c r="A151" s="104">
        <v>147</v>
      </c>
      <c r="B151" s="107" t="s">
        <v>1359</v>
      </c>
      <c r="C151" s="108">
        <v>3551213</v>
      </c>
      <c r="D151" s="107" t="s">
        <v>1332</v>
      </c>
      <c r="E151" s="106">
        <v>648.29</v>
      </c>
      <c r="F151" s="106">
        <v>18</v>
      </c>
      <c r="G151" s="106">
        <v>629</v>
      </c>
      <c r="H151" s="106">
        <v>700.64</v>
      </c>
      <c r="I151" s="103">
        <f t="shared" si="4"/>
        <v>657.29</v>
      </c>
      <c r="J151" s="103">
        <f t="shared" si="5"/>
        <v>639.29</v>
      </c>
      <c r="K151" s="103">
        <v>657.29</v>
      </c>
      <c r="L151" s="103">
        <v>639.29</v>
      </c>
    </row>
    <row r="152" spans="1:12" x14ac:dyDescent="0.25">
      <c r="A152" s="100">
        <v>148</v>
      </c>
      <c r="B152" s="107" t="s">
        <v>1313</v>
      </c>
      <c r="C152" s="108">
        <v>3611155</v>
      </c>
      <c r="D152" s="107" t="s">
        <v>1138</v>
      </c>
      <c r="E152" s="106">
        <v>652.38</v>
      </c>
      <c r="F152" s="106">
        <v>27.56</v>
      </c>
      <c r="G152" s="106">
        <v>628.79999999999995</v>
      </c>
      <c r="H152" s="106">
        <v>766.11</v>
      </c>
      <c r="I152" s="103">
        <f t="shared" si="4"/>
        <v>666.16</v>
      </c>
      <c r="J152" s="103">
        <f t="shared" si="5"/>
        <v>638.6</v>
      </c>
      <c r="K152" s="103">
        <v>666.16</v>
      </c>
      <c r="L152" s="103">
        <v>638.6</v>
      </c>
    </row>
    <row r="153" spans="1:12" x14ac:dyDescent="0.25">
      <c r="A153" s="104">
        <v>149</v>
      </c>
      <c r="B153" s="107" t="s">
        <v>1313</v>
      </c>
      <c r="C153" s="108">
        <v>3611043</v>
      </c>
      <c r="D153" s="107" t="s">
        <v>1390</v>
      </c>
      <c r="E153" s="106">
        <v>653.27</v>
      </c>
      <c r="F153" s="106">
        <v>24.97</v>
      </c>
      <c r="G153" s="106">
        <v>628.70000000000005</v>
      </c>
      <c r="H153" s="106">
        <v>755.56</v>
      </c>
      <c r="I153" s="103">
        <f t="shared" si="4"/>
        <v>665.755</v>
      </c>
      <c r="J153" s="103">
        <f t="shared" si="5"/>
        <v>640.78499999999997</v>
      </c>
      <c r="K153" s="103">
        <v>665.755</v>
      </c>
      <c r="L153" s="103">
        <v>640.78499999999997</v>
      </c>
    </row>
    <row r="154" spans="1:12" x14ac:dyDescent="0.25">
      <c r="A154" s="100">
        <v>150</v>
      </c>
      <c r="B154" s="107" t="s">
        <v>1359</v>
      </c>
      <c r="C154" s="108">
        <v>3551186</v>
      </c>
      <c r="D154" s="107" t="s">
        <v>1339</v>
      </c>
      <c r="E154" s="106">
        <v>646.76</v>
      </c>
      <c r="F154" s="106">
        <v>15.94</v>
      </c>
      <c r="G154" s="106">
        <v>628.64</v>
      </c>
      <c r="H154" s="106">
        <v>701.26</v>
      </c>
      <c r="I154" s="103">
        <f t="shared" si="4"/>
        <v>654.73</v>
      </c>
      <c r="J154" s="103">
        <f t="shared" si="5"/>
        <v>638.79</v>
      </c>
      <c r="K154" s="103">
        <v>654.73</v>
      </c>
      <c r="L154" s="103">
        <v>638.79</v>
      </c>
    </row>
    <row r="155" spans="1:12" x14ac:dyDescent="0.25">
      <c r="A155" s="104">
        <v>151</v>
      </c>
      <c r="B155" s="107" t="s">
        <v>1337</v>
      </c>
      <c r="C155" s="108">
        <v>3411443</v>
      </c>
      <c r="D155" s="107" t="s">
        <v>1321</v>
      </c>
      <c r="E155" s="106">
        <v>644.66</v>
      </c>
      <c r="F155" s="106">
        <v>15.37</v>
      </c>
      <c r="G155" s="106">
        <v>628.51</v>
      </c>
      <c r="H155" s="106">
        <v>692.99</v>
      </c>
      <c r="I155" s="103">
        <f t="shared" si="4"/>
        <v>652.34499999999991</v>
      </c>
      <c r="J155" s="103">
        <f t="shared" si="5"/>
        <v>636.97500000000002</v>
      </c>
      <c r="K155" s="103">
        <v>652.34499999999991</v>
      </c>
      <c r="L155" s="103">
        <v>636.97500000000002</v>
      </c>
    </row>
    <row r="156" spans="1:12" x14ac:dyDescent="0.25">
      <c r="A156" s="100">
        <v>152</v>
      </c>
      <c r="B156" s="107" t="s">
        <v>1359</v>
      </c>
      <c r="C156" s="108">
        <v>3551097</v>
      </c>
      <c r="D156" s="107" t="s">
        <v>1317</v>
      </c>
      <c r="E156" s="106">
        <v>646.44000000000005</v>
      </c>
      <c r="F156" s="106">
        <v>15.13</v>
      </c>
      <c r="G156" s="106">
        <v>628.28</v>
      </c>
      <c r="H156" s="106">
        <v>704.09</v>
      </c>
      <c r="I156" s="103">
        <f t="shared" si="4"/>
        <v>654.00500000000011</v>
      </c>
      <c r="J156" s="103">
        <f t="shared" si="5"/>
        <v>638.875</v>
      </c>
      <c r="K156" s="103">
        <v>654.00500000000011</v>
      </c>
      <c r="L156" s="103">
        <v>638.875</v>
      </c>
    </row>
    <row r="157" spans="1:12" x14ac:dyDescent="0.25">
      <c r="A157" s="104">
        <v>153</v>
      </c>
      <c r="B157" s="107" t="s">
        <v>1361</v>
      </c>
      <c r="C157" s="108">
        <v>3531271</v>
      </c>
      <c r="D157" s="107" t="s">
        <v>1330</v>
      </c>
      <c r="E157" s="106">
        <v>647.24</v>
      </c>
      <c r="F157" s="106">
        <v>12.56</v>
      </c>
      <c r="G157" s="106">
        <v>628.03</v>
      </c>
      <c r="H157" s="106">
        <v>670.67</v>
      </c>
      <c r="I157" s="103">
        <f t="shared" si="4"/>
        <v>653.52</v>
      </c>
      <c r="J157" s="103">
        <f t="shared" si="5"/>
        <v>640.96</v>
      </c>
      <c r="K157" s="103">
        <v>653.52</v>
      </c>
      <c r="L157" s="103">
        <v>640.96</v>
      </c>
    </row>
    <row r="158" spans="1:12" x14ac:dyDescent="0.25">
      <c r="A158" s="100">
        <v>154</v>
      </c>
      <c r="B158" s="107" t="s">
        <v>1328</v>
      </c>
      <c r="C158" s="108">
        <v>3821113</v>
      </c>
      <c r="D158" s="107" t="s">
        <v>1391</v>
      </c>
      <c r="E158" s="106">
        <v>648.4</v>
      </c>
      <c r="F158" s="106">
        <v>17.690000000000001</v>
      </c>
      <c r="G158" s="106">
        <v>627.85</v>
      </c>
      <c r="H158" s="106">
        <v>708.98</v>
      </c>
      <c r="I158" s="103">
        <f t="shared" si="4"/>
        <v>657.245</v>
      </c>
      <c r="J158" s="103">
        <f t="shared" si="5"/>
        <v>639.55499999999995</v>
      </c>
      <c r="K158" s="103">
        <v>657.245</v>
      </c>
      <c r="L158" s="103">
        <v>639.55499999999995</v>
      </c>
    </row>
    <row r="159" spans="1:12" x14ac:dyDescent="0.25">
      <c r="A159" s="104">
        <v>155</v>
      </c>
      <c r="B159" s="107" t="s">
        <v>1361</v>
      </c>
      <c r="C159" s="108">
        <v>3531294</v>
      </c>
      <c r="D159" s="107" t="s">
        <v>1317</v>
      </c>
      <c r="E159" s="106">
        <v>645.49</v>
      </c>
      <c r="F159" s="106">
        <v>17.66</v>
      </c>
      <c r="G159" s="106">
        <v>627.28</v>
      </c>
      <c r="H159" s="106">
        <v>723.75</v>
      </c>
      <c r="I159" s="103">
        <f t="shared" si="4"/>
        <v>654.32000000000005</v>
      </c>
      <c r="J159" s="103">
        <f t="shared" si="5"/>
        <v>636.66</v>
      </c>
      <c r="K159" s="103">
        <v>654.32000000000005</v>
      </c>
      <c r="L159" s="103">
        <v>636.66</v>
      </c>
    </row>
    <row r="160" spans="1:12" x14ac:dyDescent="0.25">
      <c r="A160" s="100">
        <v>156</v>
      </c>
      <c r="B160" s="107" t="s">
        <v>1313</v>
      </c>
      <c r="C160" s="108">
        <v>3611252</v>
      </c>
      <c r="D160" s="107" t="s">
        <v>1392</v>
      </c>
      <c r="E160" s="106">
        <v>646.61</v>
      </c>
      <c r="F160" s="106">
        <v>16.45</v>
      </c>
      <c r="G160" s="106">
        <v>627.14</v>
      </c>
      <c r="H160" s="106">
        <v>680.92</v>
      </c>
      <c r="I160" s="103">
        <f t="shared" si="4"/>
        <v>654.83500000000004</v>
      </c>
      <c r="J160" s="103">
        <f t="shared" si="5"/>
        <v>638.38499999999999</v>
      </c>
      <c r="K160" s="103">
        <v>654.83500000000004</v>
      </c>
      <c r="L160" s="103">
        <v>638.38499999999999</v>
      </c>
    </row>
    <row r="161" spans="1:12" x14ac:dyDescent="0.25">
      <c r="A161" s="104">
        <v>157</v>
      </c>
      <c r="B161" s="107" t="s">
        <v>1393</v>
      </c>
      <c r="C161" s="108">
        <v>7211015</v>
      </c>
      <c r="D161" s="107" t="s">
        <v>1133</v>
      </c>
      <c r="E161" s="106">
        <v>646.02</v>
      </c>
      <c r="F161" s="106">
        <v>17.309999999999999</v>
      </c>
      <c r="G161" s="106">
        <v>627.11</v>
      </c>
      <c r="H161" s="106">
        <v>728.61</v>
      </c>
      <c r="I161" s="103">
        <f t="shared" si="4"/>
        <v>654.67499999999995</v>
      </c>
      <c r="J161" s="103">
        <f t="shared" si="5"/>
        <v>637.36500000000001</v>
      </c>
      <c r="K161" s="103">
        <v>654.67499999999995</v>
      </c>
      <c r="L161" s="103">
        <v>637.36500000000001</v>
      </c>
    </row>
    <row r="162" spans="1:12" x14ac:dyDescent="0.25">
      <c r="A162" s="100">
        <v>158</v>
      </c>
      <c r="B162" s="107" t="s">
        <v>1394</v>
      </c>
      <c r="C162" s="108">
        <v>3621014</v>
      </c>
      <c r="D162" s="107" t="s">
        <v>1395</v>
      </c>
      <c r="E162" s="106">
        <v>645.02</v>
      </c>
      <c r="F162" s="106">
        <v>15.14</v>
      </c>
      <c r="G162" s="106">
        <v>626.98</v>
      </c>
      <c r="H162" s="106">
        <v>688.2</v>
      </c>
      <c r="I162" s="103">
        <f t="shared" si="4"/>
        <v>652.59</v>
      </c>
      <c r="J162" s="103">
        <f t="shared" si="5"/>
        <v>637.44999999999993</v>
      </c>
      <c r="K162" s="103">
        <v>652.59</v>
      </c>
      <c r="L162" s="103">
        <v>637.44999999999993</v>
      </c>
    </row>
    <row r="163" spans="1:12" x14ac:dyDescent="0.25">
      <c r="A163" s="104">
        <v>159</v>
      </c>
      <c r="B163" s="107" t="s">
        <v>1311</v>
      </c>
      <c r="C163" s="108">
        <v>3331021</v>
      </c>
      <c r="D163" s="107" t="s">
        <v>1321</v>
      </c>
      <c r="E163" s="106">
        <v>652.66999999999996</v>
      </c>
      <c r="F163" s="106">
        <v>19.21</v>
      </c>
      <c r="G163" s="106">
        <v>626.86</v>
      </c>
      <c r="H163" s="106">
        <v>702.93</v>
      </c>
      <c r="I163" s="103">
        <f t="shared" si="4"/>
        <v>662.27499999999998</v>
      </c>
      <c r="J163" s="103">
        <f t="shared" si="5"/>
        <v>643.06499999999994</v>
      </c>
      <c r="K163" s="103">
        <v>662.27499999999998</v>
      </c>
      <c r="L163" s="103">
        <v>643.06499999999994</v>
      </c>
    </row>
    <row r="164" spans="1:12" x14ac:dyDescent="0.25">
      <c r="A164" s="100">
        <v>160</v>
      </c>
      <c r="B164" s="107" t="s">
        <v>1396</v>
      </c>
      <c r="C164" s="108">
        <v>3231155</v>
      </c>
      <c r="D164" s="107" t="s">
        <v>1340</v>
      </c>
      <c r="E164" s="106">
        <v>648.91</v>
      </c>
      <c r="F164" s="106">
        <v>18.89</v>
      </c>
      <c r="G164" s="106">
        <v>626.75</v>
      </c>
      <c r="H164" s="106">
        <v>693.04</v>
      </c>
      <c r="I164" s="103">
        <f t="shared" si="4"/>
        <v>658.35500000000002</v>
      </c>
      <c r="J164" s="103">
        <f t="shared" si="5"/>
        <v>639.46499999999992</v>
      </c>
      <c r="K164" s="103">
        <v>658.35500000000002</v>
      </c>
      <c r="L164" s="103">
        <v>639.46499999999992</v>
      </c>
    </row>
    <row r="165" spans="1:12" x14ac:dyDescent="0.25">
      <c r="A165" s="104">
        <v>161</v>
      </c>
      <c r="B165" s="107" t="s">
        <v>1397</v>
      </c>
      <c r="C165" s="108">
        <v>9111126</v>
      </c>
      <c r="D165" s="107" t="s">
        <v>1133</v>
      </c>
      <c r="E165" s="106">
        <v>637.57000000000005</v>
      </c>
      <c r="F165" s="106">
        <v>12.67</v>
      </c>
      <c r="G165" s="106">
        <v>626.45000000000005</v>
      </c>
      <c r="H165" s="106">
        <v>651.36</v>
      </c>
      <c r="I165" s="103">
        <f t="shared" si="4"/>
        <v>643.90500000000009</v>
      </c>
      <c r="J165" s="103">
        <f t="shared" si="5"/>
        <v>631.23500000000001</v>
      </c>
      <c r="K165" s="103">
        <v>643.90500000000009</v>
      </c>
      <c r="L165" s="103">
        <v>631.23500000000001</v>
      </c>
    </row>
    <row r="166" spans="1:12" x14ac:dyDescent="0.25">
      <c r="A166" s="100">
        <v>162</v>
      </c>
      <c r="B166" s="107" t="s">
        <v>1318</v>
      </c>
      <c r="C166" s="108">
        <v>3811134</v>
      </c>
      <c r="D166" s="107" t="s">
        <v>1398</v>
      </c>
      <c r="E166" s="106">
        <v>641.1</v>
      </c>
      <c r="F166" s="106">
        <v>14.16</v>
      </c>
      <c r="G166" s="106">
        <v>626.44000000000005</v>
      </c>
      <c r="H166" s="106">
        <v>681.49</v>
      </c>
      <c r="I166" s="103">
        <f t="shared" si="4"/>
        <v>648.18000000000006</v>
      </c>
      <c r="J166" s="103">
        <f t="shared" si="5"/>
        <v>634.02</v>
      </c>
      <c r="K166" s="103">
        <v>648.18000000000006</v>
      </c>
      <c r="L166" s="103">
        <v>634.02</v>
      </c>
    </row>
    <row r="167" spans="1:12" x14ac:dyDescent="0.25">
      <c r="A167" s="104">
        <v>163</v>
      </c>
      <c r="B167" s="107" t="s">
        <v>1318</v>
      </c>
      <c r="C167" s="108">
        <v>3811157</v>
      </c>
      <c r="D167" s="107" t="s">
        <v>1329</v>
      </c>
      <c r="E167" s="106">
        <v>646.02</v>
      </c>
      <c r="F167" s="106">
        <v>20.399999999999999</v>
      </c>
      <c r="G167" s="106">
        <v>626.25</v>
      </c>
      <c r="H167" s="106">
        <v>736.49</v>
      </c>
      <c r="I167" s="103">
        <f t="shared" si="4"/>
        <v>656.22</v>
      </c>
      <c r="J167" s="103">
        <f t="shared" si="5"/>
        <v>635.81999999999994</v>
      </c>
      <c r="K167" s="103">
        <v>656.22</v>
      </c>
      <c r="L167" s="103">
        <v>635.81999999999994</v>
      </c>
    </row>
    <row r="168" spans="1:12" x14ac:dyDescent="0.25">
      <c r="A168" s="100">
        <v>164</v>
      </c>
      <c r="B168" s="107" t="s">
        <v>1353</v>
      </c>
      <c r="C168" s="108">
        <v>3721093</v>
      </c>
      <c r="D168" s="107" t="s">
        <v>1399</v>
      </c>
      <c r="E168" s="106">
        <v>645.23</v>
      </c>
      <c r="F168" s="106">
        <v>17.04</v>
      </c>
      <c r="G168" s="106">
        <v>626.17999999999995</v>
      </c>
      <c r="H168" s="106">
        <v>693.7</v>
      </c>
      <c r="I168" s="103">
        <f t="shared" si="4"/>
        <v>653.75</v>
      </c>
      <c r="J168" s="103">
        <f t="shared" si="5"/>
        <v>636.71</v>
      </c>
      <c r="K168" s="103">
        <v>653.75</v>
      </c>
      <c r="L168" s="103">
        <v>636.71</v>
      </c>
    </row>
    <row r="169" spans="1:12" x14ac:dyDescent="0.25">
      <c r="A169" s="104">
        <v>165</v>
      </c>
      <c r="B169" s="107" t="s">
        <v>1353</v>
      </c>
      <c r="C169" s="108">
        <v>3721031</v>
      </c>
      <c r="D169" s="107" t="s">
        <v>1323</v>
      </c>
      <c r="E169" s="106">
        <v>648.08000000000004</v>
      </c>
      <c r="F169" s="106">
        <v>17.38</v>
      </c>
      <c r="G169" s="106">
        <v>626.1</v>
      </c>
      <c r="H169" s="106">
        <v>695.92</v>
      </c>
      <c r="I169" s="103">
        <f t="shared" si="4"/>
        <v>656.7700000000001</v>
      </c>
      <c r="J169" s="103">
        <f t="shared" si="5"/>
        <v>639.39</v>
      </c>
      <c r="K169" s="103">
        <v>656.7700000000001</v>
      </c>
      <c r="L169" s="103">
        <v>639.39</v>
      </c>
    </row>
    <row r="170" spans="1:12" x14ac:dyDescent="0.25">
      <c r="A170" s="100">
        <v>166</v>
      </c>
      <c r="B170" s="107" t="s">
        <v>1309</v>
      </c>
      <c r="C170" s="108">
        <v>3321146</v>
      </c>
      <c r="D170" s="107" t="s">
        <v>1400</v>
      </c>
      <c r="E170" s="106">
        <v>662.02</v>
      </c>
      <c r="F170" s="106">
        <v>29.58</v>
      </c>
      <c r="G170" s="106">
        <v>626.04</v>
      </c>
      <c r="H170" s="106">
        <v>723.53</v>
      </c>
      <c r="I170" s="103">
        <f t="shared" si="4"/>
        <v>676.81</v>
      </c>
      <c r="J170" s="103">
        <f t="shared" si="5"/>
        <v>647.23</v>
      </c>
      <c r="K170" s="103">
        <v>676.81</v>
      </c>
      <c r="L170" s="103">
        <v>647.23</v>
      </c>
    </row>
    <row r="171" spans="1:12" x14ac:dyDescent="0.25">
      <c r="A171" s="104">
        <v>167</v>
      </c>
      <c r="B171" s="107" t="s">
        <v>1401</v>
      </c>
      <c r="C171" s="108">
        <v>1611194</v>
      </c>
      <c r="D171" s="107" t="s">
        <v>1133</v>
      </c>
      <c r="E171" s="106">
        <v>643.20000000000005</v>
      </c>
      <c r="F171" s="106">
        <v>13.68</v>
      </c>
      <c r="G171" s="106">
        <v>625.95000000000005</v>
      </c>
      <c r="H171" s="106">
        <v>683.84</v>
      </c>
      <c r="I171" s="103">
        <f t="shared" si="4"/>
        <v>650.04000000000008</v>
      </c>
      <c r="J171" s="103">
        <f t="shared" si="5"/>
        <v>636.36</v>
      </c>
      <c r="K171" s="103">
        <v>650.04000000000008</v>
      </c>
      <c r="L171" s="103">
        <v>636.36</v>
      </c>
    </row>
    <row r="172" spans="1:12" x14ac:dyDescent="0.25">
      <c r="A172" s="100">
        <v>168</v>
      </c>
      <c r="B172" s="107" t="s">
        <v>1361</v>
      </c>
      <c r="C172" s="108">
        <v>3531093</v>
      </c>
      <c r="D172" s="107" t="s">
        <v>1322</v>
      </c>
      <c r="E172" s="106">
        <v>645.64</v>
      </c>
      <c r="F172" s="106">
        <v>16.05</v>
      </c>
      <c r="G172" s="106">
        <v>625.76</v>
      </c>
      <c r="H172" s="106">
        <v>697.86</v>
      </c>
      <c r="I172" s="103">
        <f t="shared" si="4"/>
        <v>653.66499999999996</v>
      </c>
      <c r="J172" s="103">
        <f t="shared" si="5"/>
        <v>637.61500000000001</v>
      </c>
      <c r="K172" s="103">
        <v>653.66499999999996</v>
      </c>
      <c r="L172" s="103">
        <v>637.61500000000001</v>
      </c>
    </row>
    <row r="173" spans="1:12" x14ac:dyDescent="0.25">
      <c r="A173" s="104">
        <v>169</v>
      </c>
      <c r="B173" s="107" t="s">
        <v>1313</v>
      </c>
      <c r="C173" s="108">
        <v>3611035</v>
      </c>
      <c r="D173" s="107" t="s">
        <v>1402</v>
      </c>
      <c r="E173" s="106">
        <v>641.35</v>
      </c>
      <c r="F173" s="106">
        <v>16.559999999999999</v>
      </c>
      <c r="G173" s="106">
        <v>625.37</v>
      </c>
      <c r="H173" s="106">
        <v>685.28</v>
      </c>
      <c r="I173" s="103">
        <f t="shared" si="4"/>
        <v>649.63</v>
      </c>
      <c r="J173" s="103">
        <f t="shared" si="5"/>
        <v>633.07000000000005</v>
      </c>
      <c r="K173" s="103">
        <v>649.63</v>
      </c>
      <c r="L173" s="103">
        <v>633.07000000000005</v>
      </c>
    </row>
    <row r="174" spans="1:12" x14ac:dyDescent="0.25">
      <c r="A174" s="100">
        <v>170</v>
      </c>
      <c r="B174" s="107" t="s">
        <v>1359</v>
      </c>
      <c r="C174" s="108">
        <v>3551244</v>
      </c>
      <c r="D174" s="107" t="s">
        <v>1102</v>
      </c>
      <c r="E174" s="106">
        <v>644.12</v>
      </c>
      <c r="F174" s="106">
        <v>15.51</v>
      </c>
      <c r="G174" s="106">
        <v>625.1</v>
      </c>
      <c r="H174" s="106">
        <v>701.01</v>
      </c>
      <c r="I174" s="103">
        <f t="shared" si="4"/>
        <v>651.875</v>
      </c>
      <c r="J174" s="103">
        <f t="shared" si="5"/>
        <v>636.36500000000001</v>
      </c>
      <c r="K174" s="103">
        <v>651.875</v>
      </c>
      <c r="L174" s="103">
        <v>636.36500000000001</v>
      </c>
    </row>
    <row r="175" spans="1:12" x14ac:dyDescent="0.25">
      <c r="A175" s="104">
        <v>171</v>
      </c>
      <c r="B175" s="107" t="s">
        <v>1353</v>
      </c>
      <c r="C175" s="108">
        <v>3721062</v>
      </c>
      <c r="D175" s="107" t="s">
        <v>1339</v>
      </c>
      <c r="E175" s="106">
        <v>643.66999999999996</v>
      </c>
      <c r="F175" s="106">
        <v>15.41</v>
      </c>
      <c r="G175" s="106">
        <v>625.05999999999995</v>
      </c>
      <c r="H175" s="106">
        <v>712.57</v>
      </c>
      <c r="I175" s="103">
        <f t="shared" si="4"/>
        <v>651.375</v>
      </c>
      <c r="J175" s="103">
        <f t="shared" si="5"/>
        <v>635.96499999999992</v>
      </c>
      <c r="K175" s="103">
        <v>651.375</v>
      </c>
      <c r="L175" s="103">
        <v>635.96499999999992</v>
      </c>
    </row>
    <row r="176" spans="1:12" x14ac:dyDescent="0.25">
      <c r="A176" s="100">
        <v>172</v>
      </c>
      <c r="B176" s="107" t="s">
        <v>1328</v>
      </c>
      <c r="C176" s="108">
        <v>3821191</v>
      </c>
      <c r="D176" s="107" t="s">
        <v>1403</v>
      </c>
      <c r="E176" s="106">
        <v>646.44000000000005</v>
      </c>
      <c r="F176" s="106">
        <v>18.28</v>
      </c>
      <c r="G176" s="106">
        <v>624.95000000000005</v>
      </c>
      <c r="H176" s="106">
        <v>714.08</v>
      </c>
      <c r="I176" s="103">
        <f t="shared" si="4"/>
        <v>655.58</v>
      </c>
      <c r="J176" s="103">
        <f t="shared" si="5"/>
        <v>637.30000000000007</v>
      </c>
      <c r="K176" s="103">
        <v>655.58</v>
      </c>
      <c r="L176" s="103">
        <v>637.30000000000007</v>
      </c>
    </row>
    <row r="177" spans="1:12" x14ac:dyDescent="0.25">
      <c r="A177" s="104">
        <v>173</v>
      </c>
      <c r="B177" s="107" t="s">
        <v>1313</v>
      </c>
      <c r="C177" s="108">
        <v>3611101</v>
      </c>
      <c r="D177" s="107" t="s">
        <v>1404</v>
      </c>
      <c r="E177" s="106">
        <v>648.05999999999995</v>
      </c>
      <c r="F177" s="106">
        <v>18.45</v>
      </c>
      <c r="G177" s="106">
        <v>624.49</v>
      </c>
      <c r="H177" s="106">
        <v>714.33</v>
      </c>
      <c r="I177" s="103">
        <f t="shared" si="4"/>
        <v>657.28499999999997</v>
      </c>
      <c r="J177" s="103">
        <f t="shared" si="5"/>
        <v>638.83499999999992</v>
      </c>
      <c r="K177" s="103">
        <v>657.28499999999997</v>
      </c>
      <c r="L177" s="103">
        <v>638.83499999999992</v>
      </c>
    </row>
    <row r="178" spans="1:12" x14ac:dyDescent="0.25">
      <c r="A178" s="100">
        <v>174</v>
      </c>
      <c r="B178" s="107" t="s">
        <v>1311</v>
      </c>
      <c r="C178" s="108">
        <v>3331172</v>
      </c>
      <c r="D178" s="107" t="s">
        <v>1377</v>
      </c>
      <c r="E178" s="106">
        <v>645.72</v>
      </c>
      <c r="F178" s="106">
        <v>20.46</v>
      </c>
      <c r="G178" s="106">
        <v>624.47</v>
      </c>
      <c r="H178" s="106">
        <v>745.59</v>
      </c>
      <c r="I178" s="103">
        <f t="shared" si="4"/>
        <v>655.95</v>
      </c>
      <c r="J178" s="103">
        <f t="shared" si="5"/>
        <v>635.49</v>
      </c>
      <c r="K178" s="103">
        <v>655.95</v>
      </c>
      <c r="L178" s="103">
        <v>635.49</v>
      </c>
    </row>
    <row r="179" spans="1:12" x14ac:dyDescent="0.25">
      <c r="A179" s="104">
        <v>175</v>
      </c>
      <c r="B179" s="107" t="s">
        <v>1359</v>
      </c>
      <c r="C179" s="108">
        <v>3551043</v>
      </c>
      <c r="D179" s="107" t="s">
        <v>1331</v>
      </c>
      <c r="E179" s="106">
        <v>642.09</v>
      </c>
      <c r="F179" s="106">
        <v>16.7</v>
      </c>
      <c r="G179" s="106">
        <v>624.20000000000005</v>
      </c>
      <c r="H179" s="106">
        <v>719.3</v>
      </c>
      <c r="I179" s="103">
        <f t="shared" si="4"/>
        <v>650.44000000000005</v>
      </c>
      <c r="J179" s="103">
        <f t="shared" si="5"/>
        <v>633.74</v>
      </c>
      <c r="K179" s="103">
        <v>650.44000000000005</v>
      </c>
      <c r="L179" s="103">
        <v>633.74</v>
      </c>
    </row>
    <row r="180" spans="1:12" x14ac:dyDescent="0.25">
      <c r="A180" s="100">
        <v>176</v>
      </c>
      <c r="B180" s="107" t="s">
        <v>1328</v>
      </c>
      <c r="C180" s="108">
        <v>3821272</v>
      </c>
      <c r="D180" s="107" t="s">
        <v>1405</v>
      </c>
      <c r="E180" s="106">
        <v>643.20000000000005</v>
      </c>
      <c r="F180" s="106">
        <v>16.079999999999998</v>
      </c>
      <c r="G180" s="106">
        <v>624.1</v>
      </c>
      <c r="H180" s="106">
        <v>680.39</v>
      </c>
      <c r="I180" s="103">
        <f t="shared" si="4"/>
        <v>651.24</v>
      </c>
      <c r="J180" s="103">
        <f t="shared" si="5"/>
        <v>635.16000000000008</v>
      </c>
      <c r="K180" s="103">
        <v>651.24</v>
      </c>
      <c r="L180" s="103">
        <v>635.16000000000008</v>
      </c>
    </row>
    <row r="181" spans="1:12" x14ac:dyDescent="0.25">
      <c r="A181" s="104">
        <v>177</v>
      </c>
      <c r="B181" s="107" t="s">
        <v>1328</v>
      </c>
      <c r="C181" s="108">
        <v>3821144</v>
      </c>
      <c r="D181" s="107" t="s">
        <v>1102</v>
      </c>
      <c r="E181" s="106">
        <v>648</v>
      </c>
      <c r="F181" s="106">
        <v>20.68</v>
      </c>
      <c r="G181" s="106">
        <v>624.03</v>
      </c>
      <c r="H181" s="106">
        <v>704.78</v>
      </c>
      <c r="I181" s="103">
        <f t="shared" si="4"/>
        <v>658.34</v>
      </c>
      <c r="J181" s="103">
        <f t="shared" si="5"/>
        <v>637.66</v>
      </c>
      <c r="K181" s="103">
        <v>658.34</v>
      </c>
      <c r="L181" s="103">
        <v>637.66</v>
      </c>
    </row>
    <row r="182" spans="1:12" x14ac:dyDescent="0.25">
      <c r="A182" s="100">
        <v>178</v>
      </c>
      <c r="B182" s="107" t="s">
        <v>1337</v>
      </c>
      <c r="C182" s="108">
        <v>3411346</v>
      </c>
      <c r="D182" s="107" t="s">
        <v>1150</v>
      </c>
      <c r="E182" s="106">
        <v>641.34</v>
      </c>
      <c r="F182" s="106">
        <v>14.24</v>
      </c>
      <c r="G182" s="106">
        <v>623.78</v>
      </c>
      <c r="H182" s="106">
        <v>680.34</v>
      </c>
      <c r="I182" s="103">
        <f t="shared" si="4"/>
        <v>648.46</v>
      </c>
      <c r="J182" s="103">
        <f t="shared" si="5"/>
        <v>634.22</v>
      </c>
      <c r="K182" s="103">
        <v>648.46</v>
      </c>
      <c r="L182" s="103">
        <v>634.22</v>
      </c>
    </row>
    <row r="183" spans="1:12" x14ac:dyDescent="0.25">
      <c r="A183" s="104">
        <v>179</v>
      </c>
      <c r="B183" s="107" t="s">
        <v>1312</v>
      </c>
      <c r="C183" s="108">
        <v>7111196</v>
      </c>
      <c r="D183" s="107" t="s">
        <v>1319</v>
      </c>
      <c r="E183" s="106">
        <v>643.72</v>
      </c>
      <c r="F183" s="106">
        <v>19.55</v>
      </c>
      <c r="G183" s="106">
        <v>623.74</v>
      </c>
      <c r="H183" s="106">
        <v>719.63</v>
      </c>
      <c r="I183" s="103">
        <f t="shared" si="4"/>
        <v>653.495</v>
      </c>
      <c r="J183" s="103">
        <f t="shared" si="5"/>
        <v>633.94500000000005</v>
      </c>
      <c r="K183" s="103">
        <v>653.495</v>
      </c>
      <c r="L183" s="103">
        <v>633.94500000000005</v>
      </c>
    </row>
    <row r="184" spans="1:12" x14ac:dyDescent="0.25">
      <c r="A184" s="100">
        <v>180</v>
      </c>
      <c r="B184" s="107" t="s">
        <v>1359</v>
      </c>
      <c r="C184" s="108">
        <v>3551341</v>
      </c>
      <c r="D184" s="107" t="s">
        <v>1330</v>
      </c>
      <c r="E184" s="106">
        <v>646.72</v>
      </c>
      <c r="F184" s="106">
        <v>18.21</v>
      </c>
      <c r="G184" s="106">
        <v>623.67999999999995</v>
      </c>
      <c r="H184" s="106">
        <v>693.49</v>
      </c>
      <c r="I184" s="103">
        <f t="shared" si="4"/>
        <v>655.82500000000005</v>
      </c>
      <c r="J184" s="103">
        <f t="shared" si="5"/>
        <v>637.61500000000001</v>
      </c>
      <c r="K184" s="103">
        <v>655.82500000000005</v>
      </c>
      <c r="L184" s="103">
        <v>637.61500000000001</v>
      </c>
    </row>
    <row r="185" spans="1:12" x14ac:dyDescent="0.25">
      <c r="A185" s="104">
        <v>181</v>
      </c>
      <c r="B185" s="107" t="s">
        <v>1361</v>
      </c>
      <c r="C185" s="108">
        <v>3531085</v>
      </c>
      <c r="D185" s="107" t="s">
        <v>1339</v>
      </c>
      <c r="E185" s="106">
        <v>635.29999999999995</v>
      </c>
      <c r="F185" s="106">
        <v>10.64</v>
      </c>
      <c r="G185" s="106">
        <v>623.07000000000005</v>
      </c>
      <c r="H185" s="106">
        <v>678.62</v>
      </c>
      <c r="I185" s="103">
        <f t="shared" si="4"/>
        <v>640.62</v>
      </c>
      <c r="J185" s="103">
        <f t="shared" si="5"/>
        <v>629.9799999999999</v>
      </c>
      <c r="K185" s="103">
        <v>640.62</v>
      </c>
      <c r="L185" s="103">
        <v>629.9799999999999</v>
      </c>
    </row>
    <row r="186" spans="1:12" x14ac:dyDescent="0.25">
      <c r="A186" s="100">
        <v>182</v>
      </c>
      <c r="B186" s="107" t="s">
        <v>1353</v>
      </c>
      <c r="C186" s="108">
        <v>3721054</v>
      </c>
      <c r="D186" s="107" t="s">
        <v>1332</v>
      </c>
      <c r="E186" s="106">
        <v>640.26</v>
      </c>
      <c r="F186" s="106">
        <v>19.690000000000001</v>
      </c>
      <c r="G186" s="106">
        <v>623.04999999999995</v>
      </c>
      <c r="H186" s="106">
        <v>769.24</v>
      </c>
      <c r="I186" s="103">
        <f t="shared" si="4"/>
        <v>650.10500000000002</v>
      </c>
      <c r="J186" s="103">
        <f t="shared" si="5"/>
        <v>630.41499999999996</v>
      </c>
      <c r="K186" s="103">
        <v>650.10500000000002</v>
      </c>
      <c r="L186" s="103">
        <v>630.41499999999996</v>
      </c>
    </row>
    <row r="187" spans="1:12" x14ac:dyDescent="0.25">
      <c r="A187" s="104">
        <v>183</v>
      </c>
      <c r="B187" s="107" t="s">
        <v>1394</v>
      </c>
      <c r="C187" s="108">
        <v>3621397</v>
      </c>
      <c r="D187" s="107" t="s">
        <v>1317</v>
      </c>
      <c r="E187" s="106">
        <v>637.96</v>
      </c>
      <c r="F187" s="106">
        <v>13.35</v>
      </c>
      <c r="G187" s="106">
        <v>622.97</v>
      </c>
      <c r="H187" s="106">
        <v>663.92</v>
      </c>
      <c r="I187" s="103">
        <f t="shared" si="4"/>
        <v>644.63499999999999</v>
      </c>
      <c r="J187" s="103">
        <f t="shared" si="5"/>
        <v>631.28500000000008</v>
      </c>
      <c r="K187" s="103">
        <v>644.63499999999999</v>
      </c>
      <c r="L187" s="103">
        <v>631.28500000000008</v>
      </c>
    </row>
    <row r="188" spans="1:12" x14ac:dyDescent="0.25">
      <c r="A188" s="100">
        <v>184</v>
      </c>
      <c r="B188" s="107" t="s">
        <v>1328</v>
      </c>
      <c r="C188" s="108">
        <v>3821167</v>
      </c>
      <c r="D188" s="107" t="s">
        <v>1349</v>
      </c>
      <c r="E188" s="106">
        <v>644.58000000000004</v>
      </c>
      <c r="F188" s="106">
        <v>19.25</v>
      </c>
      <c r="G188" s="106">
        <v>622.84</v>
      </c>
      <c r="H188" s="106">
        <v>716.95</v>
      </c>
      <c r="I188" s="103">
        <f t="shared" si="4"/>
        <v>654.20500000000004</v>
      </c>
      <c r="J188" s="103">
        <f t="shared" si="5"/>
        <v>634.95500000000004</v>
      </c>
      <c r="K188" s="103">
        <v>654.20500000000004</v>
      </c>
      <c r="L188" s="103">
        <v>634.95500000000004</v>
      </c>
    </row>
    <row r="189" spans="1:12" x14ac:dyDescent="0.25">
      <c r="A189" s="104">
        <v>185</v>
      </c>
      <c r="B189" s="107" t="s">
        <v>1359</v>
      </c>
      <c r="C189" s="108">
        <v>3551302</v>
      </c>
      <c r="D189" s="107" t="s">
        <v>1373</v>
      </c>
      <c r="E189" s="106">
        <v>640.88</v>
      </c>
      <c r="F189" s="106">
        <v>14.95</v>
      </c>
      <c r="G189" s="106">
        <v>622.84</v>
      </c>
      <c r="H189" s="106">
        <v>686.8</v>
      </c>
      <c r="I189" s="103">
        <f t="shared" si="4"/>
        <v>648.35500000000002</v>
      </c>
      <c r="J189" s="103">
        <f t="shared" si="5"/>
        <v>633.40499999999997</v>
      </c>
      <c r="K189" s="103">
        <v>648.35500000000002</v>
      </c>
      <c r="L189" s="103">
        <v>633.40499999999997</v>
      </c>
    </row>
    <row r="190" spans="1:12" x14ac:dyDescent="0.25">
      <c r="A190" s="100">
        <v>186</v>
      </c>
      <c r="B190" s="107" t="s">
        <v>1406</v>
      </c>
      <c r="C190" s="108">
        <v>1121113</v>
      </c>
      <c r="D190" s="107" t="s">
        <v>1133</v>
      </c>
      <c r="E190" s="106">
        <v>636.17999999999995</v>
      </c>
      <c r="F190" s="106">
        <v>11.26</v>
      </c>
      <c r="G190" s="106">
        <v>622.49</v>
      </c>
      <c r="H190" s="106">
        <v>667.04</v>
      </c>
      <c r="I190" s="103">
        <f t="shared" si="4"/>
        <v>641.80999999999995</v>
      </c>
      <c r="J190" s="103">
        <f t="shared" si="5"/>
        <v>630.54999999999995</v>
      </c>
      <c r="K190" s="103">
        <v>641.80999999999995</v>
      </c>
      <c r="L190" s="103">
        <v>630.54999999999995</v>
      </c>
    </row>
    <row r="191" spans="1:12" x14ac:dyDescent="0.25">
      <c r="A191" s="104">
        <v>187</v>
      </c>
      <c r="B191" s="107" t="s">
        <v>1337</v>
      </c>
      <c r="C191" s="108">
        <v>3411033</v>
      </c>
      <c r="D191" s="107" t="s">
        <v>1407</v>
      </c>
      <c r="E191" s="106">
        <v>642.13</v>
      </c>
      <c r="F191" s="106">
        <v>14.54</v>
      </c>
      <c r="G191" s="106">
        <v>622.42999999999995</v>
      </c>
      <c r="H191" s="106">
        <v>688.81</v>
      </c>
      <c r="I191" s="103">
        <f t="shared" si="4"/>
        <v>649.4</v>
      </c>
      <c r="J191" s="103">
        <f t="shared" si="5"/>
        <v>634.86</v>
      </c>
      <c r="K191" s="103">
        <v>649.4</v>
      </c>
      <c r="L191" s="103">
        <v>634.86</v>
      </c>
    </row>
    <row r="192" spans="1:12" x14ac:dyDescent="0.25">
      <c r="A192" s="100">
        <v>188</v>
      </c>
      <c r="B192" s="107" t="s">
        <v>1337</v>
      </c>
      <c r="C192" s="108">
        <v>3411122</v>
      </c>
      <c r="D192" s="107" t="s">
        <v>1326</v>
      </c>
      <c r="E192" s="106">
        <v>643.41</v>
      </c>
      <c r="F192" s="106">
        <v>19.11</v>
      </c>
      <c r="G192" s="106">
        <v>622.15</v>
      </c>
      <c r="H192" s="106">
        <v>702.26</v>
      </c>
      <c r="I192" s="103">
        <f t="shared" si="4"/>
        <v>652.96499999999992</v>
      </c>
      <c r="J192" s="103">
        <f t="shared" si="5"/>
        <v>633.85500000000002</v>
      </c>
      <c r="K192" s="103">
        <v>652.96499999999992</v>
      </c>
      <c r="L192" s="103">
        <v>633.85500000000002</v>
      </c>
    </row>
    <row r="193" spans="1:12" x14ac:dyDescent="0.25">
      <c r="A193" s="104">
        <v>189</v>
      </c>
      <c r="B193" s="107" t="s">
        <v>1313</v>
      </c>
      <c r="C193" s="108">
        <v>3611074</v>
      </c>
      <c r="D193" s="107" t="s">
        <v>1408</v>
      </c>
      <c r="E193" s="106">
        <v>639.24</v>
      </c>
      <c r="F193" s="106">
        <v>11.7</v>
      </c>
      <c r="G193" s="106">
        <v>621.74</v>
      </c>
      <c r="H193" s="106">
        <v>665.79</v>
      </c>
      <c r="I193" s="103">
        <f t="shared" si="4"/>
        <v>645.09</v>
      </c>
      <c r="J193" s="103">
        <f t="shared" si="5"/>
        <v>633.39</v>
      </c>
      <c r="K193" s="103">
        <v>645.09</v>
      </c>
      <c r="L193" s="103">
        <v>633.39</v>
      </c>
    </row>
    <row r="194" spans="1:12" x14ac:dyDescent="0.25">
      <c r="A194" s="100">
        <v>190</v>
      </c>
      <c r="B194" s="107" t="s">
        <v>1409</v>
      </c>
      <c r="C194" s="108">
        <v>1711075</v>
      </c>
      <c r="D194" s="107" t="s">
        <v>1319</v>
      </c>
      <c r="E194" s="106">
        <v>636.55999999999995</v>
      </c>
      <c r="F194" s="106">
        <v>12.48</v>
      </c>
      <c r="G194" s="106">
        <v>621.57000000000005</v>
      </c>
      <c r="H194" s="106">
        <v>681.44</v>
      </c>
      <c r="I194" s="103">
        <f t="shared" si="4"/>
        <v>642.79999999999995</v>
      </c>
      <c r="J194" s="103">
        <f t="shared" si="5"/>
        <v>630.31999999999994</v>
      </c>
      <c r="K194" s="103">
        <v>642.79999999999995</v>
      </c>
      <c r="L194" s="103">
        <v>630.31999999999994</v>
      </c>
    </row>
    <row r="195" spans="1:12" x14ac:dyDescent="0.25">
      <c r="A195" s="104">
        <v>191</v>
      </c>
      <c r="B195" s="107" t="s">
        <v>1315</v>
      </c>
      <c r="C195" s="108">
        <v>3211151</v>
      </c>
      <c r="D195" s="107" t="s">
        <v>1408</v>
      </c>
      <c r="E195" s="106">
        <v>637.91999999999996</v>
      </c>
      <c r="F195" s="106">
        <v>15.62</v>
      </c>
      <c r="G195" s="106">
        <v>621.33000000000004</v>
      </c>
      <c r="H195" s="106">
        <v>699.72</v>
      </c>
      <c r="I195" s="103">
        <f t="shared" si="4"/>
        <v>645.7299999999999</v>
      </c>
      <c r="J195" s="103">
        <f t="shared" si="5"/>
        <v>630.11</v>
      </c>
      <c r="K195" s="103">
        <v>645.7299999999999</v>
      </c>
      <c r="L195" s="103">
        <v>630.11</v>
      </c>
    </row>
    <row r="196" spans="1:12" x14ac:dyDescent="0.25">
      <c r="A196" s="100">
        <v>192</v>
      </c>
      <c r="B196" s="107" t="s">
        <v>1311</v>
      </c>
      <c r="C196" s="108">
        <v>3331195</v>
      </c>
      <c r="D196" s="107" t="s">
        <v>1368</v>
      </c>
      <c r="E196" s="106">
        <v>636.78</v>
      </c>
      <c r="F196" s="106">
        <v>11.88</v>
      </c>
      <c r="G196" s="106">
        <v>621.27</v>
      </c>
      <c r="H196" s="106">
        <v>669.8</v>
      </c>
      <c r="I196" s="103">
        <f t="shared" si="4"/>
        <v>642.72</v>
      </c>
      <c r="J196" s="103">
        <f t="shared" si="5"/>
        <v>630.83999999999992</v>
      </c>
      <c r="K196" s="103">
        <v>642.72</v>
      </c>
      <c r="L196" s="103">
        <v>630.83999999999992</v>
      </c>
    </row>
    <row r="197" spans="1:12" x14ac:dyDescent="0.25">
      <c r="A197" s="104">
        <v>193</v>
      </c>
      <c r="B197" s="107" t="s">
        <v>1396</v>
      </c>
      <c r="C197" s="108">
        <v>3231074</v>
      </c>
      <c r="D197" s="107" t="s">
        <v>1326</v>
      </c>
      <c r="E197" s="106">
        <v>636.58000000000004</v>
      </c>
      <c r="F197" s="106">
        <v>11</v>
      </c>
      <c r="G197" s="106">
        <v>620.96</v>
      </c>
      <c r="H197" s="106">
        <v>671.22</v>
      </c>
      <c r="I197" s="103">
        <f t="shared" si="4"/>
        <v>642.08000000000004</v>
      </c>
      <c r="J197" s="103">
        <f t="shared" si="5"/>
        <v>631.08000000000004</v>
      </c>
      <c r="K197" s="103">
        <v>642.08000000000004</v>
      </c>
      <c r="L197" s="103">
        <v>631.08000000000004</v>
      </c>
    </row>
    <row r="198" spans="1:12" x14ac:dyDescent="0.25">
      <c r="A198" s="100">
        <v>194</v>
      </c>
      <c r="B198" s="107" t="s">
        <v>1359</v>
      </c>
      <c r="C198" s="108">
        <v>3551051</v>
      </c>
      <c r="D198" s="107" t="s">
        <v>1321</v>
      </c>
      <c r="E198" s="106">
        <v>639.78</v>
      </c>
      <c r="F198" s="106">
        <v>18.38</v>
      </c>
      <c r="G198" s="106">
        <v>620.73</v>
      </c>
      <c r="H198" s="106">
        <v>706.2</v>
      </c>
      <c r="I198" s="103">
        <f t="shared" ref="I198:I261" si="6">E198+0.5*F198</f>
        <v>648.97</v>
      </c>
      <c r="J198" s="103">
        <f t="shared" ref="J198:J261" si="7">E198-0.5*F198</f>
        <v>630.58999999999992</v>
      </c>
      <c r="K198" s="103">
        <v>648.97</v>
      </c>
      <c r="L198" s="103">
        <v>630.58999999999992</v>
      </c>
    </row>
    <row r="199" spans="1:12" x14ac:dyDescent="0.25">
      <c r="A199" s="104">
        <v>195</v>
      </c>
      <c r="B199" s="107" t="s">
        <v>1353</v>
      </c>
      <c r="C199" s="108">
        <v>3721375</v>
      </c>
      <c r="D199" s="107" t="s">
        <v>1316</v>
      </c>
      <c r="E199" s="106">
        <v>636.49</v>
      </c>
      <c r="F199" s="106">
        <v>16.239999999999998</v>
      </c>
      <c r="G199" s="106">
        <v>620.71</v>
      </c>
      <c r="H199" s="106">
        <v>691.34</v>
      </c>
      <c r="I199" s="103">
        <f t="shared" si="6"/>
        <v>644.61</v>
      </c>
      <c r="J199" s="103">
        <f t="shared" si="7"/>
        <v>628.37</v>
      </c>
      <c r="K199" s="103">
        <v>644.61</v>
      </c>
      <c r="L199" s="103">
        <v>628.37</v>
      </c>
    </row>
    <row r="200" spans="1:12" x14ac:dyDescent="0.25">
      <c r="A200" s="100">
        <v>196</v>
      </c>
      <c r="B200" s="107" t="s">
        <v>1313</v>
      </c>
      <c r="C200" s="108">
        <v>3611445</v>
      </c>
      <c r="D200" s="107" t="s">
        <v>1410</v>
      </c>
      <c r="E200" s="106">
        <v>638.95000000000005</v>
      </c>
      <c r="F200" s="106">
        <v>14.65</v>
      </c>
      <c r="G200" s="106">
        <v>620.70000000000005</v>
      </c>
      <c r="H200" s="106">
        <v>680.86</v>
      </c>
      <c r="I200" s="103">
        <f t="shared" si="6"/>
        <v>646.27500000000009</v>
      </c>
      <c r="J200" s="103">
        <f t="shared" si="7"/>
        <v>631.625</v>
      </c>
      <c r="K200" s="103">
        <v>646.27500000000009</v>
      </c>
      <c r="L200" s="103">
        <v>631.625</v>
      </c>
    </row>
    <row r="201" spans="1:12" x14ac:dyDescent="0.25">
      <c r="A201" s="104">
        <v>197</v>
      </c>
      <c r="B201" s="107" t="s">
        <v>1328</v>
      </c>
      <c r="C201" s="108">
        <v>3821183</v>
      </c>
      <c r="D201" s="107" t="s">
        <v>1411</v>
      </c>
      <c r="E201" s="106">
        <v>640.41</v>
      </c>
      <c r="F201" s="106">
        <v>16.809999999999999</v>
      </c>
      <c r="G201" s="106">
        <v>620.51</v>
      </c>
      <c r="H201" s="106">
        <v>708.28</v>
      </c>
      <c r="I201" s="103">
        <f t="shared" si="6"/>
        <v>648.81499999999994</v>
      </c>
      <c r="J201" s="103">
        <f t="shared" si="7"/>
        <v>632.005</v>
      </c>
      <c r="K201" s="103">
        <v>648.81499999999994</v>
      </c>
      <c r="L201" s="103">
        <v>632.005</v>
      </c>
    </row>
    <row r="202" spans="1:12" x14ac:dyDescent="0.25">
      <c r="A202" s="100">
        <v>198</v>
      </c>
      <c r="B202" s="107" t="s">
        <v>1328</v>
      </c>
      <c r="C202" s="108">
        <v>3821024</v>
      </c>
      <c r="D202" s="107" t="s">
        <v>1321</v>
      </c>
      <c r="E202" s="106">
        <v>643.76</v>
      </c>
      <c r="F202" s="106">
        <v>21.91</v>
      </c>
      <c r="G202" s="106">
        <v>620.4</v>
      </c>
      <c r="H202" s="106">
        <v>710.52</v>
      </c>
      <c r="I202" s="103">
        <f t="shared" si="6"/>
        <v>654.71500000000003</v>
      </c>
      <c r="J202" s="103">
        <f t="shared" si="7"/>
        <v>632.80499999999995</v>
      </c>
      <c r="K202" s="103">
        <v>654.71500000000003</v>
      </c>
      <c r="L202" s="103">
        <v>632.80499999999995</v>
      </c>
    </row>
    <row r="203" spans="1:12" x14ac:dyDescent="0.25">
      <c r="A203" s="104">
        <v>199</v>
      </c>
      <c r="B203" s="107" t="s">
        <v>1311</v>
      </c>
      <c r="C203" s="108">
        <v>3331222</v>
      </c>
      <c r="D203" s="107" t="s">
        <v>1332</v>
      </c>
      <c r="E203" s="106">
        <v>648.1</v>
      </c>
      <c r="F203" s="106">
        <v>19.63</v>
      </c>
      <c r="G203" s="106">
        <v>620.03</v>
      </c>
      <c r="H203" s="106">
        <v>703.74</v>
      </c>
      <c r="I203" s="103">
        <f t="shared" si="6"/>
        <v>657.91500000000008</v>
      </c>
      <c r="J203" s="103">
        <f t="shared" si="7"/>
        <v>638.28499999999997</v>
      </c>
      <c r="K203" s="103">
        <v>657.91500000000008</v>
      </c>
      <c r="L203" s="103">
        <v>638.28499999999997</v>
      </c>
    </row>
    <row r="204" spans="1:12" x14ac:dyDescent="0.25">
      <c r="A204" s="100">
        <v>200</v>
      </c>
      <c r="B204" s="107" t="s">
        <v>1328</v>
      </c>
      <c r="C204" s="108">
        <v>3821047</v>
      </c>
      <c r="D204" s="107" t="s">
        <v>1326</v>
      </c>
      <c r="E204" s="106">
        <v>635.54</v>
      </c>
      <c r="F204" s="106">
        <v>14.97</v>
      </c>
      <c r="G204" s="106">
        <v>619.59</v>
      </c>
      <c r="H204" s="106">
        <v>675.36</v>
      </c>
      <c r="I204" s="103">
        <f t="shared" si="6"/>
        <v>643.02499999999998</v>
      </c>
      <c r="J204" s="103">
        <f t="shared" si="7"/>
        <v>628.05499999999995</v>
      </c>
      <c r="K204" s="103">
        <v>643.02499999999998</v>
      </c>
      <c r="L204" s="103">
        <v>628.05499999999995</v>
      </c>
    </row>
    <row r="205" spans="1:12" x14ac:dyDescent="0.25">
      <c r="A205" s="104">
        <v>201</v>
      </c>
      <c r="B205" s="107" t="s">
        <v>1337</v>
      </c>
      <c r="C205" s="108">
        <v>3411474</v>
      </c>
      <c r="D205" s="107" t="s">
        <v>1412</v>
      </c>
      <c r="E205" s="106">
        <v>636.97</v>
      </c>
      <c r="F205" s="106">
        <v>15.56</v>
      </c>
      <c r="G205" s="106">
        <v>619.26</v>
      </c>
      <c r="H205" s="106">
        <v>691.06</v>
      </c>
      <c r="I205" s="103">
        <f t="shared" si="6"/>
        <v>644.75</v>
      </c>
      <c r="J205" s="103">
        <f t="shared" si="7"/>
        <v>629.19000000000005</v>
      </c>
      <c r="K205" s="103">
        <v>644.75</v>
      </c>
      <c r="L205" s="103">
        <v>629.19000000000005</v>
      </c>
    </row>
    <row r="206" spans="1:12" x14ac:dyDescent="0.25">
      <c r="A206" s="100">
        <v>202</v>
      </c>
      <c r="B206" s="107" t="s">
        <v>1313</v>
      </c>
      <c r="C206" s="108">
        <v>3611317</v>
      </c>
      <c r="D206" s="107" t="s">
        <v>1413</v>
      </c>
      <c r="E206" s="106">
        <v>632.33000000000004</v>
      </c>
      <c r="F206" s="106">
        <v>11</v>
      </c>
      <c r="G206" s="106">
        <v>619.26</v>
      </c>
      <c r="H206" s="106">
        <v>657.98</v>
      </c>
      <c r="I206" s="103">
        <f t="shared" si="6"/>
        <v>637.83000000000004</v>
      </c>
      <c r="J206" s="103">
        <f t="shared" si="7"/>
        <v>626.83000000000004</v>
      </c>
      <c r="K206" s="103">
        <v>637.83000000000004</v>
      </c>
      <c r="L206" s="103">
        <v>626.83000000000004</v>
      </c>
    </row>
    <row r="207" spans="1:12" x14ac:dyDescent="0.25">
      <c r="A207" s="104">
        <v>203</v>
      </c>
      <c r="B207" s="107" t="s">
        <v>1353</v>
      </c>
      <c r="C207" s="108">
        <v>3721417</v>
      </c>
      <c r="D207" s="107" t="s">
        <v>1414</v>
      </c>
      <c r="E207" s="106">
        <v>641.97</v>
      </c>
      <c r="F207" s="106">
        <v>17.18</v>
      </c>
      <c r="G207" s="106">
        <v>618.87</v>
      </c>
      <c r="H207" s="106">
        <v>687.93</v>
      </c>
      <c r="I207" s="103">
        <f t="shared" si="6"/>
        <v>650.56000000000006</v>
      </c>
      <c r="J207" s="103">
        <f t="shared" si="7"/>
        <v>633.38</v>
      </c>
      <c r="K207" s="103">
        <v>650.56000000000006</v>
      </c>
      <c r="L207" s="103">
        <v>633.38</v>
      </c>
    </row>
    <row r="208" spans="1:12" x14ac:dyDescent="0.25">
      <c r="A208" s="100">
        <v>204</v>
      </c>
      <c r="B208" s="107" t="s">
        <v>1328</v>
      </c>
      <c r="C208" s="108">
        <v>3821152</v>
      </c>
      <c r="D208" s="107" t="s">
        <v>1415</v>
      </c>
      <c r="E208" s="106">
        <v>632.72</v>
      </c>
      <c r="F208" s="106">
        <v>16.329999999999998</v>
      </c>
      <c r="G208" s="106">
        <v>618.6</v>
      </c>
      <c r="H208" s="106">
        <v>716.42</v>
      </c>
      <c r="I208" s="103">
        <f t="shared" si="6"/>
        <v>640.88499999999999</v>
      </c>
      <c r="J208" s="103">
        <f t="shared" si="7"/>
        <v>624.55500000000006</v>
      </c>
      <c r="K208" s="103">
        <v>640.88499999999999</v>
      </c>
      <c r="L208" s="103">
        <v>624.55500000000006</v>
      </c>
    </row>
    <row r="209" spans="1:12" x14ac:dyDescent="0.25">
      <c r="A209" s="104">
        <v>205</v>
      </c>
      <c r="B209" s="107" t="s">
        <v>1308</v>
      </c>
      <c r="C209" s="108">
        <v>1411184</v>
      </c>
      <c r="D209" s="107" t="s">
        <v>1330</v>
      </c>
      <c r="E209" s="106">
        <v>639.65</v>
      </c>
      <c r="F209" s="106">
        <v>15.84</v>
      </c>
      <c r="G209" s="106">
        <v>618.53</v>
      </c>
      <c r="H209" s="106">
        <v>687.02</v>
      </c>
      <c r="I209" s="103">
        <f t="shared" si="6"/>
        <v>647.56999999999994</v>
      </c>
      <c r="J209" s="103">
        <f t="shared" si="7"/>
        <v>631.73</v>
      </c>
      <c r="K209" s="103">
        <v>647.56999999999994</v>
      </c>
      <c r="L209" s="103">
        <v>631.73</v>
      </c>
    </row>
    <row r="210" spans="1:12" x14ac:dyDescent="0.25">
      <c r="A210" s="100">
        <v>206</v>
      </c>
      <c r="B210" s="107" t="s">
        <v>1394</v>
      </c>
      <c r="C210" s="108">
        <v>3621447</v>
      </c>
      <c r="D210" s="107" t="s">
        <v>1363</v>
      </c>
      <c r="E210" s="106">
        <v>638.6</v>
      </c>
      <c r="F210" s="106">
        <v>17.73</v>
      </c>
      <c r="G210" s="106">
        <v>618.51</v>
      </c>
      <c r="H210" s="106">
        <v>677.7</v>
      </c>
      <c r="I210" s="103">
        <f t="shared" si="6"/>
        <v>647.46500000000003</v>
      </c>
      <c r="J210" s="103">
        <f t="shared" si="7"/>
        <v>629.73500000000001</v>
      </c>
      <c r="K210" s="103">
        <v>647.46500000000003</v>
      </c>
      <c r="L210" s="103">
        <v>629.73500000000001</v>
      </c>
    </row>
    <row r="211" spans="1:12" x14ac:dyDescent="0.25">
      <c r="A211" s="104">
        <v>207</v>
      </c>
      <c r="B211" s="107" t="s">
        <v>1383</v>
      </c>
      <c r="C211" s="108">
        <v>6111181</v>
      </c>
      <c r="D211" s="107" t="s">
        <v>1330</v>
      </c>
      <c r="E211" s="106">
        <v>633.36</v>
      </c>
      <c r="F211" s="106">
        <v>14.15</v>
      </c>
      <c r="G211" s="106">
        <v>618.29999999999995</v>
      </c>
      <c r="H211" s="106">
        <v>669.08</v>
      </c>
      <c r="I211" s="103">
        <f t="shared" si="6"/>
        <v>640.43500000000006</v>
      </c>
      <c r="J211" s="103">
        <f t="shared" si="7"/>
        <v>626.28499999999997</v>
      </c>
      <c r="K211" s="103">
        <v>640.43500000000006</v>
      </c>
      <c r="L211" s="103">
        <v>626.28499999999997</v>
      </c>
    </row>
    <row r="212" spans="1:12" x14ac:dyDescent="0.25">
      <c r="A212" s="100">
        <v>208</v>
      </c>
      <c r="B212" s="107" t="s">
        <v>1359</v>
      </c>
      <c r="C212" s="108">
        <v>3551221</v>
      </c>
      <c r="D212" s="107" t="s">
        <v>1349</v>
      </c>
      <c r="E212" s="106">
        <v>636.73</v>
      </c>
      <c r="F212" s="106">
        <v>16.22</v>
      </c>
      <c r="G212" s="106">
        <v>618.25</v>
      </c>
      <c r="H212" s="106">
        <v>704.93</v>
      </c>
      <c r="I212" s="103">
        <f t="shared" si="6"/>
        <v>644.84</v>
      </c>
      <c r="J212" s="103">
        <f t="shared" si="7"/>
        <v>628.62</v>
      </c>
      <c r="K212" s="103">
        <v>644.84</v>
      </c>
      <c r="L212" s="103">
        <v>628.62</v>
      </c>
    </row>
    <row r="213" spans="1:12" x14ac:dyDescent="0.25">
      <c r="A213" s="104">
        <v>209</v>
      </c>
      <c r="B213" s="107" t="s">
        <v>1416</v>
      </c>
      <c r="C213" s="108">
        <v>3341093</v>
      </c>
      <c r="D213" s="107" t="s">
        <v>1326</v>
      </c>
      <c r="E213" s="106">
        <v>629.97</v>
      </c>
      <c r="F213" s="106">
        <v>11.91</v>
      </c>
      <c r="G213" s="106">
        <v>618.22</v>
      </c>
      <c r="H213" s="106">
        <v>666.27</v>
      </c>
      <c r="I213" s="103">
        <f t="shared" si="6"/>
        <v>635.92500000000007</v>
      </c>
      <c r="J213" s="103">
        <f t="shared" si="7"/>
        <v>624.01499999999999</v>
      </c>
      <c r="K213" s="103">
        <v>635.92500000000007</v>
      </c>
      <c r="L213" s="103">
        <v>624.01499999999999</v>
      </c>
    </row>
    <row r="214" spans="1:12" x14ac:dyDescent="0.25">
      <c r="A214" s="100">
        <v>210</v>
      </c>
      <c r="B214" s="107" t="s">
        <v>1359</v>
      </c>
      <c r="C214" s="108">
        <v>3551194</v>
      </c>
      <c r="D214" s="107" t="s">
        <v>1314</v>
      </c>
      <c r="E214" s="106">
        <v>641.71</v>
      </c>
      <c r="F214" s="106">
        <v>16.68</v>
      </c>
      <c r="G214" s="106">
        <v>618.21</v>
      </c>
      <c r="H214" s="106">
        <v>688.54</v>
      </c>
      <c r="I214" s="103">
        <f t="shared" si="6"/>
        <v>650.05000000000007</v>
      </c>
      <c r="J214" s="103">
        <f t="shared" si="7"/>
        <v>633.37</v>
      </c>
      <c r="K214" s="103">
        <v>650.05000000000007</v>
      </c>
      <c r="L214" s="103">
        <v>633.37</v>
      </c>
    </row>
    <row r="215" spans="1:12" x14ac:dyDescent="0.25">
      <c r="A215" s="104">
        <v>211</v>
      </c>
      <c r="B215" s="107" t="s">
        <v>1353</v>
      </c>
      <c r="C215" s="108">
        <v>3721441</v>
      </c>
      <c r="D215" s="107" t="s">
        <v>1102</v>
      </c>
      <c r="E215" s="106">
        <v>633.70000000000005</v>
      </c>
      <c r="F215" s="106">
        <v>13.07</v>
      </c>
      <c r="G215" s="106">
        <v>618.02</v>
      </c>
      <c r="H215" s="106">
        <v>667.8</v>
      </c>
      <c r="I215" s="103">
        <f t="shared" si="6"/>
        <v>640.23500000000001</v>
      </c>
      <c r="J215" s="103">
        <f t="shared" si="7"/>
        <v>627.16500000000008</v>
      </c>
      <c r="K215" s="103">
        <v>640.23500000000001</v>
      </c>
      <c r="L215" s="103">
        <v>627.16500000000008</v>
      </c>
    </row>
    <row r="216" spans="1:12" x14ac:dyDescent="0.25">
      <c r="A216" s="100">
        <v>212</v>
      </c>
      <c r="B216" s="107" t="s">
        <v>1361</v>
      </c>
      <c r="C216" s="108">
        <v>3531166</v>
      </c>
      <c r="D216" s="107" t="s">
        <v>1122</v>
      </c>
      <c r="E216" s="106">
        <v>633.35</v>
      </c>
      <c r="F216" s="106">
        <v>14.14</v>
      </c>
      <c r="G216" s="106">
        <v>618</v>
      </c>
      <c r="H216" s="106">
        <v>666.7</v>
      </c>
      <c r="I216" s="103">
        <f t="shared" si="6"/>
        <v>640.42000000000007</v>
      </c>
      <c r="J216" s="103">
        <f t="shared" si="7"/>
        <v>626.28</v>
      </c>
      <c r="K216" s="103">
        <v>640.42000000000007</v>
      </c>
      <c r="L216" s="103">
        <v>626.28</v>
      </c>
    </row>
    <row r="217" spans="1:12" x14ac:dyDescent="0.25">
      <c r="A217" s="104">
        <v>213</v>
      </c>
      <c r="B217" s="107" t="s">
        <v>1353</v>
      </c>
      <c r="C217" s="108">
        <v>3721046</v>
      </c>
      <c r="D217" s="107" t="s">
        <v>1314</v>
      </c>
      <c r="E217" s="106">
        <v>631.88</v>
      </c>
      <c r="F217" s="106">
        <v>12.74</v>
      </c>
      <c r="G217" s="106">
        <v>617.70000000000005</v>
      </c>
      <c r="H217" s="106">
        <v>682.42</v>
      </c>
      <c r="I217" s="103">
        <f t="shared" si="6"/>
        <v>638.25</v>
      </c>
      <c r="J217" s="103">
        <f t="shared" si="7"/>
        <v>625.51</v>
      </c>
      <c r="K217" s="103">
        <v>638.25</v>
      </c>
      <c r="L217" s="103">
        <v>625.51</v>
      </c>
    </row>
    <row r="218" spans="1:12" x14ac:dyDescent="0.25">
      <c r="A218" s="100">
        <v>214</v>
      </c>
      <c r="B218" s="107" t="s">
        <v>1394</v>
      </c>
      <c r="C218" s="108">
        <v>3621103</v>
      </c>
      <c r="D218" s="107" t="s">
        <v>1321</v>
      </c>
      <c r="E218" s="106">
        <v>639.05999999999995</v>
      </c>
      <c r="F218" s="106">
        <v>15.4</v>
      </c>
      <c r="G218" s="106">
        <v>617.63</v>
      </c>
      <c r="H218" s="106">
        <v>668.65</v>
      </c>
      <c r="I218" s="103">
        <f t="shared" si="6"/>
        <v>646.76</v>
      </c>
      <c r="J218" s="103">
        <f t="shared" si="7"/>
        <v>631.3599999999999</v>
      </c>
      <c r="K218" s="103">
        <v>646.76</v>
      </c>
      <c r="L218" s="103">
        <v>631.3599999999999</v>
      </c>
    </row>
    <row r="219" spans="1:12" x14ac:dyDescent="0.25">
      <c r="A219" s="104">
        <v>215</v>
      </c>
      <c r="B219" s="107" t="s">
        <v>1353</v>
      </c>
      <c r="C219" s="108">
        <v>3721232</v>
      </c>
      <c r="D219" s="107" t="s">
        <v>1417</v>
      </c>
      <c r="E219" s="106">
        <v>641.62</v>
      </c>
      <c r="F219" s="106">
        <v>20.22</v>
      </c>
      <c r="G219" s="106">
        <v>617.63</v>
      </c>
      <c r="H219" s="106">
        <v>724.8</v>
      </c>
      <c r="I219" s="103">
        <f t="shared" si="6"/>
        <v>651.73</v>
      </c>
      <c r="J219" s="103">
        <f t="shared" si="7"/>
        <v>631.51</v>
      </c>
      <c r="K219" s="103">
        <v>651.73</v>
      </c>
      <c r="L219" s="103">
        <v>631.51</v>
      </c>
    </row>
    <row r="220" spans="1:12" x14ac:dyDescent="0.25">
      <c r="A220" s="100">
        <v>216</v>
      </c>
      <c r="B220" s="107" t="s">
        <v>1359</v>
      </c>
      <c r="C220" s="108">
        <v>3551074</v>
      </c>
      <c r="D220" s="107" t="s">
        <v>1326</v>
      </c>
      <c r="E220" s="106">
        <v>633.88</v>
      </c>
      <c r="F220" s="106">
        <v>15</v>
      </c>
      <c r="G220" s="106">
        <v>617.62</v>
      </c>
      <c r="H220" s="106">
        <v>694.85</v>
      </c>
      <c r="I220" s="103">
        <f t="shared" si="6"/>
        <v>641.38</v>
      </c>
      <c r="J220" s="103">
        <f t="shared" si="7"/>
        <v>626.38</v>
      </c>
      <c r="K220" s="103">
        <v>641.38</v>
      </c>
      <c r="L220" s="103">
        <v>626.38</v>
      </c>
    </row>
    <row r="221" spans="1:12" x14ac:dyDescent="0.25">
      <c r="A221" s="104">
        <v>217</v>
      </c>
      <c r="B221" s="107" t="s">
        <v>1353</v>
      </c>
      <c r="C221" s="108">
        <v>3721127</v>
      </c>
      <c r="D221" s="107" t="s">
        <v>1326</v>
      </c>
      <c r="E221" s="106">
        <v>629.73</v>
      </c>
      <c r="F221" s="106">
        <v>12.58</v>
      </c>
      <c r="G221" s="106">
        <v>617.48</v>
      </c>
      <c r="H221" s="106">
        <v>694.26</v>
      </c>
      <c r="I221" s="103">
        <f t="shared" si="6"/>
        <v>636.02</v>
      </c>
      <c r="J221" s="103">
        <f t="shared" si="7"/>
        <v>623.44000000000005</v>
      </c>
      <c r="K221" s="103">
        <v>636.02</v>
      </c>
      <c r="L221" s="103">
        <v>623.44000000000005</v>
      </c>
    </row>
    <row r="222" spans="1:12" x14ac:dyDescent="0.25">
      <c r="A222" s="100">
        <v>218</v>
      </c>
      <c r="B222" s="107" t="s">
        <v>1353</v>
      </c>
      <c r="C222" s="108">
        <v>3721135</v>
      </c>
      <c r="D222" s="107" t="s">
        <v>1321</v>
      </c>
      <c r="E222" s="106">
        <v>636.24</v>
      </c>
      <c r="F222" s="106">
        <v>19.87</v>
      </c>
      <c r="G222" s="106">
        <v>617.14</v>
      </c>
      <c r="H222" s="106">
        <v>696.65</v>
      </c>
      <c r="I222" s="103">
        <f t="shared" si="6"/>
        <v>646.17499999999995</v>
      </c>
      <c r="J222" s="103">
        <f t="shared" si="7"/>
        <v>626.30500000000006</v>
      </c>
      <c r="K222" s="103">
        <v>646.17499999999995</v>
      </c>
      <c r="L222" s="103">
        <v>626.30500000000006</v>
      </c>
    </row>
    <row r="223" spans="1:12" x14ac:dyDescent="0.25">
      <c r="A223" s="104">
        <v>219</v>
      </c>
      <c r="B223" s="107" t="s">
        <v>1359</v>
      </c>
      <c r="C223" s="108">
        <v>3551012</v>
      </c>
      <c r="D223" s="107" t="s">
        <v>1418</v>
      </c>
      <c r="E223" s="106">
        <v>637.30999999999995</v>
      </c>
      <c r="F223" s="106">
        <v>18.149999999999999</v>
      </c>
      <c r="G223" s="106">
        <v>617.12</v>
      </c>
      <c r="H223" s="106">
        <v>746.29</v>
      </c>
      <c r="I223" s="103">
        <f t="shared" si="6"/>
        <v>646.38499999999999</v>
      </c>
      <c r="J223" s="103">
        <f t="shared" si="7"/>
        <v>628.2349999999999</v>
      </c>
      <c r="K223" s="103">
        <v>646.38499999999999</v>
      </c>
      <c r="L223" s="103">
        <v>628.2349999999999</v>
      </c>
    </row>
    <row r="224" spans="1:12" x14ac:dyDescent="0.25">
      <c r="A224" s="100">
        <v>220</v>
      </c>
      <c r="B224" s="107" t="s">
        <v>1361</v>
      </c>
      <c r="C224" s="108">
        <v>3531104</v>
      </c>
      <c r="D224" s="107" t="s">
        <v>1314</v>
      </c>
      <c r="E224" s="106">
        <v>635.07000000000005</v>
      </c>
      <c r="F224" s="106">
        <v>16.7</v>
      </c>
      <c r="G224" s="106">
        <v>616.73</v>
      </c>
      <c r="H224" s="106">
        <v>694.58</v>
      </c>
      <c r="I224" s="103">
        <f t="shared" si="6"/>
        <v>643.42000000000007</v>
      </c>
      <c r="J224" s="103">
        <f t="shared" si="7"/>
        <v>626.72</v>
      </c>
      <c r="K224" s="103">
        <v>643.42000000000007</v>
      </c>
      <c r="L224" s="103">
        <v>626.72</v>
      </c>
    </row>
    <row r="225" spans="1:12" x14ac:dyDescent="0.25">
      <c r="A225" s="104">
        <v>221</v>
      </c>
      <c r="B225" s="107" t="s">
        <v>1309</v>
      </c>
      <c r="C225" s="108">
        <v>3321162</v>
      </c>
      <c r="D225" s="107" t="s">
        <v>1419</v>
      </c>
      <c r="E225" s="106">
        <v>639.96</v>
      </c>
      <c r="F225" s="106">
        <v>18.72</v>
      </c>
      <c r="G225" s="106">
        <v>616.55999999999995</v>
      </c>
      <c r="H225" s="106">
        <v>685.9</v>
      </c>
      <c r="I225" s="103">
        <f t="shared" si="6"/>
        <v>649.32000000000005</v>
      </c>
      <c r="J225" s="103">
        <f t="shared" si="7"/>
        <v>630.6</v>
      </c>
      <c r="K225" s="103">
        <v>649.32000000000005</v>
      </c>
      <c r="L225" s="103">
        <v>630.6</v>
      </c>
    </row>
    <row r="226" spans="1:12" x14ac:dyDescent="0.25">
      <c r="A226" s="100">
        <v>222</v>
      </c>
      <c r="B226" s="107" t="s">
        <v>1361</v>
      </c>
      <c r="C226" s="108">
        <v>3531143</v>
      </c>
      <c r="D226" s="107" t="s">
        <v>1326</v>
      </c>
      <c r="E226" s="106">
        <v>631.44000000000005</v>
      </c>
      <c r="F226" s="106">
        <v>12.5</v>
      </c>
      <c r="G226" s="106">
        <v>616.25</v>
      </c>
      <c r="H226" s="106">
        <v>667.18</v>
      </c>
      <c r="I226" s="103">
        <f t="shared" si="6"/>
        <v>637.69000000000005</v>
      </c>
      <c r="J226" s="103">
        <f t="shared" si="7"/>
        <v>625.19000000000005</v>
      </c>
      <c r="K226" s="103">
        <v>637.69000000000005</v>
      </c>
      <c r="L226" s="103">
        <v>625.19000000000005</v>
      </c>
    </row>
    <row r="227" spans="1:12" x14ac:dyDescent="0.25">
      <c r="A227" s="104">
        <v>223</v>
      </c>
      <c r="B227" s="107" t="s">
        <v>1420</v>
      </c>
      <c r="C227" s="108">
        <v>6311233</v>
      </c>
      <c r="D227" s="107" t="s">
        <v>1133</v>
      </c>
      <c r="E227" s="106">
        <v>640.20000000000005</v>
      </c>
      <c r="F227" s="106">
        <v>18.96</v>
      </c>
      <c r="G227" s="106">
        <v>616.12</v>
      </c>
      <c r="H227" s="106">
        <v>686.26</v>
      </c>
      <c r="I227" s="103">
        <f t="shared" si="6"/>
        <v>649.68000000000006</v>
      </c>
      <c r="J227" s="103">
        <f t="shared" si="7"/>
        <v>630.72</v>
      </c>
      <c r="K227" s="103">
        <v>649.68000000000006</v>
      </c>
      <c r="L227" s="103">
        <v>630.72</v>
      </c>
    </row>
    <row r="228" spans="1:12" x14ac:dyDescent="0.25">
      <c r="A228" s="100">
        <v>224</v>
      </c>
      <c r="B228" s="107" t="s">
        <v>1361</v>
      </c>
      <c r="C228" s="108">
        <v>3531062</v>
      </c>
      <c r="D228" s="107" t="s">
        <v>1399</v>
      </c>
      <c r="E228" s="106">
        <v>628.75</v>
      </c>
      <c r="F228" s="106">
        <v>12.46</v>
      </c>
      <c r="G228" s="106">
        <v>616</v>
      </c>
      <c r="H228" s="106">
        <v>665.06</v>
      </c>
      <c r="I228" s="103">
        <f t="shared" si="6"/>
        <v>634.98</v>
      </c>
      <c r="J228" s="103">
        <f t="shared" si="7"/>
        <v>622.52</v>
      </c>
      <c r="K228" s="103">
        <v>634.98</v>
      </c>
      <c r="L228" s="103">
        <v>622.52</v>
      </c>
    </row>
    <row r="229" spans="1:12" x14ac:dyDescent="0.25">
      <c r="A229" s="104">
        <v>225</v>
      </c>
      <c r="B229" s="107" t="s">
        <v>1328</v>
      </c>
      <c r="C229" s="108">
        <v>3821055</v>
      </c>
      <c r="D229" s="107" t="s">
        <v>1374</v>
      </c>
      <c r="E229" s="106">
        <v>631.48</v>
      </c>
      <c r="F229" s="106">
        <v>14.23</v>
      </c>
      <c r="G229" s="106">
        <v>615.84</v>
      </c>
      <c r="H229" s="106">
        <v>677.79</v>
      </c>
      <c r="I229" s="103">
        <f t="shared" si="6"/>
        <v>638.59500000000003</v>
      </c>
      <c r="J229" s="103">
        <f t="shared" si="7"/>
        <v>624.36500000000001</v>
      </c>
      <c r="K229" s="103">
        <v>638.59500000000003</v>
      </c>
      <c r="L229" s="103">
        <v>624.36500000000001</v>
      </c>
    </row>
    <row r="230" spans="1:12" x14ac:dyDescent="0.25">
      <c r="A230" s="100">
        <v>226</v>
      </c>
      <c r="B230" s="107" t="s">
        <v>1394</v>
      </c>
      <c r="C230" s="108">
        <v>3621126</v>
      </c>
      <c r="D230" s="107" t="s">
        <v>1326</v>
      </c>
      <c r="E230" s="106">
        <v>628.55999999999995</v>
      </c>
      <c r="F230" s="106">
        <v>11.28</v>
      </c>
      <c r="G230" s="106">
        <v>615.75</v>
      </c>
      <c r="H230" s="106">
        <v>655.62</v>
      </c>
      <c r="I230" s="103">
        <f t="shared" si="6"/>
        <v>634.19999999999993</v>
      </c>
      <c r="J230" s="103">
        <f t="shared" si="7"/>
        <v>622.91999999999996</v>
      </c>
      <c r="K230" s="103">
        <v>634.19999999999993</v>
      </c>
      <c r="L230" s="103">
        <v>622.91999999999996</v>
      </c>
    </row>
    <row r="231" spans="1:12" x14ac:dyDescent="0.25">
      <c r="A231" s="104">
        <v>227</v>
      </c>
      <c r="B231" s="107" t="s">
        <v>1318</v>
      </c>
      <c r="C231" s="108">
        <v>3811173</v>
      </c>
      <c r="D231" s="107" t="s">
        <v>1381</v>
      </c>
      <c r="E231" s="106">
        <v>638.29999999999995</v>
      </c>
      <c r="F231" s="106">
        <v>19.38</v>
      </c>
      <c r="G231" s="106">
        <v>615.58000000000004</v>
      </c>
      <c r="H231" s="106">
        <v>702.54</v>
      </c>
      <c r="I231" s="103">
        <f t="shared" si="6"/>
        <v>647.99</v>
      </c>
      <c r="J231" s="103">
        <f t="shared" si="7"/>
        <v>628.6099999999999</v>
      </c>
      <c r="K231" s="103">
        <v>647.99</v>
      </c>
      <c r="L231" s="103">
        <v>628.6099999999999</v>
      </c>
    </row>
    <row r="232" spans="1:12" x14ac:dyDescent="0.25">
      <c r="A232" s="100">
        <v>228</v>
      </c>
      <c r="B232" s="107" t="s">
        <v>1421</v>
      </c>
      <c r="C232" s="108">
        <v>3631016</v>
      </c>
      <c r="D232" s="107" t="s">
        <v>1377</v>
      </c>
      <c r="E232" s="106">
        <v>632.87</v>
      </c>
      <c r="F232" s="106">
        <v>16.989999999999998</v>
      </c>
      <c r="G232" s="106">
        <v>615.41</v>
      </c>
      <c r="H232" s="106">
        <v>696.5</v>
      </c>
      <c r="I232" s="103">
        <f t="shared" si="6"/>
        <v>641.36500000000001</v>
      </c>
      <c r="J232" s="103">
        <f t="shared" si="7"/>
        <v>624.375</v>
      </c>
      <c r="K232" s="103">
        <v>641.36500000000001</v>
      </c>
      <c r="L232" s="103">
        <v>624.375</v>
      </c>
    </row>
    <row r="233" spans="1:12" x14ac:dyDescent="0.25">
      <c r="A233" s="104">
        <v>229</v>
      </c>
      <c r="B233" s="107" t="s">
        <v>1416</v>
      </c>
      <c r="C233" s="108">
        <v>3341062</v>
      </c>
      <c r="D233" s="107" t="s">
        <v>1321</v>
      </c>
      <c r="E233" s="106">
        <v>629.67999999999995</v>
      </c>
      <c r="F233" s="106">
        <v>13.42</v>
      </c>
      <c r="G233" s="106">
        <v>615.34</v>
      </c>
      <c r="H233" s="106">
        <v>685.22</v>
      </c>
      <c r="I233" s="103">
        <f t="shared" si="6"/>
        <v>636.39</v>
      </c>
      <c r="J233" s="103">
        <f t="shared" si="7"/>
        <v>622.96999999999991</v>
      </c>
      <c r="K233" s="103">
        <v>636.39</v>
      </c>
      <c r="L233" s="103">
        <v>622.96999999999991</v>
      </c>
    </row>
    <row r="234" spans="1:12" x14ac:dyDescent="0.25">
      <c r="A234" s="100">
        <v>230</v>
      </c>
      <c r="B234" s="107" t="s">
        <v>1337</v>
      </c>
      <c r="C234" s="108">
        <v>3411265</v>
      </c>
      <c r="D234" s="107" t="s">
        <v>1380</v>
      </c>
      <c r="E234" s="106">
        <v>635.34</v>
      </c>
      <c r="F234" s="106">
        <v>14.13</v>
      </c>
      <c r="G234" s="106">
        <v>615.28</v>
      </c>
      <c r="H234" s="106">
        <v>673.72</v>
      </c>
      <c r="I234" s="103">
        <f t="shared" si="6"/>
        <v>642.40500000000009</v>
      </c>
      <c r="J234" s="103">
        <f t="shared" si="7"/>
        <v>628.27499999999998</v>
      </c>
      <c r="K234" s="103">
        <v>642.40500000000009</v>
      </c>
      <c r="L234" s="103">
        <v>628.27499999999998</v>
      </c>
    </row>
    <row r="235" spans="1:12" x14ac:dyDescent="0.25">
      <c r="A235" s="104">
        <v>231</v>
      </c>
      <c r="B235" s="107" t="s">
        <v>1396</v>
      </c>
      <c r="C235" s="108">
        <v>3231163</v>
      </c>
      <c r="D235" s="107" t="s">
        <v>1317</v>
      </c>
      <c r="E235" s="106">
        <v>629.04</v>
      </c>
      <c r="F235" s="106">
        <v>10.96</v>
      </c>
      <c r="G235" s="106">
        <v>615.22</v>
      </c>
      <c r="H235" s="106">
        <v>655.19000000000005</v>
      </c>
      <c r="I235" s="103">
        <f t="shared" si="6"/>
        <v>634.52</v>
      </c>
      <c r="J235" s="103">
        <f t="shared" si="7"/>
        <v>623.55999999999995</v>
      </c>
      <c r="K235" s="103">
        <v>634.52</v>
      </c>
      <c r="L235" s="103">
        <v>623.55999999999995</v>
      </c>
    </row>
    <row r="236" spans="1:12" x14ac:dyDescent="0.25">
      <c r="A236" s="100">
        <v>232</v>
      </c>
      <c r="B236" s="107" t="s">
        <v>1359</v>
      </c>
      <c r="C236" s="108">
        <v>3551275</v>
      </c>
      <c r="D236" s="107" t="s">
        <v>1360</v>
      </c>
      <c r="E236" s="106">
        <v>629.23</v>
      </c>
      <c r="F236" s="106">
        <v>10.89</v>
      </c>
      <c r="G236" s="106">
        <v>615.11</v>
      </c>
      <c r="H236" s="106">
        <v>661.92</v>
      </c>
      <c r="I236" s="103">
        <f t="shared" si="6"/>
        <v>634.67500000000007</v>
      </c>
      <c r="J236" s="103">
        <f t="shared" si="7"/>
        <v>623.78499999999997</v>
      </c>
      <c r="K236" s="103">
        <v>634.67500000000007</v>
      </c>
      <c r="L236" s="103">
        <v>623.78499999999997</v>
      </c>
    </row>
    <row r="237" spans="1:12" x14ac:dyDescent="0.25">
      <c r="A237" s="104">
        <v>233</v>
      </c>
      <c r="B237" s="107" t="s">
        <v>1337</v>
      </c>
      <c r="C237" s="108">
        <v>3411331</v>
      </c>
      <c r="D237" s="107" t="s">
        <v>1155</v>
      </c>
      <c r="E237" s="106">
        <v>636.29</v>
      </c>
      <c r="F237" s="106">
        <v>14.59</v>
      </c>
      <c r="G237" s="106">
        <v>615.1</v>
      </c>
      <c r="H237" s="106">
        <v>672.88</v>
      </c>
      <c r="I237" s="103">
        <f t="shared" si="6"/>
        <v>643.58499999999992</v>
      </c>
      <c r="J237" s="103">
        <f t="shared" si="7"/>
        <v>628.995</v>
      </c>
      <c r="K237" s="103">
        <v>643.58499999999992</v>
      </c>
      <c r="L237" s="103">
        <v>628.995</v>
      </c>
    </row>
    <row r="238" spans="1:12" x14ac:dyDescent="0.25">
      <c r="A238" s="100">
        <v>234</v>
      </c>
      <c r="B238" s="107" t="s">
        <v>1394</v>
      </c>
      <c r="C238" s="108">
        <v>3621037</v>
      </c>
      <c r="D238" s="107" t="s">
        <v>1422</v>
      </c>
      <c r="E238" s="106">
        <v>627.85</v>
      </c>
      <c r="F238" s="106">
        <v>13.07</v>
      </c>
      <c r="G238" s="106">
        <v>615.04</v>
      </c>
      <c r="H238" s="106">
        <v>668.78</v>
      </c>
      <c r="I238" s="103">
        <f t="shared" si="6"/>
        <v>634.38499999999999</v>
      </c>
      <c r="J238" s="103">
        <f t="shared" si="7"/>
        <v>621.31500000000005</v>
      </c>
      <c r="K238" s="103">
        <v>634.38499999999999</v>
      </c>
      <c r="L238" s="103">
        <v>621.31500000000005</v>
      </c>
    </row>
    <row r="239" spans="1:12" x14ac:dyDescent="0.25">
      <c r="A239" s="104">
        <v>235</v>
      </c>
      <c r="B239" s="107" t="s">
        <v>1416</v>
      </c>
      <c r="C239" s="108">
        <v>3341216</v>
      </c>
      <c r="D239" s="107" t="s">
        <v>1339</v>
      </c>
      <c r="E239" s="106">
        <v>628.41</v>
      </c>
      <c r="F239" s="106">
        <v>12.7</v>
      </c>
      <c r="G239" s="106">
        <v>614.99</v>
      </c>
      <c r="H239" s="106">
        <v>656.18</v>
      </c>
      <c r="I239" s="103">
        <f t="shared" si="6"/>
        <v>634.76</v>
      </c>
      <c r="J239" s="103">
        <f t="shared" si="7"/>
        <v>622.05999999999995</v>
      </c>
      <c r="K239" s="103">
        <v>634.76</v>
      </c>
      <c r="L239" s="103">
        <v>622.05999999999995</v>
      </c>
    </row>
    <row r="240" spans="1:12" x14ac:dyDescent="0.25">
      <c r="A240" s="100">
        <v>236</v>
      </c>
      <c r="B240" s="107" t="s">
        <v>1359</v>
      </c>
      <c r="C240" s="108">
        <v>3551283</v>
      </c>
      <c r="D240" s="107" t="s">
        <v>1325</v>
      </c>
      <c r="E240" s="106">
        <v>631.30999999999995</v>
      </c>
      <c r="F240" s="106">
        <v>14.91</v>
      </c>
      <c r="G240" s="106">
        <v>614.89</v>
      </c>
      <c r="H240" s="106">
        <v>696.25</v>
      </c>
      <c r="I240" s="103">
        <f t="shared" si="6"/>
        <v>638.76499999999999</v>
      </c>
      <c r="J240" s="103">
        <f t="shared" si="7"/>
        <v>623.8549999999999</v>
      </c>
      <c r="K240" s="103">
        <v>638.76499999999999</v>
      </c>
      <c r="L240" s="103">
        <v>623.8549999999999</v>
      </c>
    </row>
    <row r="241" spans="1:12" x14ac:dyDescent="0.25">
      <c r="A241" s="104">
        <v>237</v>
      </c>
      <c r="B241" s="107" t="s">
        <v>1337</v>
      </c>
      <c r="C241" s="108">
        <v>3411435</v>
      </c>
      <c r="D241" s="107" t="s">
        <v>1423</v>
      </c>
      <c r="E241" s="106">
        <v>635.37</v>
      </c>
      <c r="F241" s="106">
        <v>14.26</v>
      </c>
      <c r="G241" s="106">
        <v>614.73</v>
      </c>
      <c r="H241" s="106">
        <v>672.35</v>
      </c>
      <c r="I241" s="103">
        <f t="shared" si="6"/>
        <v>642.5</v>
      </c>
      <c r="J241" s="103">
        <f t="shared" si="7"/>
        <v>628.24</v>
      </c>
      <c r="K241" s="103">
        <v>642.5</v>
      </c>
      <c r="L241" s="103">
        <v>628.24</v>
      </c>
    </row>
    <row r="242" spans="1:12" x14ac:dyDescent="0.25">
      <c r="A242" s="100">
        <v>238</v>
      </c>
      <c r="B242" s="107" t="s">
        <v>1354</v>
      </c>
      <c r="C242" s="108">
        <v>3511227</v>
      </c>
      <c r="D242" s="107" t="s">
        <v>1381</v>
      </c>
      <c r="E242" s="106">
        <v>631.64</v>
      </c>
      <c r="F242" s="106">
        <v>16.2</v>
      </c>
      <c r="G242" s="106">
        <v>614.44000000000005</v>
      </c>
      <c r="H242" s="106">
        <v>690.94</v>
      </c>
      <c r="I242" s="103">
        <f t="shared" si="6"/>
        <v>639.74</v>
      </c>
      <c r="J242" s="103">
        <f t="shared" si="7"/>
        <v>623.54</v>
      </c>
      <c r="K242" s="103">
        <v>639.74</v>
      </c>
      <c r="L242" s="103">
        <v>623.54</v>
      </c>
    </row>
    <row r="243" spans="1:12" x14ac:dyDescent="0.25">
      <c r="A243" s="104">
        <v>239</v>
      </c>
      <c r="B243" s="107" t="s">
        <v>1306</v>
      </c>
      <c r="C243" s="108">
        <v>1211077</v>
      </c>
      <c r="D243" s="107" t="s">
        <v>1319</v>
      </c>
      <c r="E243" s="106">
        <v>633.94000000000005</v>
      </c>
      <c r="F243" s="106">
        <v>14.35</v>
      </c>
      <c r="G243" s="106">
        <v>614.38</v>
      </c>
      <c r="H243" s="106">
        <v>675.32</v>
      </c>
      <c r="I243" s="103">
        <f t="shared" si="6"/>
        <v>641.11500000000001</v>
      </c>
      <c r="J243" s="103">
        <f t="shared" si="7"/>
        <v>626.7650000000001</v>
      </c>
      <c r="K243" s="103">
        <v>641.11500000000001</v>
      </c>
      <c r="L243" s="103">
        <v>626.7650000000001</v>
      </c>
    </row>
    <row r="244" spans="1:12" x14ac:dyDescent="0.25">
      <c r="A244" s="100">
        <v>240</v>
      </c>
      <c r="B244" s="107" t="s">
        <v>1346</v>
      </c>
      <c r="C244" s="108">
        <v>1111181</v>
      </c>
      <c r="D244" s="107" t="s">
        <v>1319</v>
      </c>
      <c r="E244" s="106">
        <v>625.39</v>
      </c>
      <c r="F244" s="106">
        <v>9.5500000000000007</v>
      </c>
      <c r="G244" s="106">
        <v>614.36</v>
      </c>
      <c r="H244" s="106">
        <v>641.04</v>
      </c>
      <c r="I244" s="103">
        <f t="shared" si="6"/>
        <v>630.16499999999996</v>
      </c>
      <c r="J244" s="103">
        <f t="shared" si="7"/>
        <v>620.61500000000001</v>
      </c>
      <c r="K244" s="103">
        <v>630.16499999999996</v>
      </c>
      <c r="L244" s="103">
        <v>620.61500000000001</v>
      </c>
    </row>
    <row r="245" spans="1:12" x14ac:dyDescent="0.25">
      <c r="A245" s="104">
        <v>241</v>
      </c>
      <c r="B245" s="107" t="s">
        <v>1318</v>
      </c>
      <c r="C245" s="108">
        <v>3811165</v>
      </c>
      <c r="D245" s="107" t="s">
        <v>1317</v>
      </c>
      <c r="E245" s="106">
        <v>633.03</v>
      </c>
      <c r="F245" s="106">
        <v>18.09</v>
      </c>
      <c r="G245" s="106">
        <v>614.11</v>
      </c>
      <c r="H245" s="106">
        <v>703.44</v>
      </c>
      <c r="I245" s="103">
        <f t="shared" si="6"/>
        <v>642.07499999999993</v>
      </c>
      <c r="J245" s="103">
        <f t="shared" si="7"/>
        <v>623.98500000000001</v>
      </c>
      <c r="K245" s="103">
        <v>642.07499999999993</v>
      </c>
      <c r="L245" s="103">
        <v>623.98500000000001</v>
      </c>
    </row>
    <row r="246" spans="1:12" x14ac:dyDescent="0.25">
      <c r="A246" s="100">
        <v>242</v>
      </c>
      <c r="B246" s="107" t="s">
        <v>1354</v>
      </c>
      <c r="C246" s="108">
        <v>3511204</v>
      </c>
      <c r="D246" s="107" t="s">
        <v>1347</v>
      </c>
      <c r="E246" s="106">
        <v>632.26</v>
      </c>
      <c r="F246" s="106">
        <v>15.43</v>
      </c>
      <c r="G246" s="106">
        <v>613.9</v>
      </c>
      <c r="H246" s="106">
        <v>674.31</v>
      </c>
      <c r="I246" s="103">
        <f t="shared" si="6"/>
        <v>639.97500000000002</v>
      </c>
      <c r="J246" s="103">
        <f t="shared" si="7"/>
        <v>624.54499999999996</v>
      </c>
      <c r="K246" s="103">
        <v>639.97500000000002</v>
      </c>
      <c r="L246" s="103">
        <v>624.54499999999996</v>
      </c>
    </row>
    <row r="247" spans="1:12" x14ac:dyDescent="0.25">
      <c r="A247" s="104">
        <v>243</v>
      </c>
      <c r="B247" s="107" t="s">
        <v>1318</v>
      </c>
      <c r="C247" s="108">
        <v>3811053</v>
      </c>
      <c r="D247" s="107" t="s">
        <v>1321</v>
      </c>
      <c r="E247" s="106">
        <v>634.98</v>
      </c>
      <c r="F247" s="106">
        <v>19.989999999999998</v>
      </c>
      <c r="G247" s="106">
        <v>613.85</v>
      </c>
      <c r="H247" s="106">
        <v>692.07</v>
      </c>
      <c r="I247" s="103">
        <f t="shared" si="6"/>
        <v>644.97500000000002</v>
      </c>
      <c r="J247" s="103">
        <f t="shared" si="7"/>
        <v>624.98500000000001</v>
      </c>
      <c r="K247" s="103">
        <v>644.97500000000002</v>
      </c>
      <c r="L247" s="103">
        <v>624.98500000000001</v>
      </c>
    </row>
    <row r="248" spans="1:12" x14ac:dyDescent="0.25">
      <c r="A248" s="100">
        <v>244</v>
      </c>
      <c r="B248" s="107" t="s">
        <v>1337</v>
      </c>
      <c r="C248" s="108">
        <v>3411056</v>
      </c>
      <c r="D248" s="107" t="s">
        <v>1374</v>
      </c>
      <c r="E248" s="106">
        <v>626.39</v>
      </c>
      <c r="F248" s="106">
        <v>12.04</v>
      </c>
      <c r="G248" s="106">
        <v>613.82000000000005</v>
      </c>
      <c r="H248" s="106">
        <v>671.2</v>
      </c>
      <c r="I248" s="103">
        <f t="shared" si="6"/>
        <v>632.41</v>
      </c>
      <c r="J248" s="103">
        <f t="shared" si="7"/>
        <v>620.37</v>
      </c>
      <c r="K248" s="103">
        <v>632.41</v>
      </c>
      <c r="L248" s="103">
        <v>620.37</v>
      </c>
    </row>
    <row r="249" spans="1:12" x14ac:dyDescent="0.25">
      <c r="A249" s="104">
        <v>245</v>
      </c>
      <c r="B249" s="107" t="s">
        <v>1311</v>
      </c>
      <c r="C249" s="108">
        <v>3331044</v>
      </c>
      <c r="D249" s="107" t="s">
        <v>1138</v>
      </c>
      <c r="E249" s="106">
        <v>631.65</v>
      </c>
      <c r="F249" s="106">
        <v>15.3</v>
      </c>
      <c r="G249" s="106">
        <v>613.76</v>
      </c>
      <c r="H249" s="106">
        <v>692.29</v>
      </c>
      <c r="I249" s="103">
        <f t="shared" si="6"/>
        <v>639.29999999999995</v>
      </c>
      <c r="J249" s="103">
        <f t="shared" si="7"/>
        <v>624</v>
      </c>
      <c r="K249" s="103">
        <v>639.29999999999995</v>
      </c>
      <c r="L249" s="103">
        <v>624</v>
      </c>
    </row>
    <row r="250" spans="1:12" x14ac:dyDescent="0.25">
      <c r="A250" s="100">
        <v>246</v>
      </c>
      <c r="B250" s="107" t="s">
        <v>1421</v>
      </c>
      <c r="C250" s="108">
        <v>3631024</v>
      </c>
      <c r="D250" s="107" t="s">
        <v>1424</v>
      </c>
      <c r="E250" s="106">
        <v>636.41</v>
      </c>
      <c r="F250" s="106">
        <v>19.420000000000002</v>
      </c>
      <c r="G250" s="106">
        <v>613.45000000000005</v>
      </c>
      <c r="H250" s="106">
        <v>706.22</v>
      </c>
      <c r="I250" s="103">
        <f t="shared" si="6"/>
        <v>646.12</v>
      </c>
      <c r="J250" s="103">
        <f t="shared" si="7"/>
        <v>626.69999999999993</v>
      </c>
      <c r="K250" s="103">
        <v>646.12</v>
      </c>
      <c r="L250" s="103">
        <v>626.69999999999993</v>
      </c>
    </row>
    <row r="251" spans="1:12" x14ac:dyDescent="0.25">
      <c r="A251" s="104">
        <v>247</v>
      </c>
      <c r="B251" s="107" t="s">
        <v>1311</v>
      </c>
      <c r="C251" s="108">
        <v>3331052</v>
      </c>
      <c r="D251" s="107" t="s">
        <v>1374</v>
      </c>
      <c r="E251" s="106">
        <v>632.57000000000005</v>
      </c>
      <c r="F251" s="106">
        <v>15.76</v>
      </c>
      <c r="G251" s="106">
        <v>613.30999999999995</v>
      </c>
      <c r="H251" s="106">
        <v>674.99</v>
      </c>
      <c r="I251" s="103">
        <f t="shared" si="6"/>
        <v>640.45000000000005</v>
      </c>
      <c r="J251" s="103">
        <f t="shared" si="7"/>
        <v>624.69000000000005</v>
      </c>
      <c r="K251" s="103">
        <v>640.45000000000005</v>
      </c>
      <c r="L251" s="103">
        <v>624.69000000000005</v>
      </c>
    </row>
    <row r="252" spans="1:12" x14ac:dyDescent="0.25">
      <c r="A252" s="100">
        <v>248</v>
      </c>
      <c r="B252" s="107" t="s">
        <v>1361</v>
      </c>
      <c r="C252" s="108">
        <v>3531216</v>
      </c>
      <c r="D252" s="107" t="s">
        <v>1395</v>
      </c>
      <c r="E252" s="106">
        <v>633.16</v>
      </c>
      <c r="F252" s="106">
        <v>17.07</v>
      </c>
      <c r="G252" s="106">
        <v>613.28</v>
      </c>
      <c r="H252" s="106">
        <v>697.1</v>
      </c>
      <c r="I252" s="103">
        <f t="shared" si="6"/>
        <v>641.69499999999994</v>
      </c>
      <c r="J252" s="103">
        <f t="shared" si="7"/>
        <v>624.625</v>
      </c>
      <c r="K252" s="103">
        <v>641.69499999999994</v>
      </c>
      <c r="L252" s="103">
        <v>624.625</v>
      </c>
    </row>
    <row r="253" spans="1:12" x14ac:dyDescent="0.25">
      <c r="A253" s="104">
        <v>249</v>
      </c>
      <c r="B253" s="107" t="s">
        <v>1416</v>
      </c>
      <c r="C253" s="108">
        <v>3341104</v>
      </c>
      <c r="D253" s="107" t="s">
        <v>1340</v>
      </c>
      <c r="E253" s="106">
        <v>628.75</v>
      </c>
      <c r="F253" s="106">
        <v>11.52</v>
      </c>
      <c r="G253" s="106">
        <v>613.16999999999996</v>
      </c>
      <c r="H253" s="106">
        <v>656.28</v>
      </c>
      <c r="I253" s="103">
        <f t="shared" si="6"/>
        <v>634.51</v>
      </c>
      <c r="J253" s="103">
        <f t="shared" si="7"/>
        <v>622.99</v>
      </c>
      <c r="K253" s="103">
        <v>634.51</v>
      </c>
      <c r="L253" s="103">
        <v>622.99</v>
      </c>
    </row>
    <row r="254" spans="1:12" x14ac:dyDescent="0.25">
      <c r="A254" s="100">
        <v>250</v>
      </c>
      <c r="B254" s="107" t="s">
        <v>1359</v>
      </c>
      <c r="C254" s="108">
        <v>3551356</v>
      </c>
      <c r="D254" s="107" t="s">
        <v>1414</v>
      </c>
      <c r="E254" s="106">
        <v>629.85</v>
      </c>
      <c r="F254" s="106">
        <v>13.11</v>
      </c>
      <c r="G254" s="106">
        <v>612.91999999999996</v>
      </c>
      <c r="H254" s="106">
        <v>668.07</v>
      </c>
      <c r="I254" s="103">
        <f t="shared" si="6"/>
        <v>636.40499999999997</v>
      </c>
      <c r="J254" s="103">
        <f t="shared" si="7"/>
        <v>623.29500000000007</v>
      </c>
      <c r="K254" s="103">
        <v>636.40499999999997</v>
      </c>
      <c r="L254" s="103">
        <v>623.29500000000007</v>
      </c>
    </row>
    <row r="255" spans="1:12" x14ac:dyDescent="0.25">
      <c r="A255" s="104">
        <v>251</v>
      </c>
      <c r="B255" s="107" t="s">
        <v>1354</v>
      </c>
      <c r="C255" s="108">
        <v>3511096</v>
      </c>
      <c r="D255" s="107" t="s">
        <v>1323</v>
      </c>
      <c r="E255" s="106">
        <v>627.9</v>
      </c>
      <c r="F255" s="106">
        <v>12.42</v>
      </c>
      <c r="G255" s="106">
        <v>612.49</v>
      </c>
      <c r="H255" s="106">
        <v>664.31</v>
      </c>
      <c r="I255" s="103">
        <f t="shared" si="6"/>
        <v>634.11</v>
      </c>
      <c r="J255" s="103">
        <f t="shared" si="7"/>
        <v>621.68999999999994</v>
      </c>
      <c r="K255" s="103">
        <v>634.11</v>
      </c>
      <c r="L255" s="103">
        <v>621.68999999999994</v>
      </c>
    </row>
    <row r="256" spans="1:12" x14ac:dyDescent="0.25">
      <c r="A256" s="100">
        <v>252</v>
      </c>
      <c r="B256" s="107" t="s">
        <v>1333</v>
      </c>
      <c r="C256" s="108">
        <v>3221095</v>
      </c>
      <c r="D256" s="107" t="s">
        <v>1330</v>
      </c>
      <c r="E256" s="106">
        <v>626.36</v>
      </c>
      <c r="F256" s="106">
        <v>10.48</v>
      </c>
      <c r="G256" s="106">
        <v>612.44000000000005</v>
      </c>
      <c r="H256" s="106">
        <v>651.96</v>
      </c>
      <c r="I256" s="103">
        <f t="shared" si="6"/>
        <v>631.6</v>
      </c>
      <c r="J256" s="103">
        <f t="shared" si="7"/>
        <v>621.12</v>
      </c>
      <c r="K256" s="103">
        <v>631.6</v>
      </c>
      <c r="L256" s="103">
        <v>621.12</v>
      </c>
    </row>
    <row r="257" spans="1:12" x14ac:dyDescent="0.25">
      <c r="A257" s="104">
        <v>253</v>
      </c>
      <c r="B257" s="107" t="s">
        <v>1361</v>
      </c>
      <c r="C257" s="108">
        <v>3531286</v>
      </c>
      <c r="D257" s="107" t="s">
        <v>1332</v>
      </c>
      <c r="E257" s="106">
        <v>627.95000000000005</v>
      </c>
      <c r="F257" s="106">
        <v>14.7</v>
      </c>
      <c r="G257" s="106">
        <v>612.32000000000005</v>
      </c>
      <c r="H257" s="106">
        <v>674.88</v>
      </c>
      <c r="I257" s="103">
        <f t="shared" si="6"/>
        <v>635.30000000000007</v>
      </c>
      <c r="J257" s="103">
        <f t="shared" si="7"/>
        <v>620.6</v>
      </c>
      <c r="K257" s="103">
        <v>635.30000000000007</v>
      </c>
      <c r="L257" s="103">
        <v>620.6</v>
      </c>
    </row>
    <row r="258" spans="1:12" x14ac:dyDescent="0.25">
      <c r="A258" s="100">
        <v>254</v>
      </c>
      <c r="B258" s="107" t="s">
        <v>1328</v>
      </c>
      <c r="C258" s="108">
        <v>3821322</v>
      </c>
      <c r="D258" s="107" t="s">
        <v>1227</v>
      </c>
      <c r="E258" s="106">
        <v>631.14</v>
      </c>
      <c r="F258" s="106">
        <v>14.4</v>
      </c>
      <c r="G258" s="106">
        <v>611.86</v>
      </c>
      <c r="H258" s="106">
        <v>661.87</v>
      </c>
      <c r="I258" s="103">
        <f t="shared" si="6"/>
        <v>638.34</v>
      </c>
      <c r="J258" s="103">
        <f t="shared" si="7"/>
        <v>623.93999999999994</v>
      </c>
      <c r="K258" s="103">
        <v>638.34</v>
      </c>
      <c r="L258" s="103">
        <v>623.93999999999994</v>
      </c>
    </row>
    <row r="259" spans="1:12" x14ac:dyDescent="0.25">
      <c r="A259" s="104">
        <v>255</v>
      </c>
      <c r="B259" s="107" t="s">
        <v>1313</v>
      </c>
      <c r="C259" s="108">
        <v>3611244</v>
      </c>
      <c r="D259" s="107" t="s">
        <v>1425</v>
      </c>
      <c r="E259" s="106">
        <v>634.33000000000004</v>
      </c>
      <c r="F259" s="106">
        <v>19.760000000000002</v>
      </c>
      <c r="G259" s="106">
        <v>611.86</v>
      </c>
      <c r="H259" s="106">
        <v>701.92</v>
      </c>
      <c r="I259" s="103">
        <f t="shared" si="6"/>
        <v>644.21</v>
      </c>
      <c r="J259" s="103">
        <f t="shared" si="7"/>
        <v>624.45000000000005</v>
      </c>
      <c r="K259" s="103">
        <v>644.21</v>
      </c>
      <c r="L259" s="103">
        <v>624.45000000000005</v>
      </c>
    </row>
    <row r="260" spans="1:12" x14ac:dyDescent="0.25">
      <c r="A260" s="100">
        <v>256</v>
      </c>
      <c r="B260" s="107" t="s">
        <v>1328</v>
      </c>
      <c r="C260" s="108">
        <v>3821233</v>
      </c>
      <c r="D260" s="107" t="s">
        <v>1426</v>
      </c>
      <c r="E260" s="106">
        <v>624.98</v>
      </c>
      <c r="F260" s="106">
        <v>15.6</v>
      </c>
      <c r="G260" s="106">
        <v>611.73</v>
      </c>
      <c r="H260" s="106">
        <v>667.4</v>
      </c>
      <c r="I260" s="103">
        <f t="shared" si="6"/>
        <v>632.78</v>
      </c>
      <c r="J260" s="103">
        <f t="shared" si="7"/>
        <v>617.18000000000006</v>
      </c>
      <c r="K260" s="103">
        <v>632.78</v>
      </c>
      <c r="L260" s="103">
        <v>617.18000000000006</v>
      </c>
    </row>
    <row r="261" spans="1:12" x14ac:dyDescent="0.25">
      <c r="A261" s="104">
        <v>257</v>
      </c>
      <c r="B261" s="107" t="s">
        <v>1421</v>
      </c>
      <c r="C261" s="108">
        <v>3631086</v>
      </c>
      <c r="D261" s="107" t="s">
        <v>1347</v>
      </c>
      <c r="E261" s="106">
        <v>629.08000000000004</v>
      </c>
      <c r="F261" s="106">
        <v>15.04</v>
      </c>
      <c r="G261" s="106">
        <v>611.6</v>
      </c>
      <c r="H261" s="106">
        <v>702.85</v>
      </c>
      <c r="I261" s="103">
        <f t="shared" si="6"/>
        <v>636.6</v>
      </c>
      <c r="J261" s="103">
        <f t="shared" si="7"/>
        <v>621.56000000000006</v>
      </c>
      <c r="K261" s="103">
        <v>636.6</v>
      </c>
      <c r="L261" s="103">
        <v>621.56000000000006</v>
      </c>
    </row>
    <row r="262" spans="1:12" x14ac:dyDescent="0.25">
      <c r="A262" s="100">
        <v>258</v>
      </c>
      <c r="B262" s="107" t="s">
        <v>1427</v>
      </c>
      <c r="C262" s="108">
        <v>3651052</v>
      </c>
      <c r="D262" s="107" t="s">
        <v>1347</v>
      </c>
      <c r="E262" s="106">
        <v>628.57000000000005</v>
      </c>
      <c r="F262" s="106">
        <v>17.11</v>
      </c>
      <c r="G262" s="106">
        <v>611.51</v>
      </c>
      <c r="H262" s="106">
        <v>681.69</v>
      </c>
      <c r="I262" s="103">
        <f t="shared" ref="I262:I325" si="8">E262+0.5*F262</f>
        <v>637.125</v>
      </c>
      <c r="J262" s="103">
        <f t="shared" ref="J262:J325" si="9">E262-0.5*F262</f>
        <v>620.0150000000001</v>
      </c>
      <c r="K262" s="103">
        <v>637.125</v>
      </c>
      <c r="L262" s="103">
        <v>620.0150000000001</v>
      </c>
    </row>
    <row r="263" spans="1:12" x14ac:dyDescent="0.25">
      <c r="A263" s="104">
        <v>259</v>
      </c>
      <c r="B263" s="107" t="s">
        <v>1361</v>
      </c>
      <c r="C263" s="108">
        <v>3531127</v>
      </c>
      <c r="D263" s="107" t="s">
        <v>1321</v>
      </c>
      <c r="E263" s="106">
        <v>631.23</v>
      </c>
      <c r="F263" s="106">
        <v>20.350000000000001</v>
      </c>
      <c r="G263" s="106">
        <v>611.29</v>
      </c>
      <c r="H263" s="106">
        <v>704.86</v>
      </c>
      <c r="I263" s="103">
        <f t="shared" si="8"/>
        <v>641.40499999999997</v>
      </c>
      <c r="J263" s="103">
        <f t="shared" si="9"/>
        <v>621.05500000000006</v>
      </c>
      <c r="K263" s="103">
        <v>641.40499999999997</v>
      </c>
      <c r="L263" s="103">
        <v>621.05500000000006</v>
      </c>
    </row>
    <row r="264" spans="1:12" x14ac:dyDescent="0.25">
      <c r="A264" s="100">
        <v>260</v>
      </c>
      <c r="B264" s="107" t="s">
        <v>1428</v>
      </c>
      <c r="C264" s="108">
        <v>5211224</v>
      </c>
      <c r="D264" s="107" t="s">
        <v>1133</v>
      </c>
      <c r="E264" s="106">
        <v>623.13</v>
      </c>
      <c r="F264" s="106">
        <v>11.86</v>
      </c>
      <c r="G264" s="106">
        <v>611.27</v>
      </c>
      <c r="H264" s="106">
        <v>660.56</v>
      </c>
      <c r="I264" s="103">
        <f t="shared" si="8"/>
        <v>629.05999999999995</v>
      </c>
      <c r="J264" s="103">
        <f t="shared" si="9"/>
        <v>617.20000000000005</v>
      </c>
      <c r="K264" s="103">
        <v>629.05999999999995</v>
      </c>
      <c r="L264" s="103">
        <v>617.20000000000005</v>
      </c>
    </row>
    <row r="265" spans="1:12" x14ac:dyDescent="0.25">
      <c r="A265" s="104">
        <v>261</v>
      </c>
      <c r="B265" s="107" t="s">
        <v>1429</v>
      </c>
      <c r="C265" s="108">
        <v>3561215</v>
      </c>
      <c r="D265" s="107" t="s">
        <v>1347</v>
      </c>
      <c r="E265" s="106">
        <v>627.1</v>
      </c>
      <c r="F265" s="106">
        <v>14.49</v>
      </c>
      <c r="G265" s="106">
        <v>611.21</v>
      </c>
      <c r="H265" s="106">
        <v>668.49</v>
      </c>
      <c r="I265" s="103">
        <f t="shared" si="8"/>
        <v>634.34500000000003</v>
      </c>
      <c r="J265" s="103">
        <f t="shared" si="9"/>
        <v>619.85500000000002</v>
      </c>
      <c r="K265" s="103">
        <v>634.34500000000003</v>
      </c>
      <c r="L265" s="103">
        <v>619.85500000000002</v>
      </c>
    </row>
    <row r="266" spans="1:12" x14ac:dyDescent="0.25">
      <c r="A266" s="100">
        <v>262</v>
      </c>
      <c r="B266" s="107" t="s">
        <v>1353</v>
      </c>
      <c r="C266" s="108">
        <v>3721197</v>
      </c>
      <c r="D266" s="107" t="s">
        <v>1430</v>
      </c>
      <c r="E266" s="106">
        <v>625.25</v>
      </c>
      <c r="F266" s="106">
        <v>11.7</v>
      </c>
      <c r="G266" s="106">
        <v>610.89</v>
      </c>
      <c r="H266" s="106">
        <v>677.43</v>
      </c>
      <c r="I266" s="103">
        <f t="shared" si="8"/>
        <v>631.1</v>
      </c>
      <c r="J266" s="103">
        <f t="shared" si="9"/>
        <v>619.4</v>
      </c>
      <c r="K266" s="103">
        <v>631.1</v>
      </c>
      <c r="L266" s="103">
        <v>619.4</v>
      </c>
    </row>
    <row r="267" spans="1:12" x14ac:dyDescent="0.25">
      <c r="A267" s="104">
        <v>263</v>
      </c>
      <c r="B267" s="107" t="s">
        <v>1351</v>
      </c>
      <c r="C267" s="108">
        <v>3711187</v>
      </c>
      <c r="D267" s="107" t="s">
        <v>1330</v>
      </c>
      <c r="E267" s="106">
        <v>634.76</v>
      </c>
      <c r="F267" s="106">
        <v>21.5</v>
      </c>
      <c r="G267" s="106">
        <v>610.73</v>
      </c>
      <c r="H267" s="106">
        <v>740.42</v>
      </c>
      <c r="I267" s="103">
        <f t="shared" si="8"/>
        <v>645.51</v>
      </c>
      <c r="J267" s="103">
        <f t="shared" si="9"/>
        <v>624.01</v>
      </c>
      <c r="K267" s="103">
        <v>645.51</v>
      </c>
      <c r="L267" s="103">
        <v>624.01</v>
      </c>
    </row>
    <row r="268" spans="1:12" x14ac:dyDescent="0.25">
      <c r="A268" s="100">
        <v>264</v>
      </c>
      <c r="B268" s="107" t="s">
        <v>1308</v>
      </c>
      <c r="C268" s="108">
        <v>1411153</v>
      </c>
      <c r="D268" s="107" t="s">
        <v>1322</v>
      </c>
      <c r="E268" s="106">
        <v>632.62</v>
      </c>
      <c r="F268" s="106">
        <v>16.760000000000002</v>
      </c>
      <c r="G268" s="106">
        <v>610.73</v>
      </c>
      <c r="H268" s="106">
        <v>680.73</v>
      </c>
      <c r="I268" s="103">
        <f t="shared" si="8"/>
        <v>641</v>
      </c>
      <c r="J268" s="103">
        <f t="shared" si="9"/>
        <v>624.24</v>
      </c>
      <c r="K268" s="103">
        <v>641</v>
      </c>
      <c r="L268" s="103">
        <v>624.24</v>
      </c>
    </row>
    <row r="269" spans="1:12" x14ac:dyDescent="0.25">
      <c r="A269" s="104">
        <v>265</v>
      </c>
      <c r="B269" s="107" t="s">
        <v>1337</v>
      </c>
      <c r="C269" s="108">
        <v>3411114</v>
      </c>
      <c r="D269" s="107" t="s">
        <v>1404</v>
      </c>
      <c r="E269" s="106">
        <v>636.91</v>
      </c>
      <c r="F269" s="106">
        <v>24.96</v>
      </c>
      <c r="G269" s="106">
        <v>610.72</v>
      </c>
      <c r="H269" s="106">
        <v>752.22</v>
      </c>
      <c r="I269" s="103">
        <f t="shared" si="8"/>
        <v>649.39</v>
      </c>
      <c r="J269" s="103">
        <f t="shared" si="9"/>
        <v>624.42999999999995</v>
      </c>
      <c r="K269" s="103">
        <v>649.39</v>
      </c>
      <c r="L269" s="103">
        <v>624.42999999999995</v>
      </c>
    </row>
    <row r="270" spans="1:12" x14ac:dyDescent="0.25">
      <c r="A270" s="100">
        <v>266</v>
      </c>
      <c r="B270" s="107" t="s">
        <v>1318</v>
      </c>
      <c r="C270" s="108">
        <v>3811092</v>
      </c>
      <c r="D270" s="107" t="s">
        <v>1418</v>
      </c>
      <c r="E270" s="106">
        <v>630.77</v>
      </c>
      <c r="F270" s="106">
        <v>15.63</v>
      </c>
      <c r="G270" s="106">
        <v>610.66999999999996</v>
      </c>
      <c r="H270" s="106">
        <v>680.57</v>
      </c>
      <c r="I270" s="103">
        <f t="shared" si="8"/>
        <v>638.58500000000004</v>
      </c>
      <c r="J270" s="103">
        <f t="shared" si="9"/>
        <v>622.95499999999993</v>
      </c>
      <c r="K270" s="103">
        <v>638.58500000000004</v>
      </c>
      <c r="L270" s="103">
        <v>622.95499999999993</v>
      </c>
    </row>
    <row r="271" spans="1:12" x14ac:dyDescent="0.25">
      <c r="A271" s="104">
        <v>267</v>
      </c>
      <c r="B271" s="107" t="s">
        <v>1313</v>
      </c>
      <c r="C271" s="108">
        <v>3611221</v>
      </c>
      <c r="D271" s="107" t="s">
        <v>1431</v>
      </c>
      <c r="E271" s="106">
        <v>626.65</v>
      </c>
      <c r="F271" s="106">
        <v>16.850000000000001</v>
      </c>
      <c r="G271" s="106">
        <v>610.6</v>
      </c>
      <c r="H271" s="106">
        <v>676.66</v>
      </c>
      <c r="I271" s="103">
        <f t="shared" si="8"/>
        <v>635.07499999999993</v>
      </c>
      <c r="J271" s="103">
        <f t="shared" si="9"/>
        <v>618.22500000000002</v>
      </c>
      <c r="K271" s="103">
        <v>635.07499999999993</v>
      </c>
      <c r="L271" s="103">
        <v>618.22500000000002</v>
      </c>
    </row>
    <row r="272" spans="1:12" x14ac:dyDescent="0.25">
      <c r="A272" s="100">
        <v>268</v>
      </c>
      <c r="B272" s="107" t="s">
        <v>1396</v>
      </c>
      <c r="C272" s="108">
        <v>3231051</v>
      </c>
      <c r="D272" s="107" t="s">
        <v>1321</v>
      </c>
      <c r="E272" s="106">
        <v>629.41</v>
      </c>
      <c r="F272" s="106">
        <v>24.73</v>
      </c>
      <c r="G272" s="106">
        <v>610.45000000000005</v>
      </c>
      <c r="H272" s="106">
        <v>711.95</v>
      </c>
      <c r="I272" s="103">
        <f t="shared" si="8"/>
        <v>641.77499999999998</v>
      </c>
      <c r="J272" s="103">
        <f t="shared" si="9"/>
        <v>617.04499999999996</v>
      </c>
      <c r="K272" s="103">
        <v>641.77499999999998</v>
      </c>
      <c r="L272" s="103">
        <v>617.04499999999996</v>
      </c>
    </row>
    <row r="273" spans="1:12" x14ac:dyDescent="0.25">
      <c r="A273" s="104">
        <v>269</v>
      </c>
      <c r="B273" s="107" t="s">
        <v>1308</v>
      </c>
      <c r="C273" s="108">
        <v>1411211</v>
      </c>
      <c r="D273" s="107" t="s">
        <v>1329</v>
      </c>
      <c r="E273" s="106">
        <v>631.52</v>
      </c>
      <c r="F273" s="106">
        <v>16.86</v>
      </c>
      <c r="G273" s="106">
        <v>610.35</v>
      </c>
      <c r="H273" s="106">
        <v>671.35</v>
      </c>
      <c r="I273" s="103">
        <f t="shared" si="8"/>
        <v>639.94999999999993</v>
      </c>
      <c r="J273" s="103">
        <f t="shared" si="9"/>
        <v>623.09</v>
      </c>
      <c r="K273" s="103">
        <v>639.94999999999993</v>
      </c>
      <c r="L273" s="103">
        <v>623.09</v>
      </c>
    </row>
    <row r="274" spans="1:12" x14ac:dyDescent="0.25">
      <c r="A274" s="100">
        <v>270</v>
      </c>
      <c r="B274" s="107" t="s">
        <v>1359</v>
      </c>
      <c r="C274" s="108">
        <v>3551267</v>
      </c>
      <c r="D274" s="107" t="s">
        <v>1377</v>
      </c>
      <c r="E274" s="106">
        <v>624.11</v>
      </c>
      <c r="F274" s="106">
        <v>11.45</v>
      </c>
      <c r="G274" s="106">
        <v>610.07000000000005</v>
      </c>
      <c r="H274" s="106">
        <v>671.73</v>
      </c>
      <c r="I274" s="103">
        <f t="shared" si="8"/>
        <v>629.83500000000004</v>
      </c>
      <c r="J274" s="103">
        <f t="shared" si="9"/>
        <v>618.38499999999999</v>
      </c>
      <c r="K274" s="103">
        <v>629.83500000000004</v>
      </c>
      <c r="L274" s="103">
        <v>618.38499999999999</v>
      </c>
    </row>
    <row r="275" spans="1:12" x14ac:dyDescent="0.25">
      <c r="A275" s="104">
        <v>271</v>
      </c>
      <c r="B275" s="107" t="s">
        <v>1432</v>
      </c>
      <c r="C275" s="108">
        <v>3241045</v>
      </c>
      <c r="D275" s="107" t="s">
        <v>1362</v>
      </c>
      <c r="E275" s="106">
        <v>626.91</v>
      </c>
      <c r="F275" s="106">
        <v>15.08</v>
      </c>
      <c r="G275" s="106">
        <v>609.82000000000005</v>
      </c>
      <c r="H275" s="106">
        <v>689.7</v>
      </c>
      <c r="I275" s="103">
        <f t="shared" si="8"/>
        <v>634.44999999999993</v>
      </c>
      <c r="J275" s="103">
        <f t="shared" si="9"/>
        <v>619.37</v>
      </c>
      <c r="K275" s="103">
        <v>634.44999999999993</v>
      </c>
      <c r="L275" s="103">
        <v>619.37</v>
      </c>
    </row>
    <row r="276" spans="1:12" x14ac:dyDescent="0.25">
      <c r="A276" s="100">
        <v>272</v>
      </c>
      <c r="B276" s="107" t="s">
        <v>1353</v>
      </c>
      <c r="C276" s="108">
        <v>3721352</v>
      </c>
      <c r="D276" s="107" t="s">
        <v>1325</v>
      </c>
      <c r="E276" s="106">
        <v>624.45000000000005</v>
      </c>
      <c r="F276" s="106">
        <v>12.01</v>
      </c>
      <c r="G276" s="106">
        <v>609.16</v>
      </c>
      <c r="H276" s="106">
        <v>664.6</v>
      </c>
      <c r="I276" s="103">
        <f t="shared" si="8"/>
        <v>630.45500000000004</v>
      </c>
      <c r="J276" s="103">
        <f t="shared" si="9"/>
        <v>618.44500000000005</v>
      </c>
      <c r="K276" s="103">
        <v>630.45500000000004</v>
      </c>
      <c r="L276" s="103">
        <v>618.44500000000005</v>
      </c>
    </row>
    <row r="277" spans="1:12" x14ac:dyDescent="0.25">
      <c r="A277" s="104">
        <v>273</v>
      </c>
      <c r="B277" s="107" t="s">
        <v>1433</v>
      </c>
      <c r="C277" s="108">
        <v>7511212</v>
      </c>
      <c r="D277" s="107" t="s">
        <v>1133</v>
      </c>
      <c r="E277" s="106">
        <v>628.49</v>
      </c>
      <c r="F277" s="106">
        <v>15.23</v>
      </c>
      <c r="G277" s="106">
        <v>608.95000000000005</v>
      </c>
      <c r="H277" s="106">
        <v>662.27</v>
      </c>
      <c r="I277" s="103">
        <f t="shared" si="8"/>
        <v>636.10500000000002</v>
      </c>
      <c r="J277" s="103">
        <f t="shared" si="9"/>
        <v>620.875</v>
      </c>
      <c r="K277" s="103">
        <v>636.10500000000002</v>
      </c>
      <c r="L277" s="103">
        <v>620.875</v>
      </c>
    </row>
    <row r="278" spans="1:12" x14ac:dyDescent="0.25">
      <c r="A278" s="100">
        <v>274</v>
      </c>
      <c r="B278" s="107" t="s">
        <v>1313</v>
      </c>
      <c r="C278" s="108">
        <v>3611476</v>
      </c>
      <c r="D278" s="107" t="s">
        <v>1434</v>
      </c>
      <c r="E278" s="106">
        <v>623.33000000000004</v>
      </c>
      <c r="F278" s="106">
        <v>16.010000000000002</v>
      </c>
      <c r="G278" s="106">
        <v>608.76</v>
      </c>
      <c r="H278" s="106">
        <v>657.94</v>
      </c>
      <c r="I278" s="103">
        <f t="shared" si="8"/>
        <v>631.33500000000004</v>
      </c>
      <c r="J278" s="103">
        <f t="shared" si="9"/>
        <v>615.32500000000005</v>
      </c>
      <c r="K278" s="103">
        <v>631.33500000000004</v>
      </c>
      <c r="L278" s="103">
        <v>615.32500000000005</v>
      </c>
    </row>
    <row r="279" spans="1:12" x14ac:dyDescent="0.25">
      <c r="A279" s="104">
        <v>275</v>
      </c>
      <c r="B279" s="107" t="s">
        <v>1361</v>
      </c>
      <c r="C279" s="108">
        <v>3531151</v>
      </c>
      <c r="D279" s="107" t="s">
        <v>1374</v>
      </c>
      <c r="E279" s="106">
        <v>625.55999999999995</v>
      </c>
      <c r="F279" s="106">
        <v>14.23</v>
      </c>
      <c r="G279" s="106">
        <v>608.75</v>
      </c>
      <c r="H279" s="106">
        <v>656.82</v>
      </c>
      <c r="I279" s="103">
        <f t="shared" si="8"/>
        <v>632.67499999999995</v>
      </c>
      <c r="J279" s="103">
        <f t="shared" si="9"/>
        <v>618.44499999999994</v>
      </c>
      <c r="K279" s="103">
        <v>632.67499999999995</v>
      </c>
      <c r="L279" s="103">
        <v>618.44499999999994</v>
      </c>
    </row>
    <row r="280" spans="1:12" x14ac:dyDescent="0.25">
      <c r="A280" s="100">
        <v>276</v>
      </c>
      <c r="B280" s="107" t="s">
        <v>1429</v>
      </c>
      <c r="C280" s="108">
        <v>3561262</v>
      </c>
      <c r="D280" s="107" t="s">
        <v>1330</v>
      </c>
      <c r="E280" s="106">
        <v>626.17999999999995</v>
      </c>
      <c r="F280" s="106">
        <v>14.52</v>
      </c>
      <c r="G280" s="106">
        <v>608.70000000000005</v>
      </c>
      <c r="H280" s="106">
        <v>651.77</v>
      </c>
      <c r="I280" s="103">
        <f t="shared" si="8"/>
        <v>633.43999999999994</v>
      </c>
      <c r="J280" s="103">
        <f t="shared" si="9"/>
        <v>618.91999999999996</v>
      </c>
      <c r="K280" s="103">
        <v>633.43999999999994</v>
      </c>
      <c r="L280" s="103">
        <v>618.91999999999996</v>
      </c>
    </row>
    <row r="281" spans="1:12" x14ac:dyDescent="0.25">
      <c r="A281" s="104">
        <v>277</v>
      </c>
      <c r="B281" s="107" t="s">
        <v>1313</v>
      </c>
      <c r="C281" s="108">
        <v>3611484</v>
      </c>
      <c r="D281" s="107" t="s">
        <v>1435</v>
      </c>
      <c r="E281" s="106">
        <v>628.54999999999995</v>
      </c>
      <c r="F281" s="106">
        <v>15.99</v>
      </c>
      <c r="G281" s="106">
        <v>608.64</v>
      </c>
      <c r="H281" s="106">
        <v>693.77</v>
      </c>
      <c r="I281" s="103">
        <f t="shared" si="8"/>
        <v>636.54499999999996</v>
      </c>
      <c r="J281" s="103">
        <f t="shared" si="9"/>
        <v>620.55499999999995</v>
      </c>
      <c r="K281" s="103">
        <v>636.54499999999996</v>
      </c>
      <c r="L281" s="103">
        <v>620.55499999999995</v>
      </c>
    </row>
    <row r="282" spans="1:12" x14ac:dyDescent="0.25">
      <c r="A282" s="100">
        <v>278</v>
      </c>
      <c r="B282" s="107" t="s">
        <v>1328</v>
      </c>
      <c r="C282" s="108">
        <v>3821175</v>
      </c>
      <c r="D282" s="107" t="s">
        <v>1389</v>
      </c>
      <c r="E282" s="106">
        <v>634.62</v>
      </c>
      <c r="F282" s="106">
        <v>19.88</v>
      </c>
      <c r="G282" s="106">
        <v>608.54999999999995</v>
      </c>
      <c r="H282" s="106">
        <v>699.05</v>
      </c>
      <c r="I282" s="103">
        <f t="shared" si="8"/>
        <v>644.56000000000006</v>
      </c>
      <c r="J282" s="103">
        <f t="shared" si="9"/>
        <v>624.67999999999995</v>
      </c>
      <c r="K282" s="103">
        <v>644.56000000000006</v>
      </c>
      <c r="L282" s="103">
        <v>624.67999999999995</v>
      </c>
    </row>
    <row r="283" spans="1:12" x14ac:dyDescent="0.25">
      <c r="A283" s="104">
        <v>279</v>
      </c>
      <c r="B283" s="107" t="s">
        <v>1313</v>
      </c>
      <c r="C283" s="108">
        <v>3611291</v>
      </c>
      <c r="D283" s="107" t="s">
        <v>1436</v>
      </c>
      <c r="E283" s="106">
        <v>623.49</v>
      </c>
      <c r="F283" s="106">
        <v>16.2</v>
      </c>
      <c r="G283" s="106">
        <v>608.51</v>
      </c>
      <c r="H283" s="106">
        <v>675.73</v>
      </c>
      <c r="I283" s="103">
        <f t="shared" si="8"/>
        <v>631.59</v>
      </c>
      <c r="J283" s="103">
        <f t="shared" si="9"/>
        <v>615.39</v>
      </c>
      <c r="K283" s="103">
        <v>631.59</v>
      </c>
      <c r="L283" s="103">
        <v>615.39</v>
      </c>
    </row>
    <row r="284" spans="1:12" x14ac:dyDescent="0.25">
      <c r="A284" s="100">
        <v>280</v>
      </c>
      <c r="B284" s="107" t="s">
        <v>1309</v>
      </c>
      <c r="C284" s="108">
        <v>3321177</v>
      </c>
      <c r="D284" s="107" t="s">
        <v>1437</v>
      </c>
      <c r="E284" s="106">
        <v>633.09</v>
      </c>
      <c r="F284" s="106">
        <v>16.8</v>
      </c>
      <c r="G284" s="106">
        <v>608.41999999999996</v>
      </c>
      <c r="H284" s="106">
        <v>668.84</v>
      </c>
      <c r="I284" s="103">
        <f t="shared" si="8"/>
        <v>641.49</v>
      </c>
      <c r="J284" s="103">
        <f t="shared" si="9"/>
        <v>624.69000000000005</v>
      </c>
      <c r="K284" s="103">
        <v>641.49</v>
      </c>
      <c r="L284" s="103">
        <v>624.69000000000005</v>
      </c>
    </row>
    <row r="285" spans="1:12" x14ac:dyDescent="0.25">
      <c r="A285" s="104">
        <v>281</v>
      </c>
      <c r="B285" s="107" t="s">
        <v>1337</v>
      </c>
      <c r="C285" s="108">
        <v>3411064</v>
      </c>
      <c r="D285" s="107" t="s">
        <v>1438</v>
      </c>
      <c r="E285" s="106">
        <v>621.29999999999995</v>
      </c>
      <c r="F285" s="106">
        <v>13.34</v>
      </c>
      <c r="G285" s="106">
        <v>608.38</v>
      </c>
      <c r="H285" s="106">
        <v>653.16</v>
      </c>
      <c r="I285" s="103">
        <f t="shared" si="8"/>
        <v>627.96999999999991</v>
      </c>
      <c r="J285" s="103">
        <f t="shared" si="9"/>
        <v>614.63</v>
      </c>
      <c r="K285" s="103">
        <v>627.96999999999991</v>
      </c>
      <c r="L285" s="103">
        <v>614.63</v>
      </c>
    </row>
    <row r="286" spans="1:12" x14ac:dyDescent="0.25">
      <c r="A286" s="100">
        <v>282</v>
      </c>
      <c r="B286" s="107" t="s">
        <v>1359</v>
      </c>
      <c r="C286" s="108">
        <v>3551066</v>
      </c>
      <c r="D286" s="107" t="s">
        <v>1374</v>
      </c>
      <c r="E286" s="106">
        <v>625.66999999999996</v>
      </c>
      <c r="F286" s="106">
        <v>16.22</v>
      </c>
      <c r="G286" s="106">
        <v>608.27</v>
      </c>
      <c r="H286" s="106">
        <v>684.12</v>
      </c>
      <c r="I286" s="103">
        <f t="shared" si="8"/>
        <v>633.78</v>
      </c>
      <c r="J286" s="103">
        <f t="shared" si="9"/>
        <v>617.55999999999995</v>
      </c>
      <c r="K286" s="103">
        <v>633.78</v>
      </c>
      <c r="L286" s="103">
        <v>617.55999999999995</v>
      </c>
    </row>
    <row r="287" spans="1:12" x14ac:dyDescent="0.25">
      <c r="A287" s="104">
        <v>283</v>
      </c>
      <c r="B287" s="107" t="s">
        <v>1313</v>
      </c>
      <c r="C287" s="108">
        <v>3611302</v>
      </c>
      <c r="D287" s="107" t="s">
        <v>1132</v>
      </c>
      <c r="E287" s="106">
        <v>624.61</v>
      </c>
      <c r="F287" s="106">
        <v>14.11</v>
      </c>
      <c r="G287" s="106">
        <v>607.94000000000005</v>
      </c>
      <c r="H287" s="106">
        <v>652.67999999999995</v>
      </c>
      <c r="I287" s="103">
        <f t="shared" si="8"/>
        <v>631.66499999999996</v>
      </c>
      <c r="J287" s="103">
        <f t="shared" si="9"/>
        <v>617.55500000000006</v>
      </c>
      <c r="K287" s="103">
        <v>631.66499999999996</v>
      </c>
      <c r="L287" s="103">
        <v>617.55500000000006</v>
      </c>
    </row>
    <row r="288" spans="1:12" x14ac:dyDescent="0.25">
      <c r="A288" s="100">
        <v>284</v>
      </c>
      <c r="B288" s="107" t="s">
        <v>1328</v>
      </c>
      <c r="C288" s="108">
        <v>3821016</v>
      </c>
      <c r="D288" s="107" t="s">
        <v>1138</v>
      </c>
      <c r="E288" s="106">
        <v>624.08000000000004</v>
      </c>
      <c r="F288" s="106">
        <v>15.64</v>
      </c>
      <c r="G288" s="106">
        <v>607.79999999999995</v>
      </c>
      <c r="H288" s="106">
        <v>692.55</v>
      </c>
      <c r="I288" s="103">
        <f t="shared" si="8"/>
        <v>631.90000000000009</v>
      </c>
      <c r="J288" s="103">
        <f t="shared" si="9"/>
        <v>616.26</v>
      </c>
      <c r="K288" s="103">
        <v>631.90000000000009</v>
      </c>
      <c r="L288" s="103">
        <v>616.26</v>
      </c>
    </row>
    <row r="289" spans="1:12" x14ac:dyDescent="0.25">
      <c r="A289" s="104">
        <v>285</v>
      </c>
      <c r="B289" s="107" t="s">
        <v>1311</v>
      </c>
      <c r="C289" s="108">
        <v>3331083</v>
      </c>
      <c r="D289" s="107" t="s">
        <v>1439</v>
      </c>
      <c r="E289" s="106">
        <v>626.73</v>
      </c>
      <c r="F289" s="106">
        <v>18.62</v>
      </c>
      <c r="G289" s="106">
        <v>607.41999999999996</v>
      </c>
      <c r="H289" s="106">
        <v>693.3</v>
      </c>
      <c r="I289" s="103">
        <f t="shared" si="8"/>
        <v>636.04</v>
      </c>
      <c r="J289" s="103">
        <f t="shared" si="9"/>
        <v>617.42000000000007</v>
      </c>
      <c r="K289" s="103">
        <v>636.04</v>
      </c>
      <c r="L289" s="103">
        <v>617.42000000000007</v>
      </c>
    </row>
    <row r="290" spans="1:12" x14ac:dyDescent="0.25">
      <c r="A290" s="100">
        <v>286</v>
      </c>
      <c r="B290" s="107" t="s">
        <v>1359</v>
      </c>
      <c r="C290" s="108">
        <v>3551252</v>
      </c>
      <c r="D290" s="107" t="s">
        <v>1389</v>
      </c>
      <c r="E290" s="106">
        <v>621.59</v>
      </c>
      <c r="F290" s="106">
        <v>11.87</v>
      </c>
      <c r="G290" s="106">
        <v>607.30999999999995</v>
      </c>
      <c r="H290" s="106">
        <v>658.24</v>
      </c>
      <c r="I290" s="103">
        <f t="shared" si="8"/>
        <v>627.52499999999998</v>
      </c>
      <c r="J290" s="103">
        <f t="shared" si="9"/>
        <v>615.65500000000009</v>
      </c>
      <c r="K290" s="103">
        <v>627.52499999999998</v>
      </c>
      <c r="L290" s="103">
        <v>615.65500000000009</v>
      </c>
    </row>
    <row r="291" spans="1:12" x14ac:dyDescent="0.25">
      <c r="A291" s="104">
        <v>287</v>
      </c>
      <c r="B291" s="107" t="s">
        <v>1440</v>
      </c>
      <c r="C291" s="108">
        <v>7131162</v>
      </c>
      <c r="D291" s="107" t="s">
        <v>1133</v>
      </c>
      <c r="E291" s="106">
        <v>625.08000000000004</v>
      </c>
      <c r="F291" s="106">
        <v>13.27</v>
      </c>
      <c r="G291" s="106">
        <v>607.23</v>
      </c>
      <c r="H291" s="106">
        <v>657.33</v>
      </c>
      <c r="I291" s="103">
        <f t="shared" si="8"/>
        <v>631.71500000000003</v>
      </c>
      <c r="J291" s="103">
        <f t="shared" si="9"/>
        <v>618.44500000000005</v>
      </c>
      <c r="K291" s="103">
        <v>631.71500000000003</v>
      </c>
      <c r="L291" s="103">
        <v>618.44500000000005</v>
      </c>
    </row>
    <row r="292" spans="1:12" x14ac:dyDescent="0.25">
      <c r="A292" s="100">
        <v>288</v>
      </c>
      <c r="B292" s="107" t="s">
        <v>1313</v>
      </c>
      <c r="C292" s="108">
        <v>3611283</v>
      </c>
      <c r="D292" s="107" t="s">
        <v>1131</v>
      </c>
      <c r="E292" s="106">
        <v>624.99</v>
      </c>
      <c r="F292" s="106">
        <v>15.27</v>
      </c>
      <c r="G292" s="106">
        <v>606.65</v>
      </c>
      <c r="H292" s="106">
        <v>669.19</v>
      </c>
      <c r="I292" s="103">
        <f t="shared" si="8"/>
        <v>632.625</v>
      </c>
      <c r="J292" s="103">
        <f t="shared" si="9"/>
        <v>617.35500000000002</v>
      </c>
      <c r="K292" s="103">
        <v>632.625</v>
      </c>
      <c r="L292" s="103">
        <v>617.35500000000002</v>
      </c>
    </row>
    <row r="293" spans="1:12" x14ac:dyDescent="0.25">
      <c r="A293" s="104">
        <v>289</v>
      </c>
      <c r="B293" s="107" t="s">
        <v>1429</v>
      </c>
      <c r="C293" s="108">
        <v>3561207</v>
      </c>
      <c r="D293" s="107" t="s">
        <v>1323</v>
      </c>
      <c r="E293" s="106">
        <v>618.91</v>
      </c>
      <c r="F293" s="106">
        <v>11.32</v>
      </c>
      <c r="G293" s="106">
        <v>606.59</v>
      </c>
      <c r="H293" s="106">
        <v>653.37</v>
      </c>
      <c r="I293" s="103">
        <f t="shared" si="8"/>
        <v>624.56999999999994</v>
      </c>
      <c r="J293" s="103">
        <f t="shared" si="9"/>
        <v>613.25</v>
      </c>
      <c r="K293" s="103">
        <v>624.56999999999994</v>
      </c>
      <c r="L293" s="103">
        <v>613.25</v>
      </c>
    </row>
    <row r="294" spans="1:12" x14ac:dyDescent="0.25">
      <c r="A294" s="100">
        <v>290</v>
      </c>
      <c r="B294" s="107" t="s">
        <v>1353</v>
      </c>
      <c r="C294" s="108">
        <v>3721391</v>
      </c>
      <c r="D294" s="107" t="s">
        <v>1405</v>
      </c>
      <c r="E294" s="106">
        <v>617.39</v>
      </c>
      <c r="F294" s="106">
        <v>10.09</v>
      </c>
      <c r="G294" s="106">
        <v>606.38</v>
      </c>
      <c r="H294" s="106">
        <v>641.20000000000005</v>
      </c>
      <c r="I294" s="103">
        <f t="shared" si="8"/>
        <v>622.43499999999995</v>
      </c>
      <c r="J294" s="103">
        <f t="shared" si="9"/>
        <v>612.34500000000003</v>
      </c>
      <c r="K294" s="103">
        <v>622.43499999999995</v>
      </c>
      <c r="L294" s="103">
        <v>612.34500000000003</v>
      </c>
    </row>
    <row r="295" spans="1:12" x14ac:dyDescent="0.25">
      <c r="A295" s="104">
        <v>291</v>
      </c>
      <c r="B295" s="107" t="s">
        <v>1311</v>
      </c>
      <c r="C295" s="108">
        <v>3331125</v>
      </c>
      <c r="D295" s="107" t="s">
        <v>1408</v>
      </c>
      <c r="E295" s="106">
        <v>628.70000000000005</v>
      </c>
      <c r="F295" s="106">
        <v>24.76</v>
      </c>
      <c r="G295" s="106">
        <v>606.36</v>
      </c>
      <c r="H295" s="106">
        <v>726.73</v>
      </c>
      <c r="I295" s="103">
        <f t="shared" si="8"/>
        <v>641.08000000000004</v>
      </c>
      <c r="J295" s="103">
        <f t="shared" si="9"/>
        <v>616.32000000000005</v>
      </c>
      <c r="K295" s="103">
        <v>641.08000000000004</v>
      </c>
      <c r="L295" s="103">
        <v>616.32000000000005</v>
      </c>
    </row>
    <row r="296" spans="1:12" x14ac:dyDescent="0.25">
      <c r="A296" s="100">
        <v>292</v>
      </c>
      <c r="B296" s="107" t="s">
        <v>1421</v>
      </c>
      <c r="C296" s="108">
        <v>3631063</v>
      </c>
      <c r="D296" s="107" t="s">
        <v>1316</v>
      </c>
      <c r="E296" s="106">
        <v>622.96</v>
      </c>
      <c r="F296" s="106">
        <v>13.2</v>
      </c>
      <c r="G296" s="106">
        <v>606.28</v>
      </c>
      <c r="H296" s="106">
        <v>662.86</v>
      </c>
      <c r="I296" s="103">
        <f t="shared" si="8"/>
        <v>629.56000000000006</v>
      </c>
      <c r="J296" s="103">
        <f t="shared" si="9"/>
        <v>616.36</v>
      </c>
      <c r="K296" s="103">
        <v>629.56000000000006</v>
      </c>
      <c r="L296" s="103">
        <v>616.36</v>
      </c>
    </row>
    <row r="297" spans="1:12" x14ac:dyDescent="0.25">
      <c r="A297" s="104">
        <v>293</v>
      </c>
      <c r="B297" s="107" t="s">
        <v>1359</v>
      </c>
      <c r="C297" s="108">
        <v>3551082</v>
      </c>
      <c r="D297" s="107" t="s">
        <v>1138</v>
      </c>
      <c r="E297" s="106">
        <v>620.26</v>
      </c>
      <c r="F297" s="106">
        <v>11.51</v>
      </c>
      <c r="G297" s="106">
        <v>606.13</v>
      </c>
      <c r="H297" s="106">
        <v>651.09</v>
      </c>
      <c r="I297" s="103">
        <f t="shared" si="8"/>
        <v>626.01499999999999</v>
      </c>
      <c r="J297" s="103">
        <f t="shared" si="9"/>
        <v>614.505</v>
      </c>
      <c r="K297" s="103">
        <v>626.01499999999999</v>
      </c>
      <c r="L297" s="103">
        <v>614.505</v>
      </c>
    </row>
    <row r="298" spans="1:12" x14ac:dyDescent="0.25">
      <c r="A298" s="100">
        <v>294</v>
      </c>
      <c r="B298" s="107" t="s">
        <v>1376</v>
      </c>
      <c r="C298" s="108">
        <v>5411323</v>
      </c>
      <c r="D298" s="107" t="s">
        <v>1369</v>
      </c>
      <c r="E298" s="106">
        <v>616.30999999999995</v>
      </c>
      <c r="F298" s="106">
        <v>7.48</v>
      </c>
      <c r="G298" s="106">
        <v>606.02</v>
      </c>
      <c r="H298" s="106">
        <v>630.53</v>
      </c>
      <c r="I298" s="103">
        <f t="shared" si="8"/>
        <v>620.04999999999995</v>
      </c>
      <c r="J298" s="103">
        <f t="shared" si="9"/>
        <v>612.56999999999994</v>
      </c>
      <c r="K298" s="103">
        <v>620.04999999999995</v>
      </c>
      <c r="L298" s="103">
        <v>612.56999999999994</v>
      </c>
    </row>
    <row r="299" spans="1:12" x14ac:dyDescent="0.25">
      <c r="A299" s="104">
        <v>295</v>
      </c>
      <c r="B299" s="107" t="s">
        <v>1337</v>
      </c>
      <c r="C299" s="108">
        <v>3411017</v>
      </c>
      <c r="D299" s="107" t="s">
        <v>1439</v>
      </c>
      <c r="E299" s="106">
        <v>630.64</v>
      </c>
      <c r="F299" s="106">
        <v>20.82</v>
      </c>
      <c r="G299" s="106">
        <v>606.02</v>
      </c>
      <c r="H299" s="106">
        <v>682.16</v>
      </c>
      <c r="I299" s="103">
        <f t="shared" si="8"/>
        <v>641.04999999999995</v>
      </c>
      <c r="J299" s="103">
        <f t="shared" si="9"/>
        <v>620.23</v>
      </c>
      <c r="K299" s="103">
        <v>641.04999999999995</v>
      </c>
      <c r="L299" s="103">
        <v>620.23</v>
      </c>
    </row>
    <row r="300" spans="1:12" x14ac:dyDescent="0.25">
      <c r="A300" s="100">
        <v>296</v>
      </c>
      <c r="B300" s="107" t="s">
        <v>1318</v>
      </c>
      <c r="C300" s="108">
        <v>3811084</v>
      </c>
      <c r="D300" s="107" t="s">
        <v>1326</v>
      </c>
      <c r="E300" s="106">
        <v>630.38</v>
      </c>
      <c r="F300" s="106">
        <v>16.850000000000001</v>
      </c>
      <c r="G300" s="106">
        <v>605.9</v>
      </c>
      <c r="H300" s="106">
        <v>676.45</v>
      </c>
      <c r="I300" s="103">
        <f t="shared" si="8"/>
        <v>638.80499999999995</v>
      </c>
      <c r="J300" s="103">
        <f t="shared" si="9"/>
        <v>621.95500000000004</v>
      </c>
      <c r="K300" s="103">
        <v>638.80499999999995</v>
      </c>
      <c r="L300" s="103">
        <v>621.95500000000004</v>
      </c>
    </row>
    <row r="301" spans="1:12" x14ac:dyDescent="0.25">
      <c r="A301" s="104">
        <v>297</v>
      </c>
      <c r="B301" s="107" t="s">
        <v>1421</v>
      </c>
      <c r="C301" s="108">
        <v>3631055</v>
      </c>
      <c r="D301" s="107" t="s">
        <v>1405</v>
      </c>
      <c r="E301" s="106">
        <v>614.66</v>
      </c>
      <c r="F301" s="106">
        <v>7.13</v>
      </c>
      <c r="G301" s="106">
        <v>605.58000000000004</v>
      </c>
      <c r="H301" s="106">
        <v>631.84</v>
      </c>
      <c r="I301" s="103">
        <f t="shared" si="8"/>
        <v>618.22500000000002</v>
      </c>
      <c r="J301" s="103">
        <f t="shared" si="9"/>
        <v>611.09499999999991</v>
      </c>
      <c r="K301" s="103">
        <v>618.22500000000002</v>
      </c>
      <c r="L301" s="103">
        <v>611.09499999999991</v>
      </c>
    </row>
    <row r="302" spans="1:12" x14ac:dyDescent="0.25">
      <c r="A302" s="100">
        <v>298</v>
      </c>
      <c r="B302" s="107" t="s">
        <v>1354</v>
      </c>
      <c r="C302" s="108">
        <v>3511185</v>
      </c>
      <c r="D302" s="107" t="s">
        <v>1399</v>
      </c>
      <c r="E302" s="106">
        <v>619.12</v>
      </c>
      <c r="F302" s="106">
        <v>13.07</v>
      </c>
      <c r="G302" s="106">
        <v>605.26</v>
      </c>
      <c r="H302" s="106">
        <v>666.12</v>
      </c>
      <c r="I302" s="103">
        <f t="shared" si="8"/>
        <v>625.65499999999997</v>
      </c>
      <c r="J302" s="103">
        <f t="shared" si="9"/>
        <v>612.58500000000004</v>
      </c>
      <c r="K302" s="103">
        <v>625.65499999999997</v>
      </c>
      <c r="L302" s="103">
        <v>612.58500000000004</v>
      </c>
    </row>
    <row r="303" spans="1:12" x14ac:dyDescent="0.25">
      <c r="A303" s="104">
        <v>299</v>
      </c>
      <c r="B303" s="107" t="s">
        <v>1313</v>
      </c>
      <c r="C303" s="108">
        <v>3611267</v>
      </c>
      <c r="D303" s="107" t="s">
        <v>1135</v>
      </c>
      <c r="E303" s="106">
        <v>622.36</v>
      </c>
      <c r="F303" s="106">
        <v>15.18</v>
      </c>
      <c r="G303" s="106">
        <v>605.26</v>
      </c>
      <c r="H303" s="106">
        <v>664.7</v>
      </c>
      <c r="I303" s="103">
        <f t="shared" si="8"/>
        <v>629.95000000000005</v>
      </c>
      <c r="J303" s="103">
        <f t="shared" si="9"/>
        <v>614.77</v>
      </c>
      <c r="K303" s="103">
        <v>629.95000000000005</v>
      </c>
      <c r="L303" s="103">
        <v>614.77</v>
      </c>
    </row>
    <row r="304" spans="1:12" x14ac:dyDescent="0.25">
      <c r="A304" s="100">
        <v>300</v>
      </c>
      <c r="B304" s="107" t="s">
        <v>1353</v>
      </c>
      <c r="C304" s="108">
        <v>3721487</v>
      </c>
      <c r="D304" s="107" t="s">
        <v>1363</v>
      </c>
      <c r="E304" s="106">
        <v>623.07000000000005</v>
      </c>
      <c r="F304" s="106">
        <v>16.3</v>
      </c>
      <c r="G304" s="106">
        <v>605.14</v>
      </c>
      <c r="H304" s="106">
        <v>676.66</v>
      </c>
      <c r="I304" s="103">
        <f t="shared" si="8"/>
        <v>631.22</v>
      </c>
      <c r="J304" s="103">
        <f t="shared" si="9"/>
        <v>614.92000000000007</v>
      </c>
      <c r="K304" s="103">
        <v>631.22</v>
      </c>
      <c r="L304" s="103">
        <v>614.92000000000007</v>
      </c>
    </row>
    <row r="305" spans="1:12" x14ac:dyDescent="0.25">
      <c r="A305" s="104">
        <v>301</v>
      </c>
      <c r="B305" s="107" t="s">
        <v>1416</v>
      </c>
      <c r="C305" s="108">
        <v>3341085</v>
      </c>
      <c r="D305" s="107" t="s">
        <v>1374</v>
      </c>
      <c r="E305" s="106">
        <v>621.82000000000005</v>
      </c>
      <c r="F305" s="106">
        <v>16.64</v>
      </c>
      <c r="G305" s="106">
        <v>605.07000000000005</v>
      </c>
      <c r="H305" s="106">
        <v>657.52</v>
      </c>
      <c r="I305" s="103">
        <f t="shared" si="8"/>
        <v>630.1400000000001</v>
      </c>
      <c r="J305" s="103">
        <f t="shared" si="9"/>
        <v>613.5</v>
      </c>
      <c r="K305" s="103">
        <v>630.1400000000001</v>
      </c>
      <c r="L305" s="103">
        <v>613.5</v>
      </c>
    </row>
    <row r="306" spans="1:12" x14ac:dyDescent="0.25">
      <c r="A306" s="100">
        <v>302</v>
      </c>
      <c r="B306" s="107" t="s">
        <v>1333</v>
      </c>
      <c r="C306" s="108">
        <v>3221033</v>
      </c>
      <c r="D306" s="107" t="s">
        <v>1329</v>
      </c>
      <c r="E306" s="106">
        <v>624.29999999999995</v>
      </c>
      <c r="F306" s="106">
        <v>17.440000000000001</v>
      </c>
      <c r="G306" s="106">
        <v>605.02</v>
      </c>
      <c r="H306" s="106">
        <v>676.58</v>
      </c>
      <c r="I306" s="103">
        <f t="shared" si="8"/>
        <v>633.02</v>
      </c>
      <c r="J306" s="103">
        <f t="shared" si="9"/>
        <v>615.57999999999993</v>
      </c>
      <c r="K306" s="103">
        <v>633.02</v>
      </c>
      <c r="L306" s="103">
        <v>615.57999999999993</v>
      </c>
    </row>
    <row r="307" spans="1:12" x14ac:dyDescent="0.25">
      <c r="A307" s="104">
        <v>303</v>
      </c>
      <c r="B307" s="107" t="s">
        <v>1354</v>
      </c>
      <c r="C307" s="108">
        <v>3511034</v>
      </c>
      <c r="D307" s="107" t="s">
        <v>1321</v>
      </c>
      <c r="E307" s="106">
        <v>622.09</v>
      </c>
      <c r="F307" s="106">
        <v>18.03</v>
      </c>
      <c r="G307" s="106">
        <v>604.85</v>
      </c>
      <c r="H307" s="106">
        <v>705.28</v>
      </c>
      <c r="I307" s="103">
        <f t="shared" si="8"/>
        <v>631.10500000000002</v>
      </c>
      <c r="J307" s="103">
        <f t="shared" si="9"/>
        <v>613.07500000000005</v>
      </c>
      <c r="K307" s="103">
        <v>631.10500000000002</v>
      </c>
      <c r="L307" s="103">
        <v>613.07500000000005</v>
      </c>
    </row>
    <row r="308" spans="1:12" x14ac:dyDescent="0.25">
      <c r="A308" s="100">
        <v>304</v>
      </c>
      <c r="B308" s="107" t="s">
        <v>1318</v>
      </c>
      <c r="C308" s="108">
        <v>3811142</v>
      </c>
      <c r="D308" s="107" t="s">
        <v>1441</v>
      </c>
      <c r="E308" s="106">
        <v>623.44000000000005</v>
      </c>
      <c r="F308" s="106">
        <v>14.66</v>
      </c>
      <c r="G308" s="106">
        <v>604.74</v>
      </c>
      <c r="H308" s="106">
        <v>664.14</v>
      </c>
      <c r="I308" s="103">
        <f t="shared" si="8"/>
        <v>630.7700000000001</v>
      </c>
      <c r="J308" s="103">
        <f t="shared" si="9"/>
        <v>616.11</v>
      </c>
      <c r="K308" s="103">
        <v>630.7700000000001</v>
      </c>
      <c r="L308" s="103">
        <v>616.11</v>
      </c>
    </row>
    <row r="309" spans="1:12" x14ac:dyDescent="0.25">
      <c r="A309" s="104">
        <v>305</v>
      </c>
      <c r="B309" s="107" t="s">
        <v>1318</v>
      </c>
      <c r="C309" s="108">
        <v>3811126</v>
      </c>
      <c r="D309" s="107" t="s">
        <v>1442</v>
      </c>
      <c r="E309" s="106">
        <v>620.23</v>
      </c>
      <c r="F309" s="106">
        <v>14.33</v>
      </c>
      <c r="G309" s="106">
        <v>604.55999999999995</v>
      </c>
      <c r="H309" s="106">
        <v>659.23</v>
      </c>
      <c r="I309" s="103">
        <f t="shared" si="8"/>
        <v>627.39499999999998</v>
      </c>
      <c r="J309" s="103">
        <f t="shared" si="9"/>
        <v>613.06500000000005</v>
      </c>
      <c r="K309" s="103">
        <v>627.39499999999998</v>
      </c>
      <c r="L309" s="103">
        <v>613.06500000000005</v>
      </c>
    </row>
    <row r="310" spans="1:12" x14ac:dyDescent="0.25">
      <c r="A310" s="100">
        <v>306</v>
      </c>
      <c r="B310" s="107" t="s">
        <v>1353</v>
      </c>
      <c r="C310" s="108">
        <v>3721077</v>
      </c>
      <c r="D310" s="107" t="s">
        <v>1443</v>
      </c>
      <c r="E310" s="106">
        <v>619.36</v>
      </c>
      <c r="F310" s="106">
        <v>9.42</v>
      </c>
      <c r="G310" s="106">
        <v>604.27</v>
      </c>
      <c r="H310" s="106">
        <v>644.70000000000005</v>
      </c>
      <c r="I310" s="103">
        <f t="shared" si="8"/>
        <v>624.07000000000005</v>
      </c>
      <c r="J310" s="103">
        <f t="shared" si="9"/>
        <v>614.65</v>
      </c>
      <c r="K310" s="103">
        <v>624.07000000000005</v>
      </c>
      <c r="L310" s="103">
        <v>614.65</v>
      </c>
    </row>
    <row r="311" spans="1:12" x14ac:dyDescent="0.25">
      <c r="A311" s="104">
        <v>307</v>
      </c>
      <c r="B311" s="107" t="s">
        <v>1337</v>
      </c>
      <c r="C311" s="108">
        <v>3411362</v>
      </c>
      <c r="D311" s="107" t="s">
        <v>1195</v>
      </c>
      <c r="E311" s="106">
        <v>622.47</v>
      </c>
      <c r="F311" s="106">
        <v>20.72</v>
      </c>
      <c r="G311" s="106">
        <v>604.20000000000005</v>
      </c>
      <c r="H311" s="106">
        <v>704.42</v>
      </c>
      <c r="I311" s="103">
        <f t="shared" si="8"/>
        <v>632.83000000000004</v>
      </c>
      <c r="J311" s="103">
        <f t="shared" si="9"/>
        <v>612.11</v>
      </c>
      <c r="K311" s="103">
        <v>632.83000000000004</v>
      </c>
      <c r="L311" s="103">
        <v>612.11</v>
      </c>
    </row>
    <row r="312" spans="1:12" x14ac:dyDescent="0.25">
      <c r="A312" s="100">
        <v>308</v>
      </c>
      <c r="B312" s="107" t="s">
        <v>1421</v>
      </c>
      <c r="C312" s="108">
        <v>3631071</v>
      </c>
      <c r="D312" s="107" t="s">
        <v>1322</v>
      </c>
      <c r="E312" s="106">
        <v>619.94000000000005</v>
      </c>
      <c r="F312" s="106">
        <v>12.79</v>
      </c>
      <c r="G312" s="106">
        <v>604.11</v>
      </c>
      <c r="H312" s="106">
        <v>661.89</v>
      </c>
      <c r="I312" s="103">
        <f t="shared" si="8"/>
        <v>626.33500000000004</v>
      </c>
      <c r="J312" s="103">
        <f t="shared" si="9"/>
        <v>613.54500000000007</v>
      </c>
      <c r="K312" s="103">
        <v>626.33500000000004</v>
      </c>
      <c r="L312" s="103">
        <v>613.54500000000007</v>
      </c>
    </row>
    <row r="313" spans="1:12" x14ac:dyDescent="0.25">
      <c r="A313" s="104">
        <v>309</v>
      </c>
      <c r="B313" s="107" t="s">
        <v>1429</v>
      </c>
      <c r="C313" s="108">
        <v>3561181</v>
      </c>
      <c r="D313" s="107" t="s">
        <v>1316</v>
      </c>
      <c r="E313" s="106">
        <v>618.15</v>
      </c>
      <c r="F313" s="106">
        <v>12.86</v>
      </c>
      <c r="G313" s="106">
        <v>603.99</v>
      </c>
      <c r="H313" s="106">
        <v>677.42</v>
      </c>
      <c r="I313" s="103">
        <f t="shared" si="8"/>
        <v>624.57999999999993</v>
      </c>
      <c r="J313" s="103">
        <f t="shared" si="9"/>
        <v>611.72</v>
      </c>
      <c r="K313" s="103">
        <v>624.57999999999993</v>
      </c>
      <c r="L313" s="103">
        <v>611.72</v>
      </c>
    </row>
    <row r="314" spans="1:12" x14ac:dyDescent="0.25">
      <c r="A314" s="100">
        <v>310</v>
      </c>
      <c r="B314" s="107" t="s">
        <v>1416</v>
      </c>
      <c r="C314" s="108">
        <v>3341015</v>
      </c>
      <c r="D314" s="107" t="s">
        <v>1395</v>
      </c>
      <c r="E314" s="106">
        <v>623.57000000000005</v>
      </c>
      <c r="F314" s="106">
        <v>18.04</v>
      </c>
      <c r="G314" s="106">
        <v>603.84</v>
      </c>
      <c r="H314" s="106">
        <v>698.32</v>
      </c>
      <c r="I314" s="103">
        <f t="shared" si="8"/>
        <v>632.59</v>
      </c>
      <c r="J314" s="103">
        <f t="shared" si="9"/>
        <v>614.55000000000007</v>
      </c>
      <c r="K314" s="103">
        <v>632.59</v>
      </c>
      <c r="L314" s="103">
        <v>614.55000000000007</v>
      </c>
    </row>
    <row r="315" spans="1:12" x14ac:dyDescent="0.25">
      <c r="A315" s="104">
        <v>311</v>
      </c>
      <c r="B315" s="107" t="s">
        <v>1361</v>
      </c>
      <c r="C315" s="108">
        <v>3531135</v>
      </c>
      <c r="D315" s="107" t="s">
        <v>1138</v>
      </c>
      <c r="E315" s="106">
        <v>615.57000000000005</v>
      </c>
      <c r="F315" s="106">
        <v>9.01</v>
      </c>
      <c r="G315" s="106">
        <v>603.54999999999995</v>
      </c>
      <c r="H315" s="106">
        <v>647.21</v>
      </c>
      <c r="I315" s="103">
        <f t="shared" si="8"/>
        <v>620.07500000000005</v>
      </c>
      <c r="J315" s="103">
        <f t="shared" si="9"/>
        <v>611.06500000000005</v>
      </c>
      <c r="K315" s="103">
        <v>620.07500000000005</v>
      </c>
      <c r="L315" s="103">
        <v>611.06500000000005</v>
      </c>
    </row>
    <row r="316" spans="1:12" x14ac:dyDescent="0.25">
      <c r="A316" s="100">
        <v>312</v>
      </c>
      <c r="B316" s="107" t="s">
        <v>1432</v>
      </c>
      <c r="C316" s="108">
        <v>3241037</v>
      </c>
      <c r="D316" s="107" t="s">
        <v>1322</v>
      </c>
      <c r="E316" s="106">
        <v>621.42999999999995</v>
      </c>
      <c r="F316" s="106">
        <v>14.33</v>
      </c>
      <c r="G316" s="106">
        <v>603.5</v>
      </c>
      <c r="H316" s="106">
        <v>655.21</v>
      </c>
      <c r="I316" s="103">
        <f t="shared" si="8"/>
        <v>628.59499999999991</v>
      </c>
      <c r="J316" s="103">
        <f t="shared" si="9"/>
        <v>614.26499999999999</v>
      </c>
      <c r="K316" s="103">
        <v>628.59499999999991</v>
      </c>
      <c r="L316" s="103">
        <v>614.26499999999999</v>
      </c>
    </row>
    <row r="317" spans="1:12" x14ac:dyDescent="0.25">
      <c r="A317" s="104">
        <v>313</v>
      </c>
      <c r="B317" s="107" t="s">
        <v>1432</v>
      </c>
      <c r="C317" s="108">
        <v>3241111</v>
      </c>
      <c r="D317" s="107" t="s">
        <v>1330</v>
      </c>
      <c r="E317" s="106">
        <v>619.04999999999995</v>
      </c>
      <c r="F317" s="106">
        <v>14.18</v>
      </c>
      <c r="G317" s="106">
        <v>603.47</v>
      </c>
      <c r="H317" s="106">
        <v>656.16</v>
      </c>
      <c r="I317" s="103">
        <f t="shared" si="8"/>
        <v>626.14</v>
      </c>
      <c r="J317" s="103">
        <f t="shared" si="9"/>
        <v>611.95999999999992</v>
      </c>
      <c r="K317" s="103">
        <v>626.14</v>
      </c>
      <c r="L317" s="103">
        <v>611.95999999999992</v>
      </c>
    </row>
    <row r="318" spans="1:12" x14ac:dyDescent="0.25">
      <c r="A318" s="100">
        <v>314</v>
      </c>
      <c r="B318" s="107" t="s">
        <v>1416</v>
      </c>
      <c r="C318" s="108">
        <v>3341174</v>
      </c>
      <c r="D318" s="107" t="s">
        <v>1332</v>
      </c>
      <c r="E318" s="106">
        <v>613.5</v>
      </c>
      <c r="F318" s="106">
        <v>8.7899999999999991</v>
      </c>
      <c r="G318" s="106">
        <v>603.19000000000005</v>
      </c>
      <c r="H318" s="106">
        <v>639.07000000000005</v>
      </c>
      <c r="I318" s="103">
        <f t="shared" si="8"/>
        <v>617.89499999999998</v>
      </c>
      <c r="J318" s="103">
        <f t="shared" si="9"/>
        <v>609.10500000000002</v>
      </c>
      <c r="K318" s="103">
        <v>617.89499999999998</v>
      </c>
      <c r="L318" s="103">
        <v>609.10500000000002</v>
      </c>
    </row>
    <row r="319" spans="1:12" x14ac:dyDescent="0.25">
      <c r="A319" s="104">
        <v>315</v>
      </c>
      <c r="B319" s="107" t="s">
        <v>1308</v>
      </c>
      <c r="C319" s="108">
        <v>1411145</v>
      </c>
      <c r="D319" s="107" t="s">
        <v>1323</v>
      </c>
      <c r="E319" s="106">
        <v>626.59</v>
      </c>
      <c r="F319" s="106">
        <v>19.170000000000002</v>
      </c>
      <c r="G319" s="106">
        <v>603.09</v>
      </c>
      <c r="H319" s="106">
        <v>702.29</v>
      </c>
      <c r="I319" s="103">
        <f t="shared" si="8"/>
        <v>636.17500000000007</v>
      </c>
      <c r="J319" s="103">
        <f t="shared" si="9"/>
        <v>617.005</v>
      </c>
      <c r="K319" s="103">
        <v>636.17500000000007</v>
      </c>
      <c r="L319" s="103">
        <v>617.005</v>
      </c>
    </row>
    <row r="320" spans="1:12" x14ac:dyDescent="0.25">
      <c r="A320" s="100">
        <v>316</v>
      </c>
      <c r="B320" s="107" t="s">
        <v>1308</v>
      </c>
      <c r="C320" s="108">
        <v>1411161</v>
      </c>
      <c r="D320" s="107" t="s">
        <v>1102</v>
      </c>
      <c r="E320" s="106">
        <v>615.16</v>
      </c>
      <c r="F320" s="106">
        <v>9.82</v>
      </c>
      <c r="G320" s="106">
        <v>603.05999999999995</v>
      </c>
      <c r="H320" s="106">
        <v>639.25</v>
      </c>
      <c r="I320" s="103">
        <f t="shared" si="8"/>
        <v>620.06999999999994</v>
      </c>
      <c r="J320" s="103">
        <f t="shared" si="9"/>
        <v>610.25</v>
      </c>
      <c r="K320" s="103">
        <v>620.06999999999994</v>
      </c>
      <c r="L320" s="103">
        <v>610.25</v>
      </c>
    </row>
    <row r="321" spans="1:12" x14ac:dyDescent="0.25">
      <c r="A321" s="104">
        <v>317</v>
      </c>
      <c r="B321" s="107" t="s">
        <v>1328</v>
      </c>
      <c r="C321" s="108">
        <v>3821241</v>
      </c>
      <c r="D321" s="107" t="s">
        <v>1121</v>
      </c>
      <c r="E321" s="106">
        <v>635.64</v>
      </c>
      <c r="F321" s="106">
        <v>27.84</v>
      </c>
      <c r="G321" s="106">
        <v>602.55999999999995</v>
      </c>
      <c r="H321" s="106">
        <v>700.77</v>
      </c>
      <c r="I321" s="103">
        <f t="shared" si="8"/>
        <v>649.55999999999995</v>
      </c>
      <c r="J321" s="103">
        <f t="shared" si="9"/>
        <v>621.72</v>
      </c>
      <c r="K321" s="103">
        <v>649.55999999999995</v>
      </c>
      <c r="L321" s="103">
        <v>621.72</v>
      </c>
    </row>
    <row r="322" spans="1:12" x14ac:dyDescent="0.25">
      <c r="A322" s="100">
        <v>318</v>
      </c>
      <c r="B322" s="107" t="s">
        <v>1353</v>
      </c>
      <c r="C322" s="108">
        <v>3721104</v>
      </c>
      <c r="D322" s="107" t="s">
        <v>1374</v>
      </c>
      <c r="E322" s="106">
        <v>620.76</v>
      </c>
      <c r="F322" s="106">
        <v>16.53</v>
      </c>
      <c r="G322" s="106">
        <v>602.53</v>
      </c>
      <c r="H322" s="106">
        <v>688.13</v>
      </c>
      <c r="I322" s="103">
        <f t="shared" si="8"/>
        <v>629.02499999999998</v>
      </c>
      <c r="J322" s="103">
        <f t="shared" si="9"/>
        <v>612.495</v>
      </c>
      <c r="K322" s="103">
        <v>629.02499999999998</v>
      </c>
      <c r="L322" s="103">
        <v>612.495</v>
      </c>
    </row>
    <row r="323" spans="1:12" x14ac:dyDescent="0.25">
      <c r="A323" s="104">
        <v>319</v>
      </c>
      <c r="B323" s="107" t="s">
        <v>1444</v>
      </c>
      <c r="C323" s="108">
        <v>3731211</v>
      </c>
      <c r="D323" s="107" t="s">
        <v>1347</v>
      </c>
      <c r="E323" s="106">
        <v>617.85</v>
      </c>
      <c r="F323" s="106">
        <v>10.6</v>
      </c>
      <c r="G323" s="106">
        <v>602.45000000000005</v>
      </c>
      <c r="H323" s="106">
        <v>640.96</v>
      </c>
      <c r="I323" s="103">
        <f t="shared" si="8"/>
        <v>623.15</v>
      </c>
      <c r="J323" s="103">
        <f t="shared" si="9"/>
        <v>612.55000000000007</v>
      </c>
      <c r="K323" s="103">
        <v>623.15</v>
      </c>
      <c r="L323" s="103">
        <v>612.55000000000007</v>
      </c>
    </row>
    <row r="324" spans="1:12" x14ac:dyDescent="0.25">
      <c r="A324" s="100">
        <v>320</v>
      </c>
      <c r="B324" s="107" t="s">
        <v>1361</v>
      </c>
      <c r="C324" s="108">
        <v>3531046</v>
      </c>
      <c r="D324" s="107" t="s">
        <v>1439</v>
      </c>
      <c r="E324" s="106">
        <v>615.65</v>
      </c>
      <c r="F324" s="106">
        <v>10.52</v>
      </c>
      <c r="G324" s="106">
        <v>602.22</v>
      </c>
      <c r="H324" s="106">
        <v>647.1</v>
      </c>
      <c r="I324" s="103">
        <f t="shared" si="8"/>
        <v>620.91</v>
      </c>
      <c r="J324" s="103">
        <f t="shared" si="9"/>
        <v>610.39</v>
      </c>
      <c r="K324" s="103">
        <v>620.91</v>
      </c>
      <c r="L324" s="103">
        <v>610.39</v>
      </c>
    </row>
    <row r="325" spans="1:12" x14ac:dyDescent="0.25">
      <c r="A325" s="104">
        <v>321</v>
      </c>
      <c r="B325" s="107" t="s">
        <v>1394</v>
      </c>
      <c r="C325" s="108">
        <v>3621045</v>
      </c>
      <c r="D325" s="107" t="s">
        <v>1445</v>
      </c>
      <c r="E325" s="106">
        <v>623.34</v>
      </c>
      <c r="F325" s="106">
        <v>21.82</v>
      </c>
      <c r="G325" s="106">
        <v>602.20000000000005</v>
      </c>
      <c r="H325" s="106">
        <v>708.4</v>
      </c>
      <c r="I325" s="103">
        <f t="shared" si="8"/>
        <v>634.25</v>
      </c>
      <c r="J325" s="103">
        <f t="shared" si="9"/>
        <v>612.43000000000006</v>
      </c>
      <c r="K325" s="103">
        <v>634.25</v>
      </c>
      <c r="L325" s="103">
        <v>612.43000000000006</v>
      </c>
    </row>
    <row r="326" spans="1:12" x14ac:dyDescent="0.25">
      <c r="A326" s="100">
        <v>322</v>
      </c>
      <c r="B326" s="107" t="s">
        <v>1354</v>
      </c>
      <c r="C326" s="108">
        <v>3511026</v>
      </c>
      <c r="D326" s="107" t="s">
        <v>1326</v>
      </c>
      <c r="E326" s="106">
        <v>612.73</v>
      </c>
      <c r="F326" s="106">
        <v>8.69</v>
      </c>
      <c r="G326" s="106">
        <v>602.09</v>
      </c>
      <c r="H326" s="106">
        <v>637.05999999999995</v>
      </c>
      <c r="I326" s="103">
        <f t="shared" ref="I326:I389" si="10">E326+0.5*F326</f>
        <v>617.07500000000005</v>
      </c>
      <c r="J326" s="103">
        <f t="shared" ref="J326:J389" si="11">E326-0.5*F326</f>
        <v>608.38499999999999</v>
      </c>
      <c r="K326" s="103">
        <v>617.07500000000005</v>
      </c>
      <c r="L326" s="103">
        <v>608.38499999999999</v>
      </c>
    </row>
    <row r="327" spans="1:12" x14ac:dyDescent="0.25">
      <c r="A327" s="104">
        <v>323</v>
      </c>
      <c r="B327" s="107" t="s">
        <v>1337</v>
      </c>
      <c r="C327" s="108">
        <v>3411137</v>
      </c>
      <c r="D327" s="107" t="s">
        <v>1446</v>
      </c>
      <c r="E327" s="106">
        <v>620.53</v>
      </c>
      <c r="F327" s="106">
        <v>14.45</v>
      </c>
      <c r="G327" s="106">
        <v>601.91999999999996</v>
      </c>
      <c r="H327" s="106">
        <v>660.62</v>
      </c>
      <c r="I327" s="103">
        <f t="shared" si="10"/>
        <v>627.755</v>
      </c>
      <c r="J327" s="103">
        <f t="shared" si="11"/>
        <v>613.30499999999995</v>
      </c>
      <c r="K327" s="103">
        <v>627.755</v>
      </c>
      <c r="L327" s="103">
        <v>613.30499999999995</v>
      </c>
    </row>
    <row r="328" spans="1:12" x14ac:dyDescent="0.25">
      <c r="A328" s="100">
        <v>324</v>
      </c>
      <c r="B328" s="107" t="s">
        <v>1421</v>
      </c>
      <c r="C328" s="108">
        <v>3631047</v>
      </c>
      <c r="D328" s="107" t="s">
        <v>1102</v>
      </c>
      <c r="E328" s="106">
        <v>616.4</v>
      </c>
      <c r="F328" s="106">
        <v>10.18</v>
      </c>
      <c r="G328" s="106">
        <v>601.80999999999995</v>
      </c>
      <c r="H328" s="106">
        <v>647.96</v>
      </c>
      <c r="I328" s="103">
        <f t="shared" si="10"/>
        <v>621.49</v>
      </c>
      <c r="J328" s="103">
        <f t="shared" si="11"/>
        <v>611.30999999999995</v>
      </c>
      <c r="K328" s="103">
        <v>621.49</v>
      </c>
      <c r="L328" s="103">
        <v>611.30999999999995</v>
      </c>
    </row>
    <row r="329" spans="1:12" x14ac:dyDescent="0.25">
      <c r="A329" s="104">
        <v>325</v>
      </c>
      <c r="B329" s="107" t="s">
        <v>1337</v>
      </c>
      <c r="C329" s="108">
        <v>3411087</v>
      </c>
      <c r="D329" s="107" t="s">
        <v>1447</v>
      </c>
      <c r="E329" s="106">
        <v>621.38</v>
      </c>
      <c r="F329" s="106">
        <v>12.73</v>
      </c>
      <c r="G329" s="106">
        <v>601.79999999999995</v>
      </c>
      <c r="H329" s="106">
        <v>647.83000000000004</v>
      </c>
      <c r="I329" s="103">
        <f t="shared" si="10"/>
        <v>627.745</v>
      </c>
      <c r="J329" s="103">
        <f t="shared" si="11"/>
        <v>615.01499999999999</v>
      </c>
      <c r="K329" s="103">
        <v>627.745</v>
      </c>
      <c r="L329" s="103">
        <v>615.01499999999999</v>
      </c>
    </row>
    <row r="330" spans="1:12" x14ac:dyDescent="0.25">
      <c r="A330" s="100">
        <v>326</v>
      </c>
      <c r="B330" s="107" t="s">
        <v>1311</v>
      </c>
      <c r="C330" s="108">
        <v>3331214</v>
      </c>
      <c r="D330" s="107" t="s">
        <v>1380</v>
      </c>
      <c r="E330" s="106">
        <v>619.66</v>
      </c>
      <c r="F330" s="106">
        <v>12.56</v>
      </c>
      <c r="G330" s="106">
        <v>601.72</v>
      </c>
      <c r="H330" s="106">
        <v>641.9</v>
      </c>
      <c r="I330" s="103">
        <f t="shared" si="10"/>
        <v>625.93999999999994</v>
      </c>
      <c r="J330" s="103">
        <f t="shared" si="11"/>
        <v>613.38</v>
      </c>
      <c r="K330" s="103">
        <v>625.93999999999994</v>
      </c>
      <c r="L330" s="103">
        <v>613.38</v>
      </c>
    </row>
    <row r="331" spans="1:12" x14ac:dyDescent="0.25">
      <c r="A331" s="104">
        <v>327</v>
      </c>
      <c r="B331" s="107" t="s">
        <v>1394</v>
      </c>
      <c r="C331" s="108">
        <v>3621022</v>
      </c>
      <c r="D331" s="107" t="s">
        <v>1448</v>
      </c>
      <c r="E331" s="106">
        <v>625.08000000000004</v>
      </c>
      <c r="F331" s="106">
        <v>19.25</v>
      </c>
      <c r="G331" s="106">
        <v>601.48</v>
      </c>
      <c r="H331" s="106">
        <v>677.22</v>
      </c>
      <c r="I331" s="103">
        <f t="shared" si="10"/>
        <v>634.70500000000004</v>
      </c>
      <c r="J331" s="103">
        <f t="shared" si="11"/>
        <v>615.45500000000004</v>
      </c>
      <c r="K331" s="103">
        <v>634.70500000000004</v>
      </c>
      <c r="L331" s="103">
        <v>615.45500000000004</v>
      </c>
    </row>
    <row r="332" spans="1:12" x14ac:dyDescent="0.25">
      <c r="A332" s="100">
        <v>328</v>
      </c>
      <c r="B332" s="107" t="s">
        <v>1394</v>
      </c>
      <c r="C332" s="108">
        <v>3621134</v>
      </c>
      <c r="D332" s="107" t="s">
        <v>1374</v>
      </c>
      <c r="E332" s="106">
        <v>617.04999999999995</v>
      </c>
      <c r="F332" s="106">
        <v>9.68</v>
      </c>
      <c r="G332" s="106">
        <v>601.48</v>
      </c>
      <c r="H332" s="106">
        <v>645.41</v>
      </c>
      <c r="I332" s="103">
        <f t="shared" si="10"/>
        <v>621.89</v>
      </c>
      <c r="J332" s="103">
        <f t="shared" si="11"/>
        <v>612.20999999999992</v>
      </c>
      <c r="K332" s="103">
        <v>621.89</v>
      </c>
      <c r="L332" s="103">
        <v>612.20999999999992</v>
      </c>
    </row>
    <row r="333" spans="1:12" x14ac:dyDescent="0.25">
      <c r="A333" s="104">
        <v>329</v>
      </c>
      <c r="B333" s="107" t="s">
        <v>1449</v>
      </c>
      <c r="C333" s="108">
        <v>3851031</v>
      </c>
      <c r="D333" s="107" t="s">
        <v>1316</v>
      </c>
      <c r="E333" s="106">
        <v>613.83000000000004</v>
      </c>
      <c r="F333" s="106">
        <v>12.16</v>
      </c>
      <c r="G333" s="106">
        <v>601.20000000000005</v>
      </c>
      <c r="H333" s="106">
        <v>657.49</v>
      </c>
      <c r="I333" s="103">
        <f t="shared" si="10"/>
        <v>619.91000000000008</v>
      </c>
      <c r="J333" s="103">
        <f t="shared" si="11"/>
        <v>607.75</v>
      </c>
      <c r="K333" s="103">
        <v>619.91000000000008</v>
      </c>
      <c r="L333" s="103">
        <v>607.75</v>
      </c>
    </row>
    <row r="334" spans="1:12" x14ac:dyDescent="0.25">
      <c r="A334" s="100">
        <v>330</v>
      </c>
      <c r="B334" s="107" t="s">
        <v>1396</v>
      </c>
      <c r="C334" s="108">
        <v>3231012</v>
      </c>
      <c r="D334" s="107" t="s">
        <v>1395</v>
      </c>
      <c r="E334" s="106">
        <v>628.94000000000005</v>
      </c>
      <c r="F334" s="106">
        <v>26.68</v>
      </c>
      <c r="G334" s="106">
        <v>601.08000000000004</v>
      </c>
      <c r="H334" s="106">
        <v>696.1</v>
      </c>
      <c r="I334" s="103">
        <f t="shared" si="10"/>
        <v>642.28000000000009</v>
      </c>
      <c r="J334" s="103">
        <f t="shared" si="11"/>
        <v>615.6</v>
      </c>
      <c r="K334" s="103">
        <v>642.28000000000009</v>
      </c>
      <c r="L334" s="103">
        <v>615.6</v>
      </c>
    </row>
    <row r="335" spans="1:12" x14ac:dyDescent="0.25">
      <c r="A335" s="104">
        <v>331</v>
      </c>
      <c r="B335" s="107" t="s">
        <v>1444</v>
      </c>
      <c r="C335" s="108">
        <v>3731017</v>
      </c>
      <c r="D335" s="107" t="s">
        <v>1395</v>
      </c>
      <c r="E335" s="106">
        <v>625.57000000000005</v>
      </c>
      <c r="F335" s="106">
        <v>20.7</v>
      </c>
      <c r="G335" s="106">
        <v>601.04</v>
      </c>
      <c r="H335" s="106">
        <v>686.46</v>
      </c>
      <c r="I335" s="103">
        <f t="shared" si="10"/>
        <v>635.92000000000007</v>
      </c>
      <c r="J335" s="103">
        <f t="shared" si="11"/>
        <v>615.22</v>
      </c>
      <c r="K335" s="103">
        <v>635.92000000000007</v>
      </c>
      <c r="L335" s="103">
        <v>615.22</v>
      </c>
    </row>
    <row r="336" spans="1:12" x14ac:dyDescent="0.25">
      <c r="A336" s="100">
        <v>332</v>
      </c>
      <c r="B336" s="107" t="s">
        <v>1337</v>
      </c>
      <c r="C336" s="108">
        <v>3411377</v>
      </c>
      <c r="D336" s="107" t="s">
        <v>1450</v>
      </c>
      <c r="E336" s="106">
        <v>615.13</v>
      </c>
      <c r="F336" s="106">
        <v>12.9</v>
      </c>
      <c r="G336" s="106">
        <v>600.72</v>
      </c>
      <c r="H336" s="106">
        <v>654.38</v>
      </c>
      <c r="I336" s="103">
        <f t="shared" si="10"/>
        <v>621.58000000000004</v>
      </c>
      <c r="J336" s="103">
        <f t="shared" si="11"/>
        <v>608.67999999999995</v>
      </c>
      <c r="K336" s="103">
        <v>621.58000000000004</v>
      </c>
      <c r="L336" s="103">
        <v>608.67999999999995</v>
      </c>
    </row>
    <row r="337" spans="1:12" x14ac:dyDescent="0.25">
      <c r="A337" s="104">
        <v>333</v>
      </c>
      <c r="B337" s="107" t="s">
        <v>1421</v>
      </c>
      <c r="C337" s="108">
        <v>3631032</v>
      </c>
      <c r="D337" s="107" t="s">
        <v>1451</v>
      </c>
      <c r="E337" s="106">
        <v>621.13</v>
      </c>
      <c r="F337" s="106">
        <v>17.25</v>
      </c>
      <c r="G337" s="106">
        <v>600.20000000000005</v>
      </c>
      <c r="H337" s="106">
        <v>673.03</v>
      </c>
      <c r="I337" s="103">
        <f t="shared" si="10"/>
        <v>629.755</v>
      </c>
      <c r="J337" s="103">
        <f t="shared" si="11"/>
        <v>612.505</v>
      </c>
      <c r="K337" s="103">
        <v>629.755</v>
      </c>
      <c r="L337" s="103">
        <v>612.505</v>
      </c>
    </row>
    <row r="338" spans="1:12" x14ac:dyDescent="0.25">
      <c r="A338" s="100">
        <v>334</v>
      </c>
      <c r="B338" s="107" t="s">
        <v>1429</v>
      </c>
      <c r="C338" s="108">
        <v>3561014</v>
      </c>
      <c r="D338" s="107" t="s">
        <v>1395</v>
      </c>
      <c r="E338" s="106">
        <v>617.21</v>
      </c>
      <c r="F338" s="106">
        <v>16.93</v>
      </c>
      <c r="G338" s="106">
        <v>600.14</v>
      </c>
      <c r="H338" s="106">
        <v>670</v>
      </c>
      <c r="I338" s="103">
        <f t="shared" si="10"/>
        <v>625.67500000000007</v>
      </c>
      <c r="J338" s="103">
        <f t="shared" si="11"/>
        <v>608.745</v>
      </c>
      <c r="K338" s="103">
        <v>625.67500000000007</v>
      </c>
      <c r="L338" s="103">
        <v>608.745</v>
      </c>
    </row>
    <row r="339" spans="1:12" x14ac:dyDescent="0.25">
      <c r="A339" s="104">
        <v>335</v>
      </c>
      <c r="B339" s="107" t="s">
        <v>1379</v>
      </c>
      <c r="C339" s="108">
        <v>5311384</v>
      </c>
      <c r="D339" s="107" t="s">
        <v>1369</v>
      </c>
      <c r="E339" s="106">
        <v>617.17999999999995</v>
      </c>
      <c r="F339" s="106">
        <v>14.18</v>
      </c>
      <c r="G339" s="106">
        <v>600.08000000000004</v>
      </c>
      <c r="H339" s="106">
        <v>669.08</v>
      </c>
      <c r="I339" s="103">
        <f t="shared" si="10"/>
        <v>624.27</v>
      </c>
      <c r="J339" s="103">
        <f t="shared" si="11"/>
        <v>610.08999999999992</v>
      </c>
      <c r="K339" s="103">
        <v>624.27</v>
      </c>
      <c r="L339" s="103">
        <v>610.08999999999992</v>
      </c>
    </row>
    <row r="340" spans="1:12" x14ac:dyDescent="0.25">
      <c r="A340" s="100">
        <v>336</v>
      </c>
      <c r="B340" s="107" t="s">
        <v>1354</v>
      </c>
      <c r="C340" s="108">
        <v>3511115</v>
      </c>
      <c r="D340" s="107" t="s">
        <v>1418</v>
      </c>
      <c r="E340" s="106">
        <v>616.47</v>
      </c>
      <c r="F340" s="106">
        <v>13.5</v>
      </c>
      <c r="G340" s="106">
        <v>599.99</v>
      </c>
      <c r="H340" s="106">
        <v>649.70000000000005</v>
      </c>
      <c r="I340" s="103">
        <f t="shared" si="10"/>
        <v>623.22</v>
      </c>
      <c r="J340" s="103">
        <f t="shared" si="11"/>
        <v>609.72</v>
      </c>
      <c r="K340" s="103">
        <v>623.22</v>
      </c>
      <c r="L340" s="103">
        <v>609.72</v>
      </c>
    </row>
    <row r="341" spans="1:12" x14ac:dyDescent="0.25">
      <c r="A341" s="104">
        <v>337</v>
      </c>
      <c r="B341" s="107" t="s">
        <v>1416</v>
      </c>
      <c r="C341" s="108">
        <v>3341077</v>
      </c>
      <c r="D341" s="107" t="s">
        <v>1138</v>
      </c>
      <c r="E341" s="106">
        <v>617.38</v>
      </c>
      <c r="F341" s="106">
        <v>13.02</v>
      </c>
      <c r="G341" s="106">
        <v>599.94000000000005</v>
      </c>
      <c r="H341" s="106">
        <v>644.41999999999996</v>
      </c>
      <c r="I341" s="103">
        <f t="shared" si="10"/>
        <v>623.89</v>
      </c>
      <c r="J341" s="103">
        <f t="shared" si="11"/>
        <v>610.87</v>
      </c>
      <c r="K341" s="103">
        <v>623.89</v>
      </c>
      <c r="L341" s="103">
        <v>610.87</v>
      </c>
    </row>
    <row r="342" spans="1:12" x14ac:dyDescent="0.25">
      <c r="A342" s="100">
        <v>338</v>
      </c>
      <c r="B342" s="107" t="s">
        <v>1313</v>
      </c>
      <c r="C342" s="108">
        <v>3611325</v>
      </c>
      <c r="D342" s="107" t="s">
        <v>1452</v>
      </c>
      <c r="E342" s="106">
        <v>618.92999999999995</v>
      </c>
      <c r="F342" s="106">
        <v>14.86</v>
      </c>
      <c r="G342" s="106">
        <v>599.64</v>
      </c>
      <c r="H342" s="106">
        <v>677.14</v>
      </c>
      <c r="I342" s="103">
        <f t="shared" si="10"/>
        <v>626.3599999999999</v>
      </c>
      <c r="J342" s="103">
        <f t="shared" si="11"/>
        <v>611.5</v>
      </c>
      <c r="K342" s="103">
        <v>626.3599999999999</v>
      </c>
      <c r="L342" s="103">
        <v>611.5</v>
      </c>
    </row>
    <row r="343" spans="1:12" x14ac:dyDescent="0.25">
      <c r="A343" s="104">
        <v>339</v>
      </c>
      <c r="B343" s="107" t="s">
        <v>1421</v>
      </c>
      <c r="C343" s="108">
        <v>3631136</v>
      </c>
      <c r="D343" s="107" t="s">
        <v>1329</v>
      </c>
      <c r="E343" s="106">
        <v>615.9</v>
      </c>
      <c r="F343" s="106">
        <v>16.78</v>
      </c>
      <c r="G343" s="106">
        <v>599.52</v>
      </c>
      <c r="H343" s="106">
        <v>661.28</v>
      </c>
      <c r="I343" s="103">
        <f t="shared" si="10"/>
        <v>624.29</v>
      </c>
      <c r="J343" s="103">
        <f t="shared" si="11"/>
        <v>607.51</v>
      </c>
      <c r="K343" s="103">
        <v>624.29</v>
      </c>
      <c r="L343" s="103">
        <v>607.51</v>
      </c>
    </row>
    <row r="344" spans="1:12" x14ac:dyDescent="0.25">
      <c r="A344" s="100">
        <v>340</v>
      </c>
      <c r="B344" s="107" t="s">
        <v>1416</v>
      </c>
      <c r="C344" s="108">
        <v>3341197</v>
      </c>
      <c r="D344" s="107" t="s">
        <v>1323</v>
      </c>
      <c r="E344" s="106">
        <v>615.63</v>
      </c>
      <c r="F344" s="106">
        <v>12.84</v>
      </c>
      <c r="G344" s="106">
        <v>599.23</v>
      </c>
      <c r="H344" s="106">
        <v>664.95</v>
      </c>
      <c r="I344" s="103">
        <f t="shared" si="10"/>
        <v>622.04999999999995</v>
      </c>
      <c r="J344" s="103">
        <f t="shared" si="11"/>
        <v>609.21</v>
      </c>
      <c r="K344" s="103">
        <v>622.04999999999995</v>
      </c>
      <c r="L344" s="103">
        <v>609.21</v>
      </c>
    </row>
    <row r="345" spans="1:12" x14ac:dyDescent="0.25">
      <c r="A345" s="104">
        <v>341</v>
      </c>
      <c r="B345" s="107" t="s">
        <v>1337</v>
      </c>
      <c r="C345" s="108">
        <v>3411025</v>
      </c>
      <c r="D345" s="107" t="s">
        <v>1453</v>
      </c>
      <c r="E345" s="106">
        <v>621.05999999999995</v>
      </c>
      <c r="F345" s="106">
        <v>18.850000000000001</v>
      </c>
      <c r="G345" s="106">
        <v>599.14</v>
      </c>
      <c r="H345" s="106">
        <v>699.06</v>
      </c>
      <c r="I345" s="103">
        <f t="shared" si="10"/>
        <v>630.4849999999999</v>
      </c>
      <c r="J345" s="103">
        <f t="shared" si="11"/>
        <v>611.63499999999999</v>
      </c>
      <c r="K345" s="103">
        <v>630.4849999999999</v>
      </c>
      <c r="L345" s="103">
        <v>611.63499999999999</v>
      </c>
    </row>
    <row r="346" spans="1:12" x14ac:dyDescent="0.25">
      <c r="A346" s="100">
        <v>342</v>
      </c>
      <c r="B346" s="107" t="s">
        <v>1313</v>
      </c>
      <c r="C346" s="108">
        <v>3611275</v>
      </c>
      <c r="D346" s="107" t="s">
        <v>1454</v>
      </c>
      <c r="E346" s="106">
        <v>619.57000000000005</v>
      </c>
      <c r="F346" s="106">
        <v>14.08</v>
      </c>
      <c r="G346" s="106">
        <v>599</v>
      </c>
      <c r="H346" s="106">
        <v>639.34</v>
      </c>
      <c r="I346" s="103">
        <f t="shared" si="10"/>
        <v>626.61</v>
      </c>
      <c r="J346" s="103">
        <f t="shared" si="11"/>
        <v>612.53000000000009</v>
      </c>
      <c r="K346" s="103">
        <v>626.61</v>
      </c>
      <c r="L346" s="103">
        <v>612.53000000000009</v>
      </c>
    </row>
    <row r="347" spans="1:12" x14ac:dyDescent="0.25">
      <c r="A347" s="104">
        <v>343</v>
      </c>
      <c r="B347" s="107" t="s">
        <v>1455</v>
      </c>
      <c r="C347" s="108">
        <v>8111246</v>
      </c>
      <c r="D347" s="107" t="s">
        <v>1133</v>
      </c>
      <c r="E347" s="106">
        <v>610.80999999999995</v>
      </c>
      <c r="F347" s="106">
        <v>9.8000000000000007</v>
      </c>
      <c r="G347" s="106">
        <v>599</v>
      </c>
      <c r="H347" s="106">
        <v>632.44000000000005</v>
      </c>
      <c r="I347" s="103">
        <f t="shared" si="10"/>
        <v>615.70999999999992</v>
      </c>
      <c r="J347" s="103">
        <f t="shared" si="11"/>
        <v>605.91</v>
      </c>
      <c r="K347" s="103">
        <v>615.70999999999992</v>
      </c>
      <c r="L347" s="103">
        <v>605.91</v>
      </c>
    </row>
    <row r="348" spans="1:12" x14ac:dyDescent="0.25">
      <c r="A348" s="100">
        <v>344</v>
      </c>
      <c r="B348" s="107" t="s">
        <v>1351</v>
      </c>
      <c r="C348" s="108">
        <v>3711172</v>
      </c>
      <c r="D348" s="107" t="s">
        <v>1323</v>
      </c>
      <c r="E348" s="106">
        <v>617.52</v>
      </c>
      <c r="F348" s="106">
        <v>17.14</v>
      </c>
      <c r="G348" s="106">
        <v>598.91999999999996</v>
      </c>
      <c r="H348" s="106">
        <v>690.67</v>
      </c>
      <c r="I348" s="103">
        <f t="shared" si="10"/>
        <v>626.09</v>
      </c>
      <c r="J348" s="103">
        <f t="shared" si="11"/>
        <v>608.94999999999993</v>
      </c>
      <c r="K348" s="103">
        <v>626.09</v>
      </c>
      <c r="L348" s="103">
        <v>608.94999999999993</v>
      </c>
    </row>
    <row r="349" spans="1:12" x14ac:dyDescent="0.25">
      <c r="A349" s="104">
        <v>345</v>
      </c>
      <c r="B349" s="107" t="s">
        <v>1353</v>
      </c>
      <c r="C349" s="108">
        <v>3721383</v>
      </c>
      <c r="D349" s="107" t="s">
        <v>1456</v>
      </c>
      <c r="E349" s="106">
        <v>613.33000000000004</v>
      </c>
      <c r="F349" s="106">
        <v>11.18</v>
      </c>
      <c r="G349" s="106">
        <v>598.77</v>
      </c>
      <c r="H349" s="106">
        <v>635.14</v>
      </c>
      <c r="I349" s="103">
        <f t="shared" si="10"/>
        <v>618.92000000000007</v>
      </c>
      <c r="J349" s="103">
        <f t="shared" si="11"/>
        <v>607.74</v>
      </c>
      <c r="K349" s="103">
        <v>618.92000000000007</v>
      </c>
      <c r="L349" s="103">
        <v>607.74</v>
      </c>
    </row>
    <row r="350" spans="1:12" x14ac:dyDescent="0.25">
      <c r="A350" s="100">
        <v>346</v>
      </c>
      <c r="B350" s="107" t="s">
        <v>1354</v>
      </c>
      <c r="C350" s="108">
        <v>3511081</v>
      </c>
      <c r="D350" s="107" t="s">
        <v>1332</v>
      </c>
      <c r="E350" s="106">
        <v>614.79999999999995</v>
      </c>
      <c r="F350" s="106">
        <v>15.81</v>
      </c>
      <c r="G350" s="106">
        <v>598.69000000000005</v>
      </c>
      <c r="H350" s="106">
        <v>679.06</v>
      </c>
      <c r="I350" s="103">
        <f t="shared" si="10"/>
        <v>622.70499999999993</v>
      </c>
      <c r="J350" s="103">
        <f t="shared" si="11"/>
        <v>606.89499999999998</v>
      </c>
      <c r="K350" s="103">
        <v>622.70499999999993</v>
      </c>
      <c r="L350" s="103">
        <v>606.89499999999998</v>
      </c>
    </row>
    <row r="351" spans="1:12" x14ac:dyDescent="0.25">
      <c r="A351" s="104">
        <v>347</v>
      </c>
      <c r="B351" s="107" t="s">
        <v>1311</v>
      </c>
      <c r="C351" s="108">
        <v>3331237</v>
      </c>
      <c r="D351" s="107" t="s">
        <v>1404</v>
      </c>
      <c r="E351" s="106">
        <v>626.5</v>
      </c>
      <c r="F351" s="106">
        <v>21.96</v>
      </c>
      <c r="G351" s="106">
        <v>598.65</v>
      </c>
      <c r="H351" s="106">
        <v>673.43</v>
      </c>
      <c r="I351" s="103">
        <f t="shared" si="10"/>
        <v>637.48</v>
      </c>
      <c r="J351" s="103">
        <f t="shared" si="11"/>
        <v>615.52</v>
      </c>
      <c r="K351" s="103">
        <v>637.48</v>
      </c>
      <c r="L351" s="103">
        <v>615.52</v>
      </c>
    </row>
    <row r="352" spans="1:12" x14ac:dyDescent="0.25">
      <c r="A352" s="100">
        <v>348</v>
      </c>
      <c r="B352" s="107" t="s">
        <v>1311</v>
      </c>
      <c r="C352" s="108">
        <v>3331075</v>
      </c>
      <c r="D352" s="107" t="s">
        <v>1457</v>
      </c>
      <c r="E352" s="106">
        <v>615.21</v>
      </c>
      <c r="F352" s="106">
        <v>13.68</v>
      </c>
      <c r="G352" s="106">
        <v>598.6</v>
      </c>
      <c r="H352" s="106">
        <v>660.48</v>
      </c>
      <c r="I352" s="103">
        <f t="shared" si="10"/>
        <v>622.05000000000007</v>
      </c>
      <c r="J352" s="103">
        <f t="shared" si="11"/>
        <v>608.37</v>
      </c>
      <c r="K352" s="103">
        <v>622.05000000000007</v>
      </c>
      <c r="L352" s="103">
        <v>608.37</v>
      </c>
    </row>
    <row r="353" spans="1:12" x14ac:dyDescent="0.25">
      <c r="A353" s="104">
        <v>349</v>
      </c>
      <c r="B353" s="107" t="s">
        <v>1353</v>
      </c>
      <c r="C353" s="108">
        <v>3721433</v>
      </c>
      <c r="D353" s="107" t="s">
        <v>1327</v>
      </c>
      <c r="E353" s="106">
        <v>610.21</v>
      </c>
      <c r="F353" s="106">
        <v>10.42</v>
      </c>
      <c r="G353" s="106">
        <v>598.45000000000005</v>
      </c>
      <c r="H353" s="106">
        <v>640.54</v>
      </c>
      <c r="I353" s="103">
        <f t="shared" si="10"/>
        <v>615.42000000000007</v>
      </c>
      <c r="J353" s="103">
        <f t="shared" si="11"/>
        <v>605</v>
      </c>
      <c r="K353" s="103">
        <v>615.42000000000007</v>
      </c>
      <c r="L353" s="103">
        <v>605</v>
      </c>
    </row>
    <row r="354" spans="1:12" x14ac:dyDescent="0.25">
      <c r="A354" s="100">
        <v>350</v>
      </c>
      <c r="B354" s="107" t="s">
        <v>1409</v>
      </c>
      <c r="C354" s="108">
        <v>1711013</v>
      </c>
      <c r="D354" s="107" t="s">
        <v>1323</v>
      </c>
      <c r="E354" s="106">
        <v>617.74</v>
      </c>
      <c r="F354" s="106">
        <v>17.02</v>
      </c>
      <c r="G354" s="106">
        <v>598.44000000000005</v>
      </c>
      <c r="H354" s="106">
        <v>676.12</v>
      </c>
      <c r="I354" s="103">
        <f t="shared" si="10"/>
        <v>626.25</v>
      </c>
      <c r="J354" s="103">
        <f t="shared" si="11"/>
        <v>609.23</v>
      </c>
      <c r="K354" s="103">
        <v>626.25</v>
      </c>
      <c r="L354" s="103">
        <v>609.23</v>
      </c>
    </row>
    <row r="355" spans="1:12" x14ac:dyDescent="0.25">
      <c r="A355" s="104">
        <v>351</v>
      </c>
      <c r="B355" s="107" t="s">
        <v>1458</v>
      </c>
      <c r="C355" s="108">
        <v>7311183</v>
      </c>
      <c r="D355" s="107" t="s">
        <v>1357</v>
      </c>
      <c r="E355" s="106">
        <v>611.69000000000005</v>
      </c>
      <c r="F355" s="106">
        <v>12.96</v>
      </c>
      <c r="G355" s="106">
        <v>598.37</v>
      </c>
      <c r="H355" s="106">
        <v>654.01</v>
      </c>
      <c r="I355" s="103">
        <f t="shared" si="10"/>
        <v>618.17000000000007</v>
      </c>
      <c r="J355" s="103">
        <f t="shared" si="11"/>
        <v>605.21</v>
      </c>
      <c r="K355" s="103">
        <v>618.17000000000007</v>
      </c>
      <c r="L355" s="103">
        <v>605.21</v>
      </c>
    </row>
    <row r="356" spans="1:12" x14ac:dyDescent="0.25">
      <c r="A356" s="100">
        <v>352</v>
      </c>
      <c r="B356" s="107" t="s">
        <v>1429</v>
      </c>
      <c r="C356" s="108">
        <v>3561092</v>
      </c>
      <c r="D356" s="107" t="s">
        <v>1321</v>
      </c>
      <c r="E356" s="106">
        <v>619.16999999999996</v>
      </c>
      <c r="F356" s="106">
        <v>18.8</v>
      </c>
      <c r="G356" s="106">
        <v>598.29999999999995</v>
      </c>
      <c r="H356" s="106">
        <v>678.4</v>
      </c>
      <c r="I356" s="103">
        <f t="shared" si="10"/>
        <v>628.56999999999994</v>
      </c>
      <c r="J356" s="103">
        <f t="shared" si="11"/>
        <v>609.77</v>
      </c>
      <c r="K356" s="103">
        <v>628.56999999999994</v>
      </c>
      <c r="L356" s="103">
        <v>609.77</v>
      </c>
    </row>
    <row r="357" spans="1:12" x14ac:dyDescent="0.25">
      <c r="A357" s="104">
        <v>353</v>
      </c>
      <c r="B357" s="107" t="s">
        <v>1444</v>
      </c>
      <c r="C357" s="108">
        <v>3731114</v>
      </c>
      <c r="D357" s="107" t="s">
        <v>1321</v>
      </c>
      <c r="E357" s="106">
        <v>614.89</v>
      </c>
      <c r="F357" s="106">
        <v>16.329999999999998</v>
      </c>
      <c r="G357" s="106">
        <v>597.86</v>
      </c>
      <c r="H357" s="106">
        <v>687.16</v>
      </c>
      <c r="I357" s="103">
        <f t="shared" si="10"/>
        <v>623.05499999999995</v>
      </c>
      <c r="J357" s="103">
        <f t="shared" si="11"/>
        <v>606.72500000000002</v>
      </c>
      <c r="K357" s="103">
        <v>623.05499999999995</v>
      </c>
      <c r="L357" s="103">
        <v>606.72500000000002</v>
      </c>
    </row>
    <row r="358" spans="1:12" x14ac:dyDescent="0.25">
      <c r="A358" s="100">
        <v>354</v>
      </c>
      <c r="B358" s="107" t="s">
        <v>1432</v>
      </c>
      <c r="C358" s="108">
        <v>3241053</v>
      </c>
      <c r="D358" s="107" t="s">
        <v>1329</v>
      </c>
      <c r="E358" s="106">
        <v>616.78</v>
      </c>
      <c r="F358" s="106">
        <v>15.98</v>
      </c>
      <c r="G358" s="106">
        <v>597.63</v>
      </c>
      <c r="H358" s="106">
        <v>659.54</v>
      </c>
      <c r="I358" s="103">
        <f t="shared" si="10"/>
        <v>624.77</v>
      </c>
      <c r="J358" s="103">
        <f t="shared" si="11"/>
        <v>608.79</v>
      </c>
      <c r="K358" s="103">
        <v>624.77</v>
      </c>
      <c r="L358" s="103">
        <v>608.79</v>
      </c>
    </row>
    <row r="359" spans="1:12" x14ac:dyDescent="0.25">
      <c r="A359" s="104">
        <v>355</v>
      </c>
      <c r="B359" s="107" t="s">
        <v>1394</v>
      </c>
      <c r="C359" s="108">
        <v>3621111</v>
      </c>
      <c r="D359" s="107" t="s">
        <v>1138</v>
      </c>
      <c r="E359" s="106">
        <v>612.89</v>
      </c>
      <c r="F359" s="106">
        <v>16.940000000000001</v>
      </c>
      <c r="G359" s="106">
        <v>597.54999999999995</v>
      </c>
      <c r="H359" s="106">
        <v>662.37</v>
      </c>
      <c r="I359" s="103">
        <f t="shared" si="10"/>
        <v>621.36</v>
      </c>
      <c r="J359" s="103">
        <f t="shared" si="11"/>
        <v>604.41999999999996</v>
      </c>
      <c r="K359" s="103">
        <v>621.36</v>
      </c>
      <c r="L359" s="103">
        <v>604.41999999999996</v>
      </c>
    </row>
    <row r="360" spans="1:12" x14ac:dyDescent="0.25">
      <c r="A360" s="100">
        <v>356</v>
      </c>
      <c r="B360" s="107" t="s">
        <v>1394</v>
      </c>
      <c r="C360" s="108">
        <v>3621463</v>
      </c>
      <c r="D360" s="107" t="s">
        <v>1323</v>
      </c>
      <c r="E360" s="106">
        <v>611.34</v>
      </c>
      <c r="F360" s="106">
        <v>11.77</v>
      </c>
      <c r="G360" s="106">
        <v>597.53</v>
      </c>
      <c r="H360" s="106">
        <v>640.58000000000004</v>
      </c>
      <c r="I360" s="103">
        <f t="shared" si="10"/>
        <v>617.22500000000002</v>
      </c>
      <c r="J360" s="103">
        <f t="shared" si="11"/>
        <v>605.45500000000004</v>
      </c>
      <c r="K360" s="103">
        <v>617.22500000000002</v>
      </c>
      <c r="L360" s="103">
        <v>605.45500000000004</v>
      </c>
    </row>
    <row r="361" spans="1:12" x14ac:dyDescent="0.25">
      <c r="A361" s="104">
        <v>357</v>
      </c>
      <c r="B361" s="107" t="s">
        <v>1359</v>
      </c>
      <c r="C361" s="108">
        <v>3551155</v>
      </c>
      <c r="D361" s="107" t="s">
        <v>1459</v>
      </c>
      <c r="E361" s="106">
        <v>616.78</v>
      </c>
      <c r="F361" s="106">
        <v>17.16</v>
      </c>
      <c r="G361" s="106">
        <v>597.53</v>
      </c>
      <c r="H361" s="106">
        <v>679.93</v>
      </c>
      <c r="I361" s="103">
        <f t="shared" si="10"/>
        <v>625.36</v>
      </c>
      <c r="J361" s="103">
        <f t="shared" si="11"/>
        <v>608.19999999999993</v>
      </c>
      <c r="K361" s="103">
        <v>625.36</v>
      </c>
      <c r="L361" s="103">
        <v>608.19999999999993</v>
      </c>
    </row>
    <row r="362" spans="1:12" x14ac:dyDescent="0.25">
      <c r="A362" s="100">
        <v>358</v>
      </c>
      <c r="B362" s="107" t="s">
        <v>1337</v>
      </c>
      <c r="C362" s="108">
        <v>3411451</v>
      </c>
      <c r="D362" s="107" t="s">
        <v>1138</v>
      </c>
      <c r="E362" s="106">
        <v>619.09</v>
      </c>
      <c r="F362" s="106">
        <v>16.32</v>
      </c>
      <c r="G362" s="106">
        <v>597.46</v>
      </c>
      <c r="H362" s="106">
        <v>658.89</v>
      </c>
      <c r="I362" s="103">
        <f t="shared" si="10"/>
        <v>627.25</v>
      </c>
      <c r="J362" s="103">
        <f t="shared" si="11"/>
        <v>610.93000000000006</v>
      </c>
      <c r="K362" s="103">
        <v>627.25</v>
      </c>
      <c r="L362" s="103">
        <v>610.93000000000006</v>
      </c>
    </row>
    <row r="363" spans="1:12" x14ac:dyDescent="0.25">
      <c r="A363" s="104">
        <v>359</v>
      </c>
      <c r="B363" s="107" t="s">
        <v>1318</v>
      </c>
      <c r="C363" s="108">
        <v>3811045</v>
      </c>
      <c r="D363" s="107" t="s">
        <v>1404</v>
      </c>
      <c r="E363" s="106">
        <v>621.23</v>
      </c>
      <c r="F363" s="106">
        <v>17.57</v>
      </c>
      <c r="G363" s="106">
        <v>597.27</v>
      </c>
      <c r="H363" s="106">
        <v>681.47</v>
      </c>
      <c r="I363" s="103">
        <f t="shared" si="10"/>
        <v>630.01499999999999</v>
      </c>
      <c r="J363" s="103">
        <f t="shared" si="11"/>
        <v>612.44500000000005</v>
      </c>
      <c r="K363" s="103">
        <v>630.01499999999999</v>
      </c>
      <c r="L363" s="103">
        <v>612.44500000000005</v>
      </c>
    </row>
    <row r="364" spans="1:12" x14ac:dyDescent="0.25">
      <c r="A364" s="100">
        <v>360</v>
      </c>
      <c r="B364" s="107" t="s">
        <v>1353</v>
      </c>
      <c r="C364" s="108">
        <v>3721201</v>
      </c>
      <c r="D364" s="107" t="s">
        <v>1380</v>
      </c>
      <c r="E364" s="106">
        <v>616.67999999999995</v>
      </c>
      <c r="F364" s="106">
        <v>15.14</v>
      </c>
      <c r="G364" s="106">
        <v>597.02</v>
      </c>
      <c r="H364" s="106">
        <v>665.22</v>
      </c>
      <c r="I364" s="103">
        <f t="shared" si="10"/>
        <v>624.25</v>
      </c>
      <c r="J364" s="103">
        <f t="shared" si="11"/>
        <v>609.1099999999999</v>
      </c>
      <c r="K364" s="103">
        <v>624.25</v>
      </c>
      <c r="L364" s="103">
        <v>609.1099999999999</v>
      </c>
    </row>
    <row r="365" spans="1:12" x14ac:dyDescent="0.25">
      <c r="A365" s="104">
        <v>361</v>
      </c>
      <c r="B365" s="107" t="s">
        <v>1444</v>
      </c>
      <c r="C365" s="108">
        <v>3731161</v>
      </c>
      <c r="D365" s="107" t="s">
        <v>1323</v>
      </c>
      <c r="E365" s="106">
        <v>612.14</v>
      </c>
      <c r="F365" s="106">
        <v>13.37</v>
      </c>
      <c r="G365" s="106">
        <v>596.99</v>
      </c>
      <c r="H365" s="106">
        <v>655.21</v>
      </c>
      <c r="I365" s="103">
        <f t="shared" si="10"/>
        <v>618.82499999999993</v>
      </c>
      <c r="J365" s="103">
        <f t="shared" si="11"/>
        <v>605.45500000000004</v>
      </c>
      <c r="K365" s="103">
        <v>618.82499999999993</v>
      </c>
      <c r="L365" s="103">
        <v>605.45500000000004</v>
      </c>
    </row>
    <row r="366" spans="1:12" x14ac:dyDescent="0.25">
      <c r="A366" s="100">
        <v>362</v>
      </c>
      <c r="B366" s="107" t="s">
        <v>1432</v>
      </c>
      <c r="C366" s="108">
        <v>3241092</v>
      </c>
      <c r="D366" s="107" t="s">
        <v>1331</v>
      </c>
      <c r="E366" s="106">
        <v>611.83000000000004</v>
      </c>
      <c r="F366" s="106">
        <v>12.34</v>
      </c>
      <c r="G366" s="106">
        <v>596.96</v>
      </c>
      <c r="H366" s="106">
        <v>641.74</v>
      </c>
      <c r="I366" s="103">
        <f t="shared" si="10"/>
        <v>618</v>
      </c>
      <c r="J366" s="103">
        <f t="shared" si="11"/>
        <v>605.66000000000008</v>
      </c>
      <c r="K366" s="103">
        <v>618</v>
      </c>
      <c r="L366" s="103">
        <v>605.66000000000008</v>
      </c>
    </row>
    <row r="367" spans="1:12" x14ac:dyDescent="0.25">
      <c r="A367" s="104">
        <v>363</v>
      </c>
      <c r="B367" s="107" t="s">
        <v>1429</v>
      </c>
      <c r="C367" s="108">
        <v>3561223</v>
      </c>
      <c r="D367" s="107" t="s">
        <v>1332</v>
      </c>
      <c r="E367" s="106">
        <v>608.05999999999995</v>
      </c>
      <c r="F367" s="106">
        <v>13.1</v>
      </c>
      <c r="G367" s="106">
        <v>596.89</v>
      </c>
      <c r="H367" s="106">
        <v>652.25</v>
      </c>
      <c r="I367" s="103">
        <f t="shared" si="10"/>
        <v>614.6099999999999</v>
      </c>
      <c r="J367" s="103">
        <f t="shared" si="11"/>
        <v>601.51</v>
      </c>
      <c r="K367" s="103">
        <v>614.6099999999999</v>
      </c>
      <c r="L367" s="103">
        <v>601.51</v>
      </c>
    </row>
    <row r="368" spans="1:12" x14ac:dyDescent="0.25">
      <c r="A368" s="100">
        <v>364</v>
      </c>
      <c r="B368" s="107" t="s">
        <v>1429</v>
      </c>
      <c r="C368" s="108">
        <v>3561111</v>
      </c>
      <c r="D368" s="107" t="s">
        <v>1326</v>
      </c>
      <c r="E368" s="106">
        <v>609</v>
      </c>
      <c r="F368" s="106">
        <v>13.67</v>
      </c>
      <c r="G368" s="106">
        <v>596.76</v>
      </c>
      <c r="H368" s="106">
        <v>666.96</v>
      </c>
      <c r="I368" s="103">
        <f t="shared" si="10"/>
        <v>615.83500000000004</v>
      </c>
      <c r="J368" s="103">
        <f t="shared" si="11"/>
        <v>602.16499999999996</v>
      </c>
      <c r="K368" s="103">
        <v>615.83500000000004</v>
      </c>
      <c r="L368" s="103">
        <v>602.16499999999996</v>
      </c>
    </row>
    <row r="369" spans="1:12" x14ac:dyDescent="0.25">
      <c r="A369" s="104">
        <v>365</v>
      </c>
      <c r="B369" s="107" t="s">
        <v>1421</v>
      </c>
      <c r="C369" s="108">
        <v>3631105</v>
      </c>
      <c r="D369" s="107" t="s">
        <v>1439</v>
      </c>
      <c r="E369" s="106">
        <v>611.79</v>
      </c>
      <c r="F369" s="106">
        <v>12.58</v>
      </c>
      <c r="G369" s="106">
        <v>596.64</v>
      </c>
      <c r="H369" s="106">
        <v>646.74</v>
      </c>
      <c r="I369" s="103">
        <f t="shared" si="10"/>
        <v>618.07999999999993</v>
      </c>
      <c r="J369" s="103">
        <f t="shared" si="11"/>
        <v>605.5</v>
      </c>
      <c r="K369" s="103">
        <v>618.07999999999993</v>
      </c>
      <c r="L369" s="103">
        <v>605.5</v>
      </c>
    </row>
    <row r="370" spans="1:12" x14ac:dyDescent="0.25">
      <c r="A370" s="100">
        <v>366</v>
      </c>
      <c r="B370" s="107" t="s">
        <v>1361</v>
      </c>
      <c r="C370" s="108">
        <v>3531197</v>
      </c>
      <c r="D370" s="107" t="s">
        <v>1422</v>
      </c>
      <c r="E370" s="106">
        <v>612.71</v>
      </c>
      <c r="F370" s="106">
        <v>11.24</v>
      </c>
      <c r="G370" s="106">
        <v>596.62</v>
      </c>
      <c r="H370" s="106">
        <v>634.22</v>
      </c>
      <c r="I370" s="103">
        <f t="shared" si="10"/>
        <v>618.33000000000004</v>
      </c>
      <c r="J370" s="103">
        <f t="shared" si="11"/>
        <v>607.09</v>
      </c>
      <c r="K370" s="103">
        <v>618.33000000000004</v>
      </c>
      <c r="L370" s="103">
        <v>607.09</v>
      </c>
    </row>
    <row r="371" spans="1:12" x14ac:dyDescent="0.25">
      <c r="A371" s="104">
        <v>367</v>
      </c>
      <c r="B371" s="107" t="s">
        <v>1432</v>
      </c>
      <c r="C371" s="108">
        <v>3241084</v>
      </c>
      <c r="D371" s="107" t="s">
        <v>1418</v>
      </c>
      <c r="E371" s="106">
        <v>612.84</v>
      </c>
      <c r="F371" s="106">
        <v>11.83</v>
      </c>
      <c r="G371" s="106">
        <v>596.61</v>
      </c>
      <c r="H371" s="106">
        <v>641.32000000000005</v>
      </c>
      <c r="I371" s="103">
        <f t="shared" si="10"/>
        <v>618.755</v>
      </c>
      <c r="J371" s="103">
        <f t="shared" si="11"/>
        <v>606.92500000000007</v>
      </c>
      <c r="K371" s="103">
        <v>618.755</v>
      </c>
      <c r="L371" s="103">
        <v>606.92500000000007</v>
      </c>
    </row>
    <row r="372" spans="1:12" x14ac:dyDescent="0.25">
      <c r="A372" s="100">
        <v>368</v>
      </c>
      <c r="B372" s="107" t="s">
        <v>1308</v>
      </c>
      <c r="C372" s="108">
        <v>1411226</v>
      </c>
      <c r="D372" s="107" t="s">
        <v>1153</v>
      </c>
      <c r="E372" s="106">
        <v>616.27</v>
      </c>
      <c r="F372" s="106">
        <v>14.77</v>
      </c>
      <c r="G372" s="106">
        <v>596.49</v>
      </c>
      <c r="H372" s="106">
        <v>657.89</v>
      </c>
      <c r="I372" s="103">
        <f t="shared" si="10"/>
        <v>623.65499999999997</v>
      </c>
      <c r="J372" s="103">
        <f t="shared" si="11"/>
        <v>608.88499999999999</v>
      </c>
      <c r="K372" s="103">
        <v>623.65499999999997</v>
      </c>
      <c r="L372" s="103">
        <v>608.88499999999999</v>
      </c>
    </row>
    <row r="373" spans="1:12" x14ac:dyDescent="0.25">
      <c r="A373" s="104">
        <v>369</v>
      </c>
      <c r="B373" s="107" t="s">
        <v>1361</v>
      </c>
      <c r="C373" s="108">
        <v>3531255</v>
      </c>
      <c r="D373" s="107" t="s">
        <v>1425</v>
      </c>
      <c r="E373" s="106">
        <v>613.79</v>
      </c>
      <c r="F373" s="106">
        <v>17.52</v>
      </c>
      <c r="G373" s="106">
        <v>596.41999999999996</v>
      </c>
      <c r="H373" s="106">
        <v>672.96</v>
      </c>
      <c r="I373" s="103">
        <f t="shared" si="10"/>
        <v>622.54999999999995</v>
      </c>
      <c r="J373" s="103">
        <f t="shared" si="11"/>
        <v>605.03</v>
      </c>
      <c r="K373" s="103">
        <v>622.54999999999995</v>
      </c>
      <c r="L373" s="103">
        <v>605.03</v>
      </c>
    </row>
    <row r="374" spans="1:12" x14ac:dyDescent="0.25">
      <c r="A374" s="100">
        <v>370</v>
      </c>
      <c r="B374" s="107" t="s">
        <v>1328</v>
      </c>
      <c r="C374" s="108">
        <v>3821287</v>
      </c>
      <c r="D374" s="107" t="s">
        <v>1236</v>
      </c>
      <c r="E374" s="106">
        <v>611.9</v>
      </c>
      <c r="F374" s="106">
        <v>11.74</v>
      </c>
      <c r="G374" s="106">
        <v>596.41999999999996</v>
      </c>
      <c r="H374" s="106">
        <v>637.27</v>
      </c>
      <c r="I374" s="103">
        <f t="shared" si="10"/>
        <v>617.77</v>
      </c>
      <c r="J374" s="103">
        <f t="shared" si="11"/>
        <v>606.03</v>
      </c>
      <c r="K374" s="103">
        <v>617.77</v>
      </c>
      <c r="L374" s="103">
        <v>606.03</v>
      </c>
    </row>
    <row r="375" spans="1:12" x14ac:dyDescent="0.25">
      <c r="A375" s="104">
        <v>371</v>
      </c>
      <c r="B375" s="107" t="s">
        <v>1429</v>
      </c>
      <c r="C375" s="108">
        <v>3561165</v>
      </c>
      <c r="D375" s="107" t="s">
        <v>1460</v>
      </c>
      <c r="E375" s="106">
        <v>610.16</v>
      </c>
      <c r="F375" s="106">
        <v>12.94</v>
      </c>
      <c r="G375" s="106">
        <v>596.22</v>
      </c>
      <c r="H375" s="106">
        <v>643.24</v>
      </c>
      <c r="I375" s="103">
        <f t="shared" si="10"/>
        <v>616.63</v>
      </c>
      <c r="J375" s="103">
        <f t="shared" si="11"/>
        <v>603.68999999999994</v>
      </c>
      <c r="K375" s="103">
        <v>616.63</v>
      </c>
      <c r="L375" s="103">
        <v>603.68999999999994</v>
      </c>
    </row>
    <row r="376" spans="1:12" x14ac:dyDescent="0.25">
      <c r="A376" s="100">
        <v>372</v>
      </c>
      <c r="B376" s="107" t="s">
        <v>1308</v>
      </c>
      <c r="C376" s="108">
        <v>1411176</v>
      </c>
      <c r="D376" s="107" t="s">
        <v>1332</v>
      </c>
      <c r="E376" s="106">
        <v>615.84</v>
      </c>
      <c r="F376" s="106">
        <v>19.100000000000001</v>
      </c>
      <c r="G376" s="106">
        <v>596.12</v>
      </c>
      <c r="H376" s="106">
        <v>673.52</v>
      </c>
      <c r="I376" s="103">
        <f t="shared" si="10"/>
        <v>625.39</v>
      </c>
      <c r="J376" s="103">
        <f t="shared" si="11"/>
        <v>606.29000000000008</v>
      </c>
      <c r="K376" s="103">
        <v>625.39</v>
      </c>
      <c r="L376" s="103">
        <v>606.29000000000008</v>
      </c>
    </row>
    <row r="377" spans="1:12" x14ac:dyDescent="0.25">
      <c r="A377" s="104">
        <v>373</v>
      </c>
      <c r="B377" s="107" t="s">
        <v>1337</v>
      </c>
      <c r="C377" s="108">
        <v>3411145</v>
      </c>
      <c r="D377" s="107" t="s">
        <v>1461</v>
      </c>
      <c r="E377" s="106">
        <v>618.23</v>
      </c>
      <c r="F377" s="106">
        <v>24.71</v>
      </c>
      <c r="G377" s="106">
        <v>595.85</v>
      </c>
      <c r="H377" s="106">
        <v>718.75</v>
      </c>
      <c r="I377" s="103">
        <f t="shared" si="10"/>
        <v>630.58500000000004</v>
      </c>
      <c r="J377" s="103">
        <f t="shared" si="11"/>
        <v>605.875</v>
      </c>
      <c r="K377" s="103">
        <v>630.58500000000004</v>
      </c>
      <c r="L377" s="103">
        <v>605.875</v>
      </c>
    </row>
    <row r="378" spans="1:12" x14ac:dyDescent="0.25">
      <c r="A378" s="100">
        <v>374</v>
      </c>
      <c r="B378" s="107" t="s">
        <v>1306</v>
      </c>
      <c r="C378" s="108">
        <v>1211104</v>
      </c>
      <c r="D378" s="107" t="s">
        <v>1330</v>
      </c>
      <c r="E378" s="106">
        <v>622.30999999999995</v>
      </c>
      <c r="F378" s="106">
        <v>25.52</v>
      </c>
      <c r="G378" s="106">
        <v>595.77</v>
      </c>
      <c r="H378" s="106">
        <v>716</v>
      </c>
      <c r="I378" s="103">
        <f t="shared" si="10"/>
        <v>635.06999999999994</v>
      </c>
      <c r="J378" s="103">
        <f t="shared" si="11"/>
        <v>609.54999999999995</v>
      </c>
      <c r="K378" s="103">
        <v>635.06999999999994</v>
      </c>
      <c r="L378" s="103">
        <v>609.54999999999995</v>
      </c>
    </row>
    <row r="379" spans="1:12" x14ac:dyDescent="0.25">
      <c r="A379" s="104">
        <v>375</v>
      </c>
      <c r="B379" s="107" t="s">
        <v>1462</v>
      </c>
      <c r="C379" s="108">
        <v>3831057</v>
      </c>
      <c r="D379" s="107" t="s">
        <v>1321</v>
      </c>
      <c r="E379" s="106">
        <v>611.58000000000004</v>
      </c>
      <c r="F379" s="106">
        <v>12.91</v>
      </c>
      <c r="G379" s="106">
        <v>595.74</v>
      </c>
      <c r="H379" s="106">
        <v>646.89</v>
      </c>
      <c r="I379" s="103">
        <f t="shared" si="10"/>
        <v>618.03500000000008</v>
      </c>
      <c r="J379" s="103">
        <f t="shared" si="11"/>
        <v>605.125</v>
      </c>
      <c r="K379" s="103">
        <v>618.03500000000008</v>
      </c>
      <c r="L379" s="103">
        <v>605.125</v>
      </c>
    </row>
    <row r="380" spans="1:12" x14ac:dyDescent="0.25">
      <c r="A380" s="100">
        <v>376</v>
      </c>
      <c r="B380" s="107" t="s">
        <v>1306</v>
      </c>
      <c r="C380" s="108">
        <v>1211247</v>
      </c>
      <c r="D380" s="107" t="s">
        <v>1363</v>
      </c>
      <c r="E380" s="106">
        <v>626.11</v>
      </c>
      <c r="F380" s="106">
        <v>26.62</v>
      </c>
      <c r="G380" s="106">
        <v>595.73</v>
      </c>
      <c r="H380" s="106">
        <v>690.98</v>
      </c>
      <c r="I380" s="103">
        <f t="shared" si="10"/>
        <v>639.41999999999996</v>
      </c>
      <c r="J380" s="103">
        <f t="shared" si="11"/>
        <v>612.80000000000007</v>
      </c>
      <c r="K380" s="103">
        <v>639.41999999999996</v>
      </c>
      <c r="L380" s="103">
        <v>612.80000000000007</v>
      </c>
    </row>
    <row r="381" spans="1:12" x14ac:dyDescent="0.25">
      <c r="A381" s="104">
        <v>377</v>
      </c>
      <c r="B381" s="107" t="s">
        <v>1416</v>
      </c>
      <c r="C381" s="108">
        <v>3341031</v>
      </c>
      <c r="D381" s="107" t="s">
        <v>1445</v>
      </c>
      <c r="E381" s="106">
        <v>610.29999999999995</v>
      </c>
      <c r="F381" s="106">
        <v>14.75</v>
      </c>
      <c r="G381" s="106">
        <v>595.70000000000005</v>
      </c>
      <c r="H381" s="106">
        <v>665.66</v>
      </c>
      <c r="I381" s="103">
        <f t="shared" si="10"/>
        <v>617.67499999999995</v>
      </c>
      <c r="J381" s="103">
        <f t="shared" si="11"/>
        <v>602.92499999999995</v>
      </c>
      <c r="K381" s="103">
        <v>617.67499999999995</v>
      </c>
      <c r="L381" s="103">
        <v>602.92499999999995</v>
      </c>
    </row>
    <row r="382" spans="1:12" x14ac:dyDescent="0.25">
      <c r="A382" s="100">
        <v>378</v>
      </c>
      <c r="B382" s="107" t="s">
        <v>1449</v>
      </c>
      <c r="C382" s="108">
        <v>3851085</v>
      </c>
      <c r="D382" s="107" t="s">
        <v>1339</v>
      </c>
      <c r="E382" s="106">
        <v>609.36</v>
      </c>
      <c r="F382" s="106">
        <v>12.7</v>
      </c>
      <c r="G382" s="106">
        <v>595.34</v>
      </c>
      <c r="H382" s="106">
        <v>644.92999999999995</v>
      </c>
      <c r="I382" s="103">
        <f t="shared" si="10"/>
        <v>615.71</v>
      </c>
      <c r="J382" s="103">
        <f t="shared" si="11"/>
        <v>603.01</v>
      </c>
      <c r="K382" s="103">
        <v>615.71</v>
      </c>
      <c r="L382" s="103">
        <v>603.01</v>
      </c>
    </row>
    <row r="383" spans="1:12" x14ac:dyDescent="0.25">
      <c r="A383" s="104">
        <v>379</v>
      </c>
      <c r="B383" s="107" t="s">
        <v>1449</v>
      </c>
      <c r="C383" s="108">
        <v>3851062</v>
      </c>
      <c r="D383" s="107" t="s">
        <v>1347</v>
      </c>
      <c r="E383" s="106">
        <v>614.36</v>
      </c>
      <c r="F383" s="106">
        <v>14.31</v>
      </c>
      <c r="G383" s="106">
        <v>595.26</v>
      </c>
      <c r="H383" s="106">
        <v>659.69</v>
      </c>
      <c r="I383" s="103">
        <f t="shared" si="10"/>
        <v>621.51499999999999</v>
      </c>
      <c r="J383" s="103">
        <f t="shared" si="11"/>
        <v>607.20500000000004</v>
      </c>
      <c r="K383" s="103">
        <v>621.51499999999999</v>
      </c>
      <c r="L383" s="103">
        <v>607.20500000000004</v>
      </c>
    </row>
    <row r="384" spans="1:12" x14ac:dyDescent="0.25">
      <c r="A384" s="100">
        <v>380</v>
      </c>
      <c r="B384" s="107" t="s">
        <v>1354</v>
      </c>
      <c r="C384" s="108">
        <v>3511123</v>
      </c>
      <c r="D384" s="107" t="s">
        <v>1463</v>
      </c>
      <c r="E384" s="106">
        <v>611.65</v>
      </c>
      <c r="F384" s="106">
        <v>16.02</v>
      </c>
      <c r="G384" s="106">
        <v>595.1</v>
      </c>
      <c r="H384" s="106">
        <v>670.08</v>
      </c>
      <c r="I384" s="103">
        <f t="shared" si="10"/>
        <v>619.66</v>
      </c>
      <c r="J384" s="103">
        <f t="shared" si="11"/>
        <v>603.64</v>
      </c>
      <c r="K384" s="103">
        <v>619.66</v>
      </c>
      <c r="L384" s="103">
        <v>603.64</v>
      </c>
    </row>
    <row r="385" spans="1:12" x14ac:dyDescent="0.25">
      <c r="A385" s="104">
        <v>381</v>
      </c>
      <c r="B385" s="107" t="s">
        <v>1396</v>
      </c>
      <c r="C385" s="108">
        <v>3231066</v>
      </c>
      <c r="D385" s="107" t="s">
        <v>1138</v>
      </c>
      <c r="E385" s="106">
        <v>611.86</v>
      </c>
      <c r="F385" s="106">
        <v>14.89</v>
      </c>
      <c r="G385" s="106">
        <v>594.99</v>
      </c>
      <c r="H385" s="106">
        <v>649.55999999999995</v>
      </c>
      <c r="I385" s="103">
        <f t="shared" si="10"/>
        <v>619.30500000000006</v>
      </c>
      <c r="J385" s="103">
        <f t="shared" si="11"/>
        <v>604.41499999999996</v>
      </c>
      <c r="K385" s="103">
        <v>619.30500000000006</v>
      </c>
      <c r="L385" s="103">
        <v>604.41499999999996</v>
      </c>
    </row>
    <row r="386" spans="1:12" x14ac:dyDescent="0.25">
      <c r="A386" s="100">
        <v>382</v>
      </c>
      <c r="B386" s="107" t="s">
        <v>1421</v>
      </c>
      <c r="C386" s="108">
        <v>3631113</v>
      </c>
      <c r="D386" s="107" t="s">
        <v>1464</v>
      </c>
      <c r="E386" s="106">
        <v>611.01</v>
      </c>
      <c r="F386" s="106">
        <v>17.34</v>
      </c>
      <c r="G386" s="106">
        <v>594.88</v>
      </c>
      <c r="H386" s="106">
        <v>668.95</v>
      </c>
      <c r="I386" s="103">
        <f t="shared" si="10"/>
        <v>619.67999999999995</v>
      </c>
      <c r="J386" s="103">
        <f t="shared" si="11"/>
        <v>602.34</v>
      </c>
      <c r="K386" s="103">
        <v>619.67999999999995</v>
      </c>
      <c r="L386" s="103">
        <v>602.34</v>
      </c>
    </row>
    <row r="387" spans="1:12" x14ac:dyDescent="0.25">
      <c r="A387" s="104">
        <v>383</v>
      </c>
      <c r="B387" s="107" t="s">
        <v>1353</v>
      </c>
      <c r="C387" s="108">
        <v>3721294</v>
      </c>
      <c r="D387" s="107" t="s">
        <v>1465</v>
      </c>
      <c r="E387" s="106">
        <v>617.63</v>
      </c>
      <c r="F387" s="106">
        <v>19.91</v>
      </c>
      <c r="G387" s="106">
        <v>594.75</v>
      </c>
      <c r="H387" s="106">
        <v>681.46</v>
      </c>
      <c r="I387" s="103">
        <f t="shared" si="10"/>
        <v>627.58500000000004</v>
      </c>
      <c r="J387" s="103">
        <f t="shared" si="11"/>
        <v>607.67499999999995</v>
      </c>
      <c r="K387" s="103">
        <v>627.58500000000004</v>
      </c>
      <c r="L387" s="103">
        <v>607.67499999999995</v>
      </c>
    </row>
    <row r="388" spans="1:12" x14ac:dyDescent="0.25">
      <c r="A388" s="100">
        <v>384</v>
      </c>
      <c r="B388" s="107" t="s">
        <v>1308</v>
      </c>
      <c r="C388" s="108">
        <v>1411095</v>
      </c>
      <c r="D388" s="107" t="s">
        <v>1321</v>
      </c>
      <c r="E388" s="106">
        <v>615.04</v>
      </c>
      <c r="F388" s="106">
        <v>19.11</v>
      </c>
      <c r="G388" s="106">
        <v>594.74</v>
      </c>
      <c r="H388" s="106">
        <v>681.64</v>
      </c>
      <c r="I388" s="103">
        <f t="shared" si="10"/>
        <v>624.59499999999991</v>
      </c>
      <c r="J388" s="103">
        <f t="shared" si="11"/>
        <v>605.48500000000001</v>
      </c>
      <c r="K388" s="103">
        <v>624.59499999999991</v>
      </c>
      <c r="L388" s="103">
        <v>605.48500000000001</v>
      </c>
    </row>
    <row r="389" spans="1:12" x14ac:dyDescent="0.25">
      <c r="A389" s="104">
        <v>385</v>
      </c>
      <c r="B389" s="107" t="s">
        <v>1361</v>
      </c>
      <c r="C389" s="108">
        <v>3531031</v>
      </c>
      <c r="D389" s="107" t="s">
        <v>1466</v>
      </c>
      <c r="E389" s="106">
        <v>613.36</v>
      </c>
      <c r="F389" s="106">
        <v>17.12</v>
      </c>
      <c r="G389" s="106">
        <v>594.67999999999995</v>
      </c>
      <c r="H389" s="106">
        <v>678.88</v>
      </c>
      <c r="I389" s="103">
        <f t="shared" si="10"/>
        <v>621.91999999999996</v>
      </c>
      <c r="J389" s="103">
        <f t="shared" si="11"/>
        <v>604.80000000000007</v>
      </c>
      <c r="K389" s="103">
        <v>621.91999999999996</v>
      </c>
      <c r="L389" s="103">
        <v>604.80000000000007</v>
      </c>
    </row>
    <row r="390" spans="1:12" x14ac:dyDescent="0.25">
      <c r="A390" s="100">
        <v>386</v>
      </c>
      <c r="B390" s="107" t="s">
        <v>1353</v>
      </c>
      <c r="C390" s="108">
        <v>3721112</v>
      </c>
      <c r="D390" s="107" t="s">
        <v>1138</v>
      </c>
      <c r="E390" s="106">
        <v>613.58000000000004</v>
      </c>
      <c r="F390" s="106">
        <v>16.43</v>
      </c>
      <c r="G390" s="106">
        <v>594.61</v>
      </c>
      <c r="H390" s="106">
        <v>681.84</v>
      </c>
      <c r="I390" s="103">
        <f t="shared" ref="I390:I453" si="12">E390+0.5*F390</f>
        <v>621.79500000000007</v>
      </c>
      <c r="J390" s="103">
        <f t="shared" ref="J390:J453" si="13">E390-0.5*F390</f>
        <v>605.36500000000001</v>
      </c>
      <c r="K390" s="103">
        <v>621.79500000000007</v>
      </c>
      <c r="L390" s="103">
        <v>605.36500000000001</v>
      </c>
    </row>
    <row r="391" spans="1:12" x14ac:dyDescent="0.25">
      <c r="A391" s="104">
        <v>387</v>
      </c>
      <c r="B391" s="107" t="s">
        <v>1312</v>
      </c>
      <c r="C391" s="108">
        <v>7111382</v>
      </c>
      <c r="D391" s="107" t="s">
        <v>1347</v>
      </c>
      <c r="E391" s="106">
        <v>623.59</v>
      </c>
      <c r="F391" s="106">
        <v>24.04</v>
      </c>
      <c r="G391" s="106">
        <v>594.55999999999995</v>
      </c>
      <c r="H391" s="106">
        <v>683.05</v>
      </c>
      <c r="I391" s="103">
        <f t="shared" si="12"/>
        <v>635.61</v>
      </c>
      <c r="J391" s="103">
        <f t="shared" si="13"/>
        <v>611.57000000000005</v>
      </c>
      <c r="K391" s="103">
        <v>635.61</v>
      </c>
      <c r="L391" s="103">
        <v>611.57000000000005</v>
      </c>
    </row>
    <row r="392" spans="1:12" x14ac:dyDescent="0.25">
      <c r="A392" s="100">
        <v>388</v>
      </c>
      <c r="B392" s="107" t="s">
        <v>1409</v>
      </c>
      <c r="C392" s="108">
        <v>1711214</v>
      </c>
      <c r="D392" s="107" t="s">
        <v>1339</v>
      </c>
      <c r="E392" s="106">
        <v>614.66</v>
      </c>
      <c r="F392" s="106">
        <v>18.45</v>
      </c>
      <c r="G392" s="106">
        <v>594.15</v>
      </c>
      <c r="H392" s="106">
        <v>682.53</v>
      </c>
      <c r="I392" s="103">
        <f t="shared" si="12"/>
        <v>623.88499999999999</v>
      </c>
      <c r="J392" s="103">
        <f t="shared" si="13"/>
        <v>605.43499999999995</v>
      </c>
      <c r="K392" s="103">
        <v>623.88499999999999</v>
      </c>
      <c r="L392" s="103">
        <v>605.43499999999995</v>
      </c>
    </row>
    <row r="393" spans="1:12" x14ac:dyDescent="0.25">
      <c r="A393" s="104">
        <v>389</v>
      </c>
      <c r="B393" s="107" t="s">
        <v>1306</v>
      </c>
      <c r="C393" s="108">
        <v>1211054</v>
      </c>
      <c r="D393" s="107" t="s">
        <v>1322</v>
      </c>
      <c r="E393" s="106">
        <v>618.78</v>
      </c>
      <c r="F393" s="106">
        <v>22.03</v>
      </c>
      <c r="G393" s="106">
        <v>594.04999999999995</v>
      </c>
      <c r="H393" s="106">
        <v>702.37</v>
      </c>
      <c r="I393" s="103">
        <f t="shared" si="12"/>
        <v>629.79499999999996</v>
      </c>
      <c r="J393" s="103">
        <f t="shared" si="13"/>
        <v>607.76499999999999</v>
      </c>
      <c r="K393" s="103">
        <v>629.79499999999996</v>
      </c>
      <c r="L393" s="103">
        <v>607.76499999999999</v>
      </c>
    </row>
    <row r="394" spans="1:12" x14ac:dyDescent="0.25">
      <c r="A394" s="100">
        <v>390</v>
      </c>
      <c r="B394" s="107" t="s">
        <v>1328</v>
      </c>
      <c r="C394" s="108">
        <v>3821225</v>
      </c>
      <c r="D394" s="107" t="s">
        <v>1467</v>
      </c>
      <c r="E394" s="106">
        <v>610.73</v>
      </c>
      <c r="F394" s="106">
        <v>14.3</v>
      </c>
      <c r="G394" s="106">
        <v>593.97</v>
      </c>
      <c r="H394" s="106">
        <v>647.54999999999995</v>
      </c>
      <c r="I394" s="103">
        <f t="shared" si="12"/>
        <v>617.88</v>
      </c>
      <c r="J394" s="103">
        <f t="shared" si="13"/>
        <v>603.58000000000004</v>
      </c>
      <c r="K394" s="103">
        <v>617.88</v>
      </c>
      <c r="L394" s="103">
        <v>603.58000000000004</v>
      </c>
    </row>
    <row r="395" spans="1:12" x14ac:dyDescent="0.25">
      <c r="A395" s="104">
        <v>391</v>
      </c>
      <c r="B395" s="107" t="s">
        <v>1379</v>
      </c>
      <c r="C395" s="108">
        <v>5311295</v>
      </c>
      <c r="D395" s="107" t="s">
        <v>1330</v>
      </c>
      <c r="E395" s="106">
        <v>612.63</v>
      </c>
      <c r="F395" s="106">
        <v>15.88</v>
      </c>
      <c r="G395" s="106">
        <v>593.92999999999995</v>
      </c>
      <c r="H395" s="106">
        <v>667.73</v>
      </c>
      <c r="I395" s="103">
        <f t="shared" si="12"/>
        <v>620.57000000000005</v>
      </c>
      <c r="J395" s="103">
        <f t="shared" si="13"/>
        <v>604.68999999999994</v>
      </c>
      <c r="K395" s="103">
        <v>620.57000000000005</v>
      </c>
      <c r="L395" s="103">
        <v>604.68999999999994</v>
      </c>
    </row>
    <row r="396" spans="1:12" x14ac:dyDescent="0.25">
      <c r="A396" s="100">
        <v>392</v>
      </c>
      <c r="B396" s="107" t="s">
        <v>1421</v>
      </c>
      <c r="C396" s="108">
        <v>3631144</v>
      </c>
      <c r="D396" s="107" t="s">
        <v>1415</v>
      </c>
      <c r="E396" s="106">
        <v>604.17999999999995</v>
      </c>
      <c r="F396" s="106">
        <v>8.91</v>
      </c>
      <c r="G396" s="106">
        <v>593.91</v>
      </c>
      <c r="H396" s="106">
        <v>634.26</v>
      </c>
      <c r="I396" s="103">
        <f t="shared" si="12"/>
        <v>608.63499999999999</v>
      </c>
      <c r="J396" s="103">
        <f t="shared" si="13"/>
        <v>599.72499999999991</v>
      </c>
      <c r="K396" s="103">
        <v>608.63499999999999</v>
      </c>
      <c r="L396" s="103">
        <v>599.72499999999991</v>
      </c>
    </row>
    <row r="397" spans="1:12" x14ac:dyDescent="0.25">
      <c r="A397" s="104">
        <v>393</v>
      </c>
      <c r="B397" s="107" t="s">
        <v>1361</v>
      </c>
      <c r="C397" s="108">
        <v>3531201</v>
      </c>
      <c r="D397" s="107" t="s">
        <v>1445</v>
      </c>
      <c r="E397" s="106">
        <v>609.22</v>
      </c>
      <c r="F397" s="106">
        <v>13.97</v>
      </c>
      <c r="G397" s="106">
        <v>593.9</v>
      </c>
      <c r="H397" s="106">
        <v>654.41999999999996</v>
      </c>
      <c r="I397" s="103">
        <f t="shared" si="12"/>
        <v>616.20500000000004</v>
      </c>
      <c r="J397" s="103">
        <f t="shared" si="13"/>
        <v>602.23500000000001</v>
      </c>
      <c r="K397" s="103">
        <v>616.20500000000004</v>
      </c>
      <c r="L397" s="103">
        <v>602.23500000000001</v>
      </c>
    </row>
    <row r="398" spans="1:12" x14ac:dyDescent="0.25">
      <c r="A398" s="100">
        <v>394</v>
      </c>
      <c r="B398" s="107" t="s">
        <v>1337</v>
      </c>
      <c r="C398" s="108">
        <v>3411393</v>
      </c>
      <c r="D398" s="107" t="s">
        <v>1468</v>
      </c>
      <c r="E398" s="106">
        <v>610.44000000000005</v>
      </c>
      <c r="F398" s="106">
        <v>14.3</v>
      </c>
      <c r="G398" s="106">
        <v>593.88</v>
      </c>
      <c r="H398" s="106">
        <v>653.5</v>
      </c>
      <c r="I398" s="103">
        <f t="shared" si="12"/>
        <v>617.59</v>
      </c>
      <c r="J398" s="103">
        <f t="shared" si="13"/>
        <v>603.29000000000008</v>
      </c>
      <c r="K398" s="103">
        <v>617.59</v>
      </c>
      <c r="L398" s="103">
        <v>603.29000000000008</v>
      </c>
    </row>
    <row r="399" spans="1:12" x14ac:dyDescent="0.25">
      <c r="A399" s="104">
        <v>395</v>
      </c>
      <c r="B399" s="107" t="s">
        <v>1354</v>
      </c>
      <c r="C399" s="108">
        <v>3511243</v>
      </c>
      <c r="D399" s="107" t="s">
        <v>1322</v>
      </c>
      <c r="E399" s="106">
        <v>612.09</v>
      </c>
      <c r="F399" s="106">
        <v>14.19</v>
      </c>
      <c r="G399" s="106">
        <v>593.75</v>
      </c>
      <c r="H399" s="106">
        <v>657.26</v>
      </c>
      <c r="I399" s="103">
        <f t="shared" si="12"/>
        <v>619.18500000000006</v>
      </c>
      <c r="J399" s="103">
        <f t="shared" si="13"/>
        <v>604.995</v>
      </c>
      <c r="K399" s="103">
        <v>619.18500000000006</v>
      </c>
      <c r="L399" s="103">
        <v>604.995</v>
      </c>
    </row>
    <row r="400" spans="1:12" x14ac:dyDescent="0.25">
      <c r="A400" s="100">
        <v>396</v>
      </c>
      <c r="B400" s="107" t="s">
        <v>1337</v>
      </c>
      <c r="C400" s="108">
        <v>3411234</v>
      </c>
      <c r="D400" s="107" t="s">
        <v>1469</v>
      </c>
      <c r="E400" s="106">
        <v>613.21</v>
      </c>
      <c r="F400" s="106">
        <v>17.239999999999998</v>
      </c>
      <c r="G400" s="106">
        <v>593.70000000000005</v>
      </c>
      <c r="H400" s="106">
        <v>694.04</v>
      </c>
      <c r="I400" s="103">
        <f t="shared" si="12"/>
        <v>621.83000000000004</v>
      </c>
      <c r="J400" s="103">
        <f t="shared" si="13"/>
        <v>604.59</v>
      </c>
      <c r="K400" s="103">
        <v>621.83000000000004</v>
      </c>
      <c r="L400" s="103">
        <v>604.59</v>
      </c>
    </row>
    <row r="401" spans="1:12" x14ac:dyDescent="0.25">
      <c r="A401" s="104">
        <v>397</v>
      </c>
      <c r="B401" s="107" t="s">
        <v>1394</v>
      </c>
      <c r="C401" s="108">
        <v>3621165</v>
      </c>
      <c r="D401" s="107" t="s">
        <v>1470</v>
      </c>
      <c r="E401" s="106">
        <v>608.98</v>
      </c>
      <c r="F401" s="106">
        <v>13.01</v>
      </c>
      <c r="G401" s="106">
        <v>593.55999999999995</v>
      </c>
      <c r="H401" s="106">
        <v>636.04</v>
      </c>
      <c r="I401" s="103">
        <f t="shared" si="12"/>
        <v>615.48500000000001</v>
      </c>
      <c r="J401" s="103">
        <f t="shared" si="13"/>
        <v>602.47500000000002</v>
      </c>
      <c r="K401" s="103">
        <v>615.48500000000001</v>
      </c>
      <c r="L401" s="103">
        <v>602.47500000000002</v>
      </c>
    </row>
    <row r="402" spans="1:12" x14ac:dyDescent="0.25">
      <c r="A402" s="100">
        <v>398</v>
      </c>
      <c r="B402" s="107" t="s">
        <v>1444</v>
      </c>
      <c r="C402" s="108">
        <v>3731137</v>
      </c>
      <c r="D402" s="107" t="s">
        <v>1326</v>
      </c>
      <c r="E402" s="106">
        <v>605.77</v>
      </c>
      <c r="F402" s="106">
        <v>12.78</v>
      </c>
      <c r="G402" s="106">
        <v>593.54999999999995</v>
      </c>
      <c r="H402" s="106">
        <v>675.2</v>
      </c>
      <c r="I402" s="103">
        <f t="shared" si="12"/>
        <v>612.16</v>
      </c>
      <c r="J402" s="103">
        <f t="shared" si="13"/>
        <v>599.38</v>
      </c>
      <c r="K402" s="103">
        <v>612.16</v>
      </c>
      <c r="L402" s="103">
        <v>599.38</v>
      </c>
    </row>
    <row r="403" spans="1:12" x14ac:dyDescent="0.25">
      <c r="A403" s="104">
        <v>399</v>
      </c>
      <c r="B403" s="107" t="s">
        <v>1354</v>
      </c>
      <c r="C403" s="108">
        <v>3511146</v>
      </c>
      <c r="D403" s="107" t="s">
        <v>1377</v>
      </c>
      <c r="E403" s="106">
        <v>609.49</v>
      </c>
      <c r="F403" s="106">
        <v>16.53</v>
      </c>
      <c r="G403" s="106">
        <v>593.47</v>
      </c>
      <c r="H403" s="106">
        <v>669.21</v>
      </c>
      <c r="I403" s="103">
        <f t="shared" si="12"/>
        <v>617.755</v>
      </c>
      <c r="J403" s="103">
        <f t="shared" si="13"/>
        <v>601.22500000000002</v>
      </c>
      <c r="K403" s="103">
        <v>617.755</v>
      </c>
      <c r="L403" s="103">
        <v>601.22500000000002</v>
      </c>
    </row>
    <row r="404" spans="1:12" x14ac:dyDescent="0.25">
      <c r="A404" s="100">
        <v>400</v>
      </c>
      <c r="B404" s="107" t="s">
        <v>1383</v>
      </c>
      <c r="C404" s="108">
        <v>6111037</v>
      </c>
      <c r="D404" s="107" t="s">
        <v>1460</v>
      </c>
      <c r="E404" s="106">
        <v>609.86</v>
      </c>
      <c r="F404" s="106">
        <v>15.04</v>
      </c>
      <c r="G404" s="106">
        <v>593.47</v>
      </c>
      <c r="H404" s="106">
        <v>669.03</v>
      </c>
      <c r="I404" s="103">
        <f t="shared" si="12"/>
        <v>617.38</v>
      </c>
      <c r="J404" s="103">
        <f t="shared" si="13"/>
        <v>602.34</v>
      </c>
      <c r="K404" s="103">
        <v>617.38</v>
      </c>
      <c r="L404" s="103">
        <v>602.34</v>
      </c>
    </row>
    <row r="405" spans="1:12" x14ac:dyDescent="0.25">
      <c r="A405" s="104">
        <v>401</v>
      </c>
      <c r="B405" s="107" t="s">
        <v>1394</v>
      </c>
      <c r="C405" s="108">
        <v>3621157</v>
      </c>
      <c r="D405" s="107" t="s">
        <v>1471</v>
      </c>
      <c r="E405" s="106">
        <v>608.62</v>
      </c>
      <c r="F405" s="106">
        <v>12.41</v>
      </c>
      <c r="G405" s="106">
        <v>593.32000000000005</v>
      </c>
      <c r="H405" s="106">
        <v>631.79999999999995</v>
      </c>
      <c r="I405" s="103">
        <f t="shared" si="12"/>
        <v>614.82500000000005</v>
      </c>
      <c r="J405" s="103">
        <f t="shared" si="13"/>
        <v>602.41499999999996</v>
      </c>
      <c r="K405" s="103">
        <v>614.82500000000005</v>
      </c>
      <c r="L405" s="103">
        <v>602.41499999999996</v>
      </c>
    </row>
    <row r="406" spans="1:12" x14ac:dyDescent="0.25">
      <c r="A406" s="100">
        <v>402</v>
      </c>
      <c r="B406" s="107" t="s">
        <v>1337</v>
      </c>
      <c r="C406" s="108">
        <v>3411412</v>
      </c>
      <c r="D406" s="107" t="s">
        <v>1472</v>
      </c>
      <c r="E406" s="106">
        <v>611.99</v>
      </c>
      <c r="F406" s="106">
        <v>13.62</v>
      </c>
      <c r="G406" s="106">
        <v>593.29999999999995</v>
      </c>
      <c r="H406" s="106">
        <v>650.53</v>
      </c>
      <c r="I406" s="103">
        <f t="shared" si="12"/>
        <v>618.79999999999995</v>
      </c>
      <c r="J406" s="103">
        <f t="shared" si="13"/>
        <v>605.18000000000006</v>
      </c>
      <c r="K406" s="103">
        <v>618.79999999999995</v>
      </c>
      <c r="L406" s="103">
        <v>605.18000000000006</v>
      </c>
    </row>
    <row r="407" spans="1:12" x14ac:dyDescent="0.25">
      <c r="A407" s="104">
        <v>403</v>
      </c>
      <c r="B407" s="107" t="s">
        <v>1337</v>
      </c>
      <c r="C407" s="108">
        <v>3411385</v>
      </c>
      <c r="D407" s="107" t="s">
        <v>1473</v>
      </c>
      <c r="E407" s="106">
        <v>613.49</v>
      </c>
      <c r="F407" s="106">
        <v>20.74</v>
      </c>
      <c r="G407" s="106">
        <v>593.28</v>
      </c>
      <c r="H407" s="106">
        <v>670.5</v>
      </c>
      <c r="I407" s="103">
        <f t="shared" si="12"/>
        <v>623.86</v>
      </c>
      <c r="J407" s="103">
        <f t="shared" si="13"/>
        <v>603.12</v>
      </c>
      <c r="K407" s="103">
        <v>623.86</v>
      </c>
      <c r="L407" s="103">
        <v>603.12</v>
      </c>
    </row>
    <row r="408" spans="1:12" x14ac:dyDescent="0.25">
      <c r="A408" s="100">
        <v>404</v>
      </c>
      <c r="B408" s="107" t="s">
        <v>1396</v>
      </c>
      <c r="C408" s="108">
        <v>3231082</v>
      </c>
      <c r="D408" s="107" t="s">
        <v>1374</v>
      </c>
      <c r="E408" s="106">
        <v>607.91999999999996</v>
      </c>
      <c r="F408" s="106">
        <v>14.3</v>
      </c>
      <c r="G408" s="106">
        <v>593.20000000000005</v>
      </c>
      <c r="H408" s="106">
        <v>647.16999999999996</v>
      </c>
      <c r="I408" s="103">
        <f t="shared" si="12"/>
        <v>615.06999999999994</v>
      </c>
      <c r="J408" s="103">
        <f t="shared" si="13"/>
        <v>600.77</v>
      </c>
      <c r="K408" s="103">
        <v>615.06999999999994</v>
      </c>
      <c r="L408" s="103">
        <v>600.77</v>
      </c>
    </row>
    <row r="409" spans="1:12" x14ac:dyDescent="0.25">
      <c r="A409" s="104">
        <v>405</v>
      </c>
      <c r="B409" s="107" t="s">
        <v>1361</v>
      </c>
      <c r="C409" s="108">
        <v>3531313</v>
      </c>
      <c r="D409" s="107" t="s">
        <v>1474</v>
      </c>
      <c r="E409" s="106">
        <v>604.91</v>
      </c>
      <c r="F409" s="106">
        <v>10.78</v>
      </c>
      <c r="G409" s="106">
        <v>592.99</v>
      </c>
      <c r="H409" s="106">
        <v>636.79</v>
      </c>
      <c r="I409" s="103">
        <f t="shared" si="12"/>
        <v>610.29999999999995</v>
      </c>
      <c r="J409" s="103">
        <f t="shared" si="13"/>
        <v>599.52</v>
      </c>
      <c r="K409" s="103">
        <v>610.29999999999995</v>
      </c>
      <c r="L409" s="103">
        <v>599.52</v>
      </c>
    </row>
    <row r="410" spans="1:12" x14ac:dyDescent="0.25">
      <c r="A410" s="100">
        <v>406</v>
      </c>
      <c r="B410" s="107" t="s">
        <v>1308</v>
      </c>
      <c r="C410" s="108">
        <v>1411137</v>
      </c>
      <c r="D410" s="107" t="s">
        <v>1314</v>
      </c>
      <c r="E410" s="106">
        <v>612.45000000000005</v>
      </c>
      <c r="F410" s="106">
        <v>17.09</v>
      </c>
      <c r="G410" s="106">
        <v>592.98</v>
      </c>
      <c r="H410" s="106">
        <v>653.92999999999995</v>
      </c>
      <c r="I410" s="103">
        <f t="shared" si="12"/>
        <v>620.995</v>
      </c>
      <c r="J410" s="103">
        <f t="shared" si="13"/>
        <v>603.90500000000009</v>
      </c>
      <c r="K410" s="103">
        <v>620.995</v>
      </c>
      <c r="L410" s="103">
        <v>603.90500000000009</v>
      </c>
    </row>
    <row r="411" spans="1:12" x14ac:dyDescent="0.25">
      <c r="A411" s="104">
        <v>407</v>
      </c>
      <c r="B411" s="107" t="s">
        <v>1429</v>
      </c>
      <c r="C411" s="108">
        <v>3561231</v>
      </c>
      <c r="D411" s="107" t="s">
        <v>1331</v>
      </c>
      <c r="E411" s="106">
        <v>608.74</v>
      </c>
      <c r="F411" s="106">
        <v>13.11</v>
      </c>
      <c r="G411" s="106">
        <v>592.98</v>
      </c>
      <c r="H411" s="106">
        <v>649.17999999999995</v>
      </c>
      <c r="I411" s="103">
        <f t="shared" si="12"/>
        <v>615.29499999999996</v>
      </c>
      <c r="J411" s="103">
        <f t="shared" si="13"/>
        <v>602.18500000000006</v>
      </c>
      <c r="K411" s="103">
        <v>615.29499999999996</v>
      </c>
      <c r="L411" s="103">
        <v>602.18500000000006</v>
      </c>
    </row>
    <row r="412" spans="1:12" x14ac:dyDescent="0.25">
      <c r="A412" s="100">
        <v>408</v>
      </c>
      <c r="B412" s="107" t="s">
        <v>1427</v>
      </c>
      <c r="C412" s="108">
        <v>3651067</v>
      </c>
      <c r="D412" s="107" t="s">
        <v>1322</v>
      </c>
      <c r="E412" s="106">
        <v>610.70000000000005</v>
      </c>
      <c r="F412" s="106">
        <v>15.78</v>
      </c>
      <c r="G412" s="106">
        <v>592.83000000000004</v>
      </c>
      <c r="H412" s="106">
        <v>654.29</v>
      </c>
      <c r="I412" s="103">
        <f t="shared" si="12"/>
        <v>618.59</v>
      </c>
      <c r="J412" s="103">
        <f t="shared" si="13"/>
        <v>602.81000000000006</v>
      </c>
      <c r="K412" s="103">
        <v>618.59</v>
      </c>
      <c r="L412" s="103">
        <v>602.81000000000006</v>
      </c>
    </row>
    <row r="413" spans="1:12" x14ac:dyDescent="0.25">
      <c r="A413" s="104">
        <v>409</v>
      </c>
      <c r="B413" s="107" t="s">
        <v>1308</v>
      </c>
      <c r="C413" s="108">
        <v>1411273</v>
      </c>
      <c r="D413" s="107" t="s">
        <v>1331</v>
      </c>
      <c r="E413" s="106">
        <v>606.65</v>
      </c>
      <c r="F413" s="106">
        <v>15.63</v>
      </c>
      <c r="G413" s="106">
        <v>592.80999999999995</v>
      </c>
      <c r="H413" s="106">
        <v>652.76</v>
      </c>
      <c r="I413" s="103">
        <f t="shared" si="12"/>
        <v>614.46500000000003</v>
      </c>
      <c r="J413" s="103">
        <f t="shared" si="13"/>
        <v>598.83499999999992</v>
      </c>
      <c r="K413" s="103">
        <v>614.46500000000003</v>
      </c>
      <c r="L413" s="103">
        <v>598.83499999999992</v>
      </c>
    </row>
    <row r="414" spans="1:12" x14ac:dyDescent="0.25">
      <c r="A414" s="100">
        <v>410</v>
      </c>
      <c r="B414" s="107" t="s">
        <v>1359</v>
      </c>
      <c r="C414" s="108">
        <v>3551147</v>
      </c>
      <c r="D414" s="107" t="s">
        <v>1475</v>
      </c>
      <c r="E414" s="106">
        <v>611.37</v>
      </c>
      <c r="F414" s="106">
        <v>19.45</v>
      </c>
      <c r="G414" s="106">
        <v>592.73</v>
      </c>
      <c r="H414" s="106">
        <v>700.22</v>
      </c>
      <c r="I414" s="103">
        <f t="shared" si="12"/>
        <v>621.09500000000003</v>
      </c>
      <c r="J414" s="103">
        <f t="shared" si="13"/>
        <v>601.64499999999998</v>
      </c>
      <c r="K414" s="103">
        <v>621.09500000000003</v>
      </c>
      <c r="L414" s="103">
        <v>601.64499999999998</v>
      </c>
    </row>
    <row r="415" spans="1:12" x14ac:dyDescent="0.25">
      <c r="A415" s="104">
        <v>411</v>
      </c>
      <c r="B415" s="107" t="s">
        <v>1394</v>
      </c>
      <c r="C415" s="108">
        <v>3621432</v>
      </c>
      <c r="D415" s="107" t="s">
        <v>1332</v>
      </c>
      <c r="E415" s="106">
        <v>603.73</v>
      </c>
      <c r="F415" s="106">
        <v>10.26</v>
      </c>
      <c r="G415" s="106">
        <v>592.48</v>
      </c>
      <c r="H415" s="106">
        <v>629.11</v>
      </c>
      <c r="I415" s="103">
        <f t="shared" si="12"/>
        <v>608.86</v>
      </c>
      <c r="J415" s="103">
        <f t="shared" si="13"/>
        <v>598.6</v>
      </c>
      <c r="K415" s="103">
        <v>608.86</v>
      </c>
      <c r="L415" s="103">
        <v>598.6</v>
      </c>
    </row>
    <row r="416" spans="1:12" x14ac:dyDescent="0.25">
      <c r="A416" s="100">
        <v>412</v>
      </c>
      <c r="B416" s="107" t="s">
        <v>1311</v>
      </c>
      <c r="C416" s="108">
        <v>3331156</v>
      </c>
      <c r="D416" s="107" t="s">
        <v>1410</v>
      </c>
      <c r="E416" s="106">
        <v>609.92999999999995</v>
      </c>
      <c r="F416" s="106">
        <v>14.9</v>
      </c>
      <c r="G416" s="106">
        <v>592.44000000000005</v>
      </c>
      <c r="H416" s="106">
        <v>654.20000000000005</v>
      </c>
      <c r="I416" s="103">
        <f t="shared" si="12"/>
        <v>617.38</v>
      </c>
      <c r="J416" s="103">
        <f t="shared" si="13"/>
        <v>602.4799999999999</v>
      </c>
      <c r="K416" s="103">
        <v>617.38</v>
      </c>
      <c r="L416" s="103">
        <v>602.4799999999999</v>
      </c>
    </row>
    <row r="417" spans="1:12" x14ac:dyDescent="0.25">
      <c r="A417" s="104">
        <v>413</v>
      </c>
      <c r="B417" s="107" t="s">
        <v>1307</v>
      </c>
      <c r="C417" s="108">
        <v>3741074</v>
      </c>
      <c r="D417" s="107" t="s">
        <v>1330</v>
      </c>
      <c r="E417" s="106">
        <v>613.55999999999995</v>
      </c>
      <c r="F417" s="106">
        <v>16.100000000000001</v>
      </c>
      <c r="G417" s="106">
        <v>592.29</v>
      </c>
      <c r="H417" s="106">
        <v>655.24</v>
      </c>
      <c r="I417" s="103">
        <f t="shared" si="12"/>
        <v>621.6099999999999</v>
      </c>
      <c r="J417" s="103">
        <f t="shared" si="13"/>
        <v>605.51</v>
      </c>
      <c r="K417" s="103">
        <v>621.6099999999999</v>
      </c>
      <c r="L417" s="103">
        <v>605.51</v>
      </c>
    </row>
    <row r="418" spans="1:12" x14ac:dyDescent="0.25">
      <c r="A418" s="100">
        <v>414</v>
      </c>
      <c r="B418" s="107" t="s">
        <v>1353</v>
      </c>
      <c r="C418" s="108">
        <v>3721321</v>
      </c>
      <c r="D418" s="107" t="s">
        <v>1476</v>
      </c>
      <c r="E418" s="106">
        <v>612.04</v>
      </c>
      <c r="F418" s="106">
        <v>15.93</v>
      </c>
      <c r="G418" s="106">
        <v>592.16999999999996</v>
      </c>
      <c r="H418" s="106">
        <v>644.26</v>
      </c>
      <c r="I418" s="103">
        <f t="shared" si="12"/>
        <v>620.005</v>
      </c>
      <c r="J418" s="103">
        <f t="shared" si="13"/>
        <v>604.07499999999993</v>
      </c>
      <c r="K418" s="103">
        <v>620.005</v>
      </c>
      <c r="L418" s="103">
        <v>604.07499999999993</v>
      </c>
    </row>
    <row r="419" spans="1:12" x14ac:dyDescent="0.25">
      <c r="A419" s="104">
        <v>415</v>
      </c>
      <c r="B419" s="107" t="s">
        <v>1337</v>
      </c>
      <c r="C419" s="108">
        <v>3411466</v>
      </c>
      <c r="D419" s="107" t="s">
        <v>1477</v>
      </c>
      <c r="E419" s="106">
        <v>610.1</v>
      </c>
      <c r="F419" s="106">
        <v>20.07</v>
      </c>
      <c r="G419" s="106">
        <v>592.1</v>
      </c>
      <c r="H419" s="106">
        <v>694.24</v>
      </c>
      <c r="I419" s="103">
        <f t="shared" si="12"/>
        <v>620.13499999999999</v>
      </c>
      <c r="J419" s="103">
        <f t="shared" si="13"/>
        <v>600.06500000000005</v>
      </c>
      <c r="K419" s="103">
        <v>620.13499999999999</v>
      </c>
      <c r="L419" s="103">
        <v>600.06500000000005</v>
      </c>
    </row>
    <row r="420" spans="1:12" x14ac:dyDescent="0.25">
      <c r="A420" s="100">
        <v>416</v>
      </c>
      <c r="B420" s="107" t="s">
        <v>1354</v>
      </c>
      <c r="C420" s="108">
        <v>3511042</v>
      </c>
      <c r="D420" s="107" t="s">
        <v>1138</v>
      </c>
      <c r="E420" s="106">
        <v>607.71</v>
      </c>
      <c r="F420" s="106">
        <v>15.12</v>
      </c>
      <c r="G420" s="106">
        <v>591.88</v>
      </c>
      <c r="H420" s="106">
        <v>656.34</v>
      </c>
      <c r="I420" s="103">
        <f t="shared" si="12"/>
        <v>615.27</v>
      </c>
      <c r="J420" s="103">
        <f t="shared" si="13"/>
        <v>600.15000000000009</v>
      </c>
      <c r="K420" s="103">
        <v>615.27</v>
      </c>
      <c r="L420" s="103">
        <v>600.15000000000009</v>
      </c>
    </row>
    <row r="421" spans="1:12" x14ac:dyDescent="0.25">
      <c r="A421" s="104">
        <v>417</v>
      </c>
      <c r="B421" s="107" t="s">
        <v>1359</v>
      </c>
      <c r="C421" s="108">
        <v>3551035</v>
      </c>
      <c r="D421" s="107" t="s">
        <v>1463</v>
      </c>
      <c r="E421" s="106">
        <v>613.51</v>
      </c>
      <c r="F421" s="106">
        <v>16.059999999999999</v>
      </c>
      <c r="G421" s="106">
        <v>591.61</v>
      </c>
      <c r="H421" s="106">
        <v>663.52</v>
      </c>
      <c r="I421" s="103">
        <f t="shared" si="12"/>
        <v>621.54</v>
      </c>
      <c r="J421" s="103">
        <f t="shared" si="13"/>
        <v>605.48</v>
      </c>
      <c r="K421" s="103">
        <v>621.54</v>
      </c>
      <c r="L421" s="103">
        <v>605.48</v>
      </c>
    </row>
    <row r="422" spans="1:12" x14ac:dyDescent="0.25">
      <c r="A422" s="100">
        <v>418</v>
      </c>
      <c r="B422" s="107" t="s">
        <v>1429</v>
      </c>
      <c r="C422" s="108">
        <v>3561246</v>
      </c>
      <c r="D422" s="107" t="s">
        <v>1329</v>
      </c>
      <c r="E422" s="106">
        <v>602.64</v>
      </c>
      <c r="F422" s="106">
        <v>9.27</v>
      </c>
      <c r="G422" s="106">
        <v>591.47</v>
      </c>
      <c r="H422" s="106">
        <v>621.27</v>
      </c>
      <c r="I422" s="103">
        <f t="shared" si="12"/>
        <v>607.27499999999998</v>
      </c>
      <c r="J422" s="103">
        <f t="shared" si="13"/>
        <v>598.005</v>
      </c>
      <c r="K422" s="103">
        <v>607.27499999999998</v>
      </c>
      <c r="L422" s="103">
        <v>598.005</v>
      </c>
    </row>
    <row r="423" spans="1:12" x14ac:dyDescent="0.25">
      <c r="A423" s="104">
        <v>419</v>
      </c>
      <c r="B423" s="107" t="s">
        <v>1449</v>
      </c>
      <c r="C423" s="108">
        <v>3851093</v>
      </c>
      <c r="D423" s="107" t="s">
        <v>1102</v>
      </c>
      <c r="E423" s="106">
        <v>606.79999999999995</v>
      </c>
      <c r="F423" s="106">
        <v>11.66</v>
      </c>
      <c r="G423" s="106">
        <v>591.45000000000005</v>
      </c>
      <c r="H423" s="106">
        <v>640.66999999999996</v>
      </c>
      <c r="I423" s="103">
        <f t="shared" si="12"/>
        <v>612.63</v>
      </c>
      <c r="J423" s="103">
        <f t="shared" si="13"/>
        <v>600.96999999999991</v>
      </c>
      <c r="K423" s="103">
        <v>612.63</v>
      </c>
      <c r="L423" s="103">
        <v>600.96999999999991</v>
      </c>
    </row>
    <row r="424" spans="1:12" x14ac:dyDescent="0.25">
      <c r="A424" s="100">
        <v>420</v>
      </c>
      <c r="B424" s="107" t="s">
        <v>1382</v>
      </c>
      <c r="C424" s="108">
        <v>5111215</v>
      </c>
      <c r="D424" s="107" t="s">
        <v>1330</v>
      </c>
      <c r="E424" s="106">
        <v>610.24</v>
      </c>
      <c r="F424" s="106">
        <v>16.47</v>
      </c>
      <c r="G424" s="106">
        <v>591.26</v>
      </c>
      <c r="H424" s="106">
        <v>656.97</v>
      </c>
      <c r="I424" s="103">
        <f t="shared" si="12"/>
        <v>618.47500000000002</v>
      </c>
      <c r="J424" s="103">
        <f t="shared" si="13"/>
        <v>602.005</v>
      </c>
      <c r="K424" s="103">
        <v>618.47500000000002</v>
      </c>
      <c r="L424" s="103">
        <v>602.005</v>
      </c>
    </row>
    <row r="425" spans="1:12" x14ac:dyDescent="0.25">
      <c r="A425" s="104">
        <v>421</v>
      </c>
      <c r="B425" s="107" t="s">
        <v>1337</v>
      </c>
      <c r="C425" s="108">
        <v>3411153</v>
      </c>
      <c r="D425" s="107" t="s">
        <v>1478</v>
      </c>
      <c r="E425" s="106">
        <v>605.75</v>
      </c>
      <c r="F425" s="106">
        <v>13.72</v>
      </c>
      <c r="G425" s="106">
        <v>591.24</v>
      </c>
      <c r="H425" s="106">
        <v>654.73</v>
      </c>
      <c r="I425" s="103">
        <f t="shared" si="12"/>
        <v>612.61</v>
      </c>
      <c r="J425" s="103">
        <f t="shared" si="13"/>
        <v>598.89</v>
      </c>
      <c r="K425" s="103">
        <v>612.61</v>
      </c>
      <c r="L425" s="103">
        <v>598.89</v>
      </c>
    </row>
    <row r="426" spans="1:12" x14ac:dyDescent="0.25">
      <c r="A426" s="100">
        <v>422</v>
      </c>
      <c r="B426" s="107" t="s">
        <v>1409</v>
      </c>
      <c r="C426" s="108">
        <v>1711036</v>
      </c>
      <c r="D426" s="107" t="s">
        <v>1316</v>
      </c>
      <c r="E426" s="106">
        <v>614.55999999999995</v>
      </c>
      <c r="F426" s="106">
        <v>17.55</v>
      </c>
      <c r="G426" s="106">
        <v>591.23</v>
      </c>
      <c r="H426" s="106">
        <v>664.63</v>
      </c>
      <c r="I426" s="103">
        <f t="shared" si="12"/>
        <v>623.33499999999992</v>
      </c>
      <c r="J426" s="103">
        <f t="shared" si="13"/>
        <v>605.78499999999997</v>
      </c>
      <c r="K426" s="103">
        <v>623.33499999999992</v>
      </c>
      <c r="L426" s="103">
        <v>605.78499999999997</v>
      </c>
    </row>
    <row r="427" spans="1:12" x14ac:dyDescent="0.25">
      <c r="A427" s="104">
        <v>423</v>
      </c>
      <c r="B427" s="107" t="s">
        <v>1449</v>
      </c>
      <c r="C427" s="108">
        <v>3851046</v>
      </c>
      <c r="D427" s="107" t="s">
        <v>1322</v>
      </c>
      <c r="E427" s="106">
        <v>606.16999999999996</v>
      </c>
      <c r="F427" s="106">
        <v>12.42</v>
      </c>
      <c r="G427" s="106">
        <v>591.09</v>
      </c>
      <c r="H427" s="106">
        <v>650.44000000000005</v>
      </c>
      <c r="I427" s="103">
        <f t="shared" si="12"/>
        <v>612.38</v>
      </c>
      <c r="J427" s="103">
        <f t="shared" si="13"/>
        <v>599.95999999999992</v>
      </c>
      <c r="K427" s="103">
        <v>612.38</v>
      </c>
      <c r="L427" s="103">
        <v>599.95999999999992</v>
      </c>
    </row>
    <row r="428" spans="1:12" x14ac:dyDescent="0.25">
      <c r="A428" s="100">
        <v>424</v>
      </c>
      <c r="B428" s="107" t="s">
        <v>1306</v>
      </c>
      <c r="C428" s="108">
        <v>1211232</v>
      </c>
      <c r="D428" s="107" t="s">
        <v>1340</v>
      </c>
      <c r="E428" s="106">
        <v>614.91</v>
      </c>
      <c r="F428" s="106">
        <v>21.48</v>
      </c>
      <c r="G428" s="106">
        <v>590.95000000000005</v>
      </c>
      <c r="H428" s="106">
        <v>674.5</v>
      </c>
      <c r="I428" s="103">
        <f t="shared" si="12"/>
        <v>625.65</v>
      </c>
      <c r="J428" s="103">
        <f t="shared" si="13"/>
        <v>604.16999999999996</v>
      </c>
      <c r="K428" s="103">
        <v>625.65</v>
      </c>
      <c r="L428" s="103">
        <v>604.16999999999996</v>
      </c>
    </row>
    <row r="429" spans="1:12" x14ac:dyDescent="0.25">
      <c r="A429" s="104">
        <v>425</v>
      </c>
      <c r="B429" s="107" t="s">
        <v>1353</v>
      </c>
      <c r="C429" s="108">
        <v>3721271</v>
      </c>
      <c r="D429" s="107" t="s">
        <v>1439</v>
      </c>
      <c r="E429" s="106">
        <v>607.85</v>
      </c>
      <c r="F429" s="106">
        <v>14.98</v>
      </c>
      <c r="G429" s="106">
        <v>590.9</v>
      </c>
      <c r="H429" s="106">
        <v>702.94</v>
      </c>
      <c r="I429" s="103">
        <f t="shared" si="12"/>
        <v>615.34</v>
      </c>
      <c r="J429" s="103">
        <f t="shared" si="13"/>
        <v>600.36</v>
      </c>
      <c r="K429" s="103">
        <v>615.34</v>
      </c>
      <c r="L429" s="103">
        <v>600.36</v>
      </c>
    </row>
    <row r="430" spans="1:12" x14ac:dyDescent="0.25">
      <c r="A430" s="100">
        <v>426</v>
      </c>
      <c r="B430" s="107" t="s">
        <v>1361</v>
      </c>
      <c r="C430" s="108">
        <v>3531182</v>
      </c>
      <c r="D430" s="107" t="s">
        <v>1448</v>
      </c>
      <c r="E430" s="106">
        <v>603.92999999999995</v>
      </c>
      <c r="F430" s="106">
        <v>10.119999999999999</v>
      </c>
      <c r="G430" s="106">
        <v>590.86</v>
      </c>
      <c r="H430" s="106">
        <v>628.66</v>
      </c>
      <c r="I430" s="103">
        <f t="shared" si="12"/>
        <v>608.9899999999999</v>
      </c>
      <c r="J430" s="103">
        <f t="shared" si="13"/>
        <v>598.87</v>
      </c>
      <c r="K430" s="103">
        <v>608.9899999999999</v>
      </c>
      <c r="L430" s="103">
        <v>598.87</v>
      </c>
    </row>
    <row r="431" spans="1:12" x14ac:dyDescent="0.25">
      <c r="A431" s="104">
        <v>427</v>
      </c>
      <c r="B431" s="107" t="s">
        <v>1409</v>
      </c>
      <c r="C431" s="108">
        <v>1711326</v>
      </c>
      <c r="D431" s="107" t="s">
        <v>1330</v>
      </c>
      <c r="E431" s="106">
        <v>610.08000000000004</v>
      </c>
      <c r="F431" s="106">
        <v>17.77</v>
      </c>
      <c r="G431" s="106">
        <v>590.67999999999995</v>
      </c>
      <c r="H431" s="106">
        <v>659.26</v>
      </c>
      <c r="I431" s="103">
        <f t="shared" si="12"/>
        <v>618.96500000000003</v>
      </c>
      <c r="J431" s="103">
        <f t="shared" si="13"/>
        <v>601.19500000000005</v>
      </c>
      <c r="K431" s="103">
        <v>618.96500000000003</v>
      </c>
      <c r="L431" s="103">
        <v>601.19500000000005</v>
      </c>
    </row>
    <row r="432" spans="1:12" x14ac:dyDescent="0.25">
      <c r="A432" s="100">
        <v>428</v>
      </c>
      <c r="B432" s="107" t="s">
        <v>1333</v>
      </c>
      <c r="C432" s="108">
        <v>3221041</v>
      </c>
      <c r="D432" s="107" t="s">
        <v>1321</v>
      </c>
      <c r="E432" s="106">
        <v>605.29</v>
      </c>
      <c r="F432" s="106">
        <v>12.9</v>
      </c>
      <c r="G432" s="106">
        <v>590.55999999999995</v>
      </c>
      <c r="H432" s="106">
        <v>652.03</v>
      </c>
      <c r="I432" s="103">
        <f t="shared" si="12"/>
        <v>611.74</v>
      </c>
      <c r="J432" s="103">
        <f t="shared" si="13"/>
        <v>598.83999999999992</v>
      </c>
      <c r="K432" s="103">
        <v>611.74</v>
      </c>
      <c r="L432" s="103">
        <v>598.83999999999992</v>
      </c>
    </row>
    <row r="433" spans="1:12" x14ac:dyDescent="0.25">
      <c r="A433" s="104">
        <v>429</v>
      </c>
      <c r="B433" s="107" t="s">
        <v>1318</v>
      </c>
      <c r="C433" s="108">
        <v>3811076</v>
      </c>
      <c r="D433" s="107" t="s">
        <v>1138</v>
      </c>
      <c r="E433" s="106">
        <v>604.42999999999995</v>
      </c>
      <c r="F433" s="106">
        <v>10.09</v>
      </c>
      <c r="G433" s="106">
        <v>590.54</v>
      </c>
      <c r="H433" s="106">
        <v>629.14</v>
      </c>
      <c r="I433" s="103">
        <f t="shared" si="12"/>
        <v>609.47499999999991</v>
      </c>
      <c r="J433" s="103">
        <f t="shared" si="13"/>
        <v>599.38499999999999</v>
      </c>
      <c r="K433" s="103">
        <v>609.47499999999991</v>
      </c>
      <c r="L433" s="103">
        <v>599.38499999999999</v>
      </c>
    </row>
    <row r="434" spans="1:12" x14ac:dyDescent="0.25">
      <c r="A434" s="100">
        <v>430</v>
      </c>
      <c r="B434" s="107" t="s">
        <v>1318</v>
      </c>
      <c r="C434" s="108">
        <v>3811061</v>
      </c>
      <c r="D434" s="107" t="s">
        <v>1374</v>
      </c>
      <c r="E434" s="106">
        <v>615.27</v>
      </c>
      <c r="F434" s="106">
        <v>26.34</v>
      </c>
      <c r="G434" s="106">
        <v>590.48</v>
      </c>
      <c r="H434" s="106">
        <v>726.74</v>
      </c>
      <c r="I434" s="103">
        <f t="shared" si="12"/>
        <v>628.43999999999994</v>
      </c>
      <c r="J434" s="103">
        <f t="shared" si="13"/>
        <v>602.1</v>
      </c>
      <c r="K434" s="103">
        <v>628.43999999999994</v>
      </c>
      <c r="L434" s="103">
        <v>602.1</v>
      </c>
    </row>
    <row r="435" spans="1:12" x14ac:dyDescent="0.25">
      <c r="A435" s="104">
        <v>431</v>
      </c>
      <c r="B435" s="107" t="s">
        <v>1449</v>
      </c>
      <c r="C435" s="108">
        <v>3851104</v>
      </c>
      <c r="D435" s="107" t="s">
        <v>1323</v>
      </c>
      <c r="E435" s="106">
        <v>605.19000000000005</v>
      </c>
      <c r="F435" s="106">
        <v>12.73</v>
      </c>
      <c r="G435" s="106">
        <v>590.39</v>
      </c>
      <c r="H435" s="106">
        <v>638.53</v>
      </c>
      <c r="I435" s="103">
        <f t="shared" si="12"/>
        <v>611.55500000000006</v>
      </c>
      <c r="J435" s="103">
        <f t="shared" si="13"/>
        <v>598.82500000000005</v>
      </c>
      <c r="K435" s="103">
        <v>611.55500000000006</v>
      </c>
      <c r="L435" s="103">
        <v>598.82500000000005</v>
      </c>
    </row>
    <row r="436" spans="1:12" x14ac:dyDescent="0.25">
      <c r="A436" s="100">
        <v>432</v>
      </c>
      <c r="B436" s="107" t="s">
        <v>1337</v>
      </c>
      <c r="C436" s="108">
        <v>3411281</v>
      </c>
      <c r="D436" s="107" t="s">
        <v>1479</v>
      </c>
      <c r="E436" s="106">
        <v>612.14</v>
      </c>
      <c r="F436" s="106">
        <v>21.29</v>
      </c>
      <c r="G436" s="106">
        <v>590.26</v>
      </c>
      <c r="H436" s="106">
        <v>692.1</v>
      </c>
      <c r="I436" s="103">
        <f t="shared" si="12"/>
        <v>622.78499999999997</v>
      </c>
      <c r="J436" s="103">
        <f t="shared" si="13"/>
        <v>601.495</v>
      </c>
      <c r="K436" s="103">
        <v>622.78499999999997</v>
      </c>
      <c r="L436" s="103">
        <v>601.495</v>
      </c>
    </row>
    <row r="437" spans="1:12" x14ac:dyDescent="0.25">
      <c r="A437" s="104">
        <v>433</v>
      </c>
      <c r="B437" s="107" t="s">
        <v>1354</v>
      </c>
      <c r="C437" s="108">
        <v>3511011</v>
      </c>
      <c r="D437" s="107" t="s">
        <v>1374</v>
      </c>
      <c r="E437" s="106">
        <v>604.17999999999995</v>
      </c>
      <c r="F437" s="106">
        <v>13.61</v>
      </c>
      <c r="G437" s="106">
        <v>590.21</v>
      </c>
      <c r="H437" s="106">
        <v>649.08000000000004</v>
      </c>
      <c r="I437" s="103">
        <f t="shared" si="12"/>
        <v>610.9849999999999</v>
      </c>
      <c r="J437" s="103">
        <f t="shared" si="13"/>
        <v>597.375</v>
      </c>
      <c r="K437" s="103">
        <v>610.9849999999999</v>
      </c>
      <c r="L437" s="103">
        <v>597.375</v>
      </c>
    </row>
    <row r="438" spans="1:12" x14ac:dyDescent="0.25">
      <c r="A438" s="100">
        <v>434</v>
      </c>
      <c r="B438" s="107" t="s">
        <v>1311</v>
      </c>
      <c r="C438" s="108">
        <v>3331133</v>
      </c>
      <c r="D438" s="107" t="s">
        <v>1475</v>
      </c>
      <c r="E438" s="106">
        <v>611.53</v>
      </c>
      <c r="F438" s="106">
        <v>17.39</v>
      </c>
      <c r="G438" s="106">
        <v>590.16</v>
      </c>
      <c r="H438" s="106">
        <v>665.4</v>
      </c>
      <c r="I438" s="103">
        <f t="shared" si="12"/>
        <v>620.22500000000002</v>
      </c>
      <c r="J438" s="103">
        <f t="shared" si="13"/>
        <v>602.83499999999992</v>
      </c>
      <c r="K438" s="103">
        <v>620.22500000000002</v>
      </c>
      <c r="L438" s="103">
        <v>602.83499999999992</v>
      </c>
    </row>
    <row r="439" spans="1:12" x14ac:dyDescent="0.25">
      <c r="A439" s="104">
        <v>435</v>
      </c>
      <c r="B439" s="107" t="s">
        <v>1462</v>
      </c>
      <c r="C439" s="108">
        <v>3831011</v>
      </c>
      <c r="D439" s="107" t="s">
        <v>1480</v>
      </c>
      <c r="E439" s="106">
        <v>610.65</v>
      </c>
      <c r="F439" s="106">
        <v>18.850000000000001</v>
      </c>
      <c r="G439" s="106">
        <v>590.12</v>
      </c>
      <c r="H439" s="106">
        <v>659.5</v>
      </c>
      <c r="I439" s="103">
        <f t="shared" si="12"/>
        <v>620.07499999999993</v>
      </c>
      <c r="J439" s="103">
        <f t="shared" si="13"/>
        <v>601.22500000000002</v>
      </c>
      <c r="K439" s="103">
        <v>620.07499999999993</v>
      </c>
      <c r="L439" s="103">
        <v>601.22500000000002</v>
      </c>
    </row>
    <row r="440" spans="1:12" x14ac:dyDescent="0.25">
      <c r="A440" s="100">
        <v>436</v>
      </c>
      <c r="B440" s="107" t="s">
        <v>1359</v>
      </c>
      <c r="C440" s="108">
        <v>3551124</v>
      </c>
      <c r="D440" s="107" t="s">
        <v>1481</v>
      </c>
      <c r="E440" s="106">
        <v>605.36</v>
      </c>
      <c r="F440" s="106">
        <v>19.32</v>
      </c>
      <c r="G440" s="106">
        <v>590.04</v>
      </c>
      <c r="H440" s="106">
        <v>740.78</v>
      </c>
      <c r="I440" s="103">
        <f t="shared" si="12"/>
        <v>615.02</v>
      </c>
      <c r="J440" s="103">
        <f t="shared" si="13"/>
        <v>595.70000000000005</v>
      </c>
      <c r="K440" s="103">
        <v>615.02</v>
      </c>
      <c r="L440" s="103">
        <v>595.70000000000005</v>
      </c>
    </row>
    <row r="441" spans="1:12" x14ac:dyDescent="0.25">
      <c r="A441" s="104">
        <v>437</v>
      </c>
      <c r="B441" s="107" t="s">
        <v>1416</v>
      </c>
      <c r="C441" s="108">
        <v>3341046</v>
      </c>
      <c r="D441" s="107" t="s">
        <v>1422</v>
      </c>
      <c r="E441" s="106">
        <v>604.75</v>
      </c>
      <c r="F441" s="106">
        <v>11.51</v>
      </c>
      <c r="G441" s="106">
        <v>590.02</v>
      </c>
      <c r="H441" s="106">
        <v>634.08000000000004</v>
      </c>
      <c r="I441" s="103">
        <f t="shared" si="12"/>
        <v>610.505</v>
      </c>
      <c r="J441" s="103">
        <f t="shared" si="13"/>
        <v>598.995</v>
      </c>
      <c r="K441" s="103">
        <v>610.505</v>
      </c>
      <c r="L441" s="103">
        <v>598.995</v>
      </c>
    </row>
    <row r="442" spans="1:12" x14ac:dyDescent="0.25">
      <c r="A442" s="100">
        <v>438</v>
      </c>
      <c r="B442" s="107" t="s">
        <v>1306</v>
      </c>
      <c r="C442" s="108">
        <v>1211062</v>
      </c>
      <c r="D442" s="107" t="s">
        <v>1316</v>
      </c>
      <c r="E442" s="106">
        <v>609.41</v>
      </c>
      <c r="F442" s="106">
        <v>17.63</v>
      </c>
      <c r="G442" s="106">
        <v>589.72</v>
      </c>
      <c r="H442" s="106">
        <v>681.91</v>
      </c>
      <c r="I442" s="103">
        <f t="shared" si="12"/>
        <v>618.22500000000002</v>
      </c>
      <c r="J442" s="103">
        <f t="shared" si="13"/>
        <v>600.59499999999991</v>
      </c>
      <c r="K442" s="103">
        <v>618.22500000000002</v>
      </c>
      <c r="L442" s="103">
        <v>600.59499999999991</v>
      </c>
    </row>
    <row r="443" spans="1:12" x14ac:dyDescent="0.25">
      <c r="A443" s="104">
        <v>439</v>
      </c>
      <c r="B443" s="107" t="s">
        <v>1444</v>
      </c>
      <c r="C443" s="108">
        <v>3731033</v>
      </c>
      <c r="D443" s="107" t="s">
        <v>1422</v>
      </c>
      <c r="E443" s="106">
        <v>604.08000000000004</v>
      </c>
      <c r="F443" s="106">
        <v>13</v>
      </c>
      <c r="G443" s="106">
        <v>589.62</v>
      </c>
      <c r="H443" s="106">
        <v>638.72</v>
      </c>
      <c r="I443" s="103">
        <f t="shared" si="12"/>
        <v>610.58000000000004</v>
      </c>
      <c r="J443" s="103">
        <f t="shared" si="13"/>
        <v>597.58000000000004</v>
      </c>
      <c r="K443" s="103">
        <v>610.58000000000004</v>
      </c>
      <c r="L443" s="103">
        <v>597.58000000000004</v>
      </c>
    </row>
    <row r="444" spans="1:12" x14ac:dyDescent="0.25">
      <c r="A444" s="100">
        <v>440</v>
      </c>
      <c r="B444" s="107" t="s">
        <v>1409</v>
      </c>
      <c r="C444" s="108">
        <v>1711021</v>
      </c>
      <c r="D444" s="107" t="s">
        <v>1424</v>
      </c>
      <c r="E444" s="106">
        <v>608.91999999999996</v>
      </c>
      <c r="F444" s="106">
        <v>15.23</v>
      </c>
      <c r="G444" s="106">
        <v>589.51</v>
      </c>
      <c r="H444" s="106">
        <v>652.66</v>
      </c>
      <c r="I444" s="103">
        <f t="shared" si="12"/>
        <v>616.53499999999997</v>
      </c>
      <c r="J444" s="103">
        <f t="shared" si="13"/>
        <v>601.30499999999995</v>
      </c>
      <c r="K444" s="103">
        <v>616.53499999999997</v>
      </c>
      <c r="L444" s="103">
        <v>601.30499999999995</v>
      </c>
    </row>
    <row r="445" spans="1:12" x14ac:dyDescent="0.25">
      <c r="A445" s="104">
        <v>441</v>
      </c>
      <c r="B445" s="107" t="s">
        <v>1432</v>
      </c>
      <c r="C445" s="108">
        <v>3241014</v>
      </c>
      <c r="D445" s="107" t="s">
        <v>1314</v>
      </c>
      <c r="E445" s="106">
        <v>606.25</v>
      </c>
      <c r="F445" s="106">
        <v>12.35</v>
      </c>
      <c r="G445" s="106">
        <v>589.49</v>
      </c>
      <c r="H445" s="106">
        <v>639.42999999999995</v>
      </c>
      <c r="I445" s="103">
        <f t="shared" si="12"/>
        <v>612.42499999999995</v>
      </c>
      <c r="J445" s="103">
        <f t="shared" si="13"/>
        <v>600.07500000000005</v>
      </c>
      <c r="K445" s="103">
        <v>612.42499999999995</v>
      </c>
      <c r="L445" s="103">
        <v>600.07500000000005</v>
      </c>
    </row>
    <row r="446" spans="1:12" x14ac:dyDescent="0.25">
      <c r="A446" s="100">
        <v>442</v>
      </c>
      <c r="B446" s="107" t="s">
        <v>1429</v>
      </c>
      <c r="C446" s="108">
        <v>3561126</v>
      </c>
      <c r="D446" s="107" t="s">
        <v>1374</v>
      </c>
      <c r="E446" s="106">
        <v>600.51</v>
      </c>
      <c r="F446" s="106">
        <v>11.74</v>
      </c>
      <c r="G446" s="106">
        <v>589.49</v>
      </c>
      <c r="H446" s="106">
        <v>641.03</v>
      </c>
      <c r="I446" s="103">
        <f t="shared" si="12"/>
        <v>606.38</v>
      </c>
      <c r="J446" s="103">
        <f t="shared" si="13"/>
        <v>594.64</v>
      </c>
      <c r="K446" s="103">
        <v>606.38</v>
      </c>
      <c r="L446" s="103">
        <v>594.64</v>
      </c>
    </row>
    <row r="447" spans="1:12" x14ac:dyDescent="0.25">
      <c r="A447" s="104">
        <v>443</v>
      </c>
      <c r="B447" s="107" t="s">
        <v>1383</v>
      </c>
      <c r="C447" s="108">
        <v>6111223</v>
      </c>
      <c r="D447" s="107" t="s">
        <v>1482</v>
      </c>
      <c r="E447" s="106">
        <v>615.03</v>
      </c>
      <c r="F447" s="106">
        <v>17.809999999999999</v>
      </c>
      <c r="G447" s="106">
        <v>589.34</v>
      </c>
      <c r="H447" s="106">
        <v>658.4</v>
      </c>
      <c r="I447" s="103">
        <f t="shared" si="12"/>
        <v>623.93499999999995</v>
      </c>
      <c r="J447" s="103">
        <f t="shared" si="13"/>
        <v>606.125</v>
      </c>
      <c r="K447" s="103">
        <v>623.93499999999995</v>
      </c>
      <c r="L447" s="103">
        <v>606.125</v>
      </c>
    </row>
    <row r="448" spans="1:12" x14ac:dyDescent="0.25">
      <c r="A448" s="100">
        <v>444</v>
      </c>
      <c r="B448" s="107" t="s">
        <v>1449</v>
      </c>
      <c r="C448" s="108">
        <v>3851077</v>
      </c>
      <c r="D448" s="107" t="s">
        <v>1329</v>
      </c>
      <c r="E448" s="106">
        <v>602.88</v>
      </c>
      <c r="F448" s="106">
        <v>11.91</v>
      </c>
      <c r="G448" s="106">
        <v>589.27</v>
      </c>
      <c r="H448" s="106">
        <v>642.95000000000005</v>
      </c>
      <c r="I448" s="103">
        <f t="shared" si="12"/>
        <v>608.83500000000004</v>
      </c>
      <c r="J448" s="103">
        <f t="shared" si="13"/>
        <v>596.92499999999995</v>
      </c>
      <c r="K448" s="103">
        <v>608.83500000000004</v>
      </c>
      <c r="L448" s="103">
        <v>596.92499999999995</v>
      </c>
    </row>
    <row r="449" spans="1:12" x14ac:dyDescent="0.25">
      <c r="A449" s="104">
        <v>445</v>
      </c>
      <c r="B449" s="107" t="s">
        <v>1429</v>
      </c>
      <c r="C449" s="108">
        <v>3561134</v>
      </c>
      <c r="D449" s="107" t="s">
        <v>1418</v>
      </c>
      <c r="E449" s="106">
        <v>604.65</v>
      </c>
      <c r="F449" s="106">
        <v>11.64</v>
      </c>
      <c r="G449" s="106">
        <v>588.94000000000005</v>
      </c>
      <c r="H449" s="106">
        <v>635.74</v>
      </c>
      <c r="I449" s="103">
        <f t="shared" si="12"/>
        <v>610.47</v>
      </c>
      <c r="J449" s="103">
        <f t="shared" si="13"/>
        <v>598.82999999999993</v>
      </c>
      <c r="K449" s="103">
        <v>610.47</v>
      </c>
      <c r="L449" s="103">
        <v>598.82999999999993</v>
      </c>
    </row>
    <row r="450" spans="1:12" x14ac:dyDescent="0.25">
      <c r="A450" s="100">
        <v>446</v>
      </c>
      <c r="B450" s="107" t="s">
        <v>1462</v>
      </c>
      <c r="C450" s="108">
        <v>3831073</v>
      </c>
      <c r="D450" s="107" t="s">
        <v>1326</v>
      </c>
      <c r="E450" s="106">
        <v>604.15</v>
      </c>
      <c r="F450" s="106">
        <v>12.74</v>
      </c>
      <c r="G450" s="106">
        <v>588.84</v>
      </c>
      <c r="H450" s="106">
        <v>627.1</v>
      </c>
      <c r="I450" s="103">
        <f t="shared" si="12"/>
        <v>610.52</v>
      </c>
      <c r="J450" s="103">
        <f t="shared" si="13"/>
        <v>597.78</v>
      </c>
      <c r="K450" s="103">
        <v>610.52</v>
      </c>
      <c r="L450" s="103">
        <v>597.78</v>
      </c>
    </row>
    <row r="451" spans="1:12" x14ac:dyDescent="0.25">
      <c r="A451" s="104">
        <v>447</v>
      </c>
      <c r="B451" s="107" t="s">
        <v>1383</v>
      </c>
      <c r="C451" s="108">
        <v>6111022</v>
      </c>
      <c r="D451" s="107" t="s">
        <v>1404</v>
      </c>
      <c r="E451" s="106">
        <v>610.27</v>
      </c>
      <c r="F451" s="106">
        <v>27.36</v>
      </c>
      <c r="G451" s="106">
        <v>588.54999999999995</v>
      </c>
      <c r="H451" s="106">
        <v>731.56</v>
      </c>
      <c r="I451" s="103">
        <f t="shared" si="12"/>
        <v>623.94999999999993</v>
      </c>
      <c r="J451" s="103">
        <f t="shared" si="13"/>
        <v>596.59</v>
      </c>
      <c r="K451" s="103">
        <v>623.94999999999993</v>
      </c>
      <c r="L451" s="103">
        <v>596.59</v>
      </c>
    </row>
    <row r="452" spans="1:12" x14ac:dyDescent="0.25">
      <c r="A452" s="100">
        <v>448</v>
      </c>
      <c r="B452" s="107" t="s">
        <v>1396</v>
      </c>
      <c r="C452" s="108">
        <v>3231035</v>
      </c>
      <c r="D452" s="107" t="s">
        <v>1422</v>
      </c>
      <c r="E452" s="106">
        <v>605.77</v>
      </c>
      <c r="F452" s="106">
        <v>15.7</v>
      </c>
      <c r="G452" s="106">
        <v>588.24</v>
      </c>
      <c r="H452" s="106">
        <v>638.48</v>
      </c>
      <c r="I452" s="103">
        <f t="shared" si="12"/>
        <v>613.62</v>
      </c>
      <c r="J452" s="103">
        <f t="shared" si="13"/>
        <v>597.91999999999996</v>
      </c>
      <c r="K452" s="103">
        <v>613.62</v>
      </c>
      <c r="L452" s="103">
        <v>597.91999999999996</v>
      </c>
    </row>
    <row r="453" spans="1:12" x14ac:dyDescent="0.25">
      <c r="A453" s="104">
        <v>449</v>
      </c>
      <c r="B453" s="107" t="s">
        <v>1354</v>
      </c>
      <c r="C453" s="108">
        <v>3511177</v>
      </c>
      <c r="D453" s="107" t="s">
        <v>1439</v>
      </c>
      <c r="E453" s="106">
        <v>601.29999999999995</v>
      </c>
      <c r="F453" s="106">
        <v>13.05</v>
      </c>
      <c r="G453" s="106">
        <v>587.79999999999995</v>
      </c>
      <c r="H453" s="106">
        <v>639.5</v>
      </c>
      <c r="I453" s="103">
        <f t="shared" si="12"/>
        <v>607.82499999999993</v>
      </c>
      <c r="J453" s="103">
        <f t="shared" si="13"/>
        <v>594.77499999999998</v>
      </c>
      <c r="K453" s="103">
        <v>607.82499999999993</v>
      </c>
      <c r="L453" s="103">
        <v>594.77499999999998</v>
      </c>
    </row>
    <row r="454" spans="1:12" x14ac:dyDescent="0.25">
      <c r="A454" s="100">
        <v>450</v>
      </c>
      <c r="B454" s="107" t="s">
        <v>1421</v>
      </c>
      <c r="C454" s="108">
        <v>3631094</v>
      </c>
      <c r="D454" s="107" t="s">
        <v>1457</v>
      </c>
      <c r="E454" s="106">
        <v>600.47</v>
      </c>
      <c r="F454" s="106">
        <v>11.11</v>
      </c>
      <c r="G454" s="106">
        <v>587.79999999999995</v>
      </c>
      <c r="H454" s="106">
        <v>641.17999999999995</v>
      </c>
      <c r="I454" s="103">
        <f t="shared" ref="I454:I504" si="14">E454+0.5*F454</f>
        <v>606.02499999999998</v>
      </c>
      <c r="J454" s="103">
        <f t="shared" ref="J454:J504" si="15">E454-0.5*F454</f>
        <v>594.91500000000008</v>
      </c>
      <c r="K454" s="103">
        <v>606.02499999999998</v>
      </c>
      <c r="L454" s="103">
        <v>594.91500000000008</v>
      </c>
    </row>
    <row r="455" spans="1:12" x14ac:dyDescent="0.25">
      <c r="A455" s="104">
        <v>451</v>
      </c>
      <c r="B455" s="107" t="s">
        <v>1333</v>
      </c>
      <c r="C455" s="108">
        <v>3221087</v>
      </c>
      <c r="D455" s="107" t="s">
        <v>1418</v>
      </c>
      <c r="E455" s="106">
        <v>604.09</v>
      </c>
      <c r="F455" s="106">
        <v>13.59</v>
      </c>
      <c r="G455" s="106">
        <v>587.70000000000005</v>
      </c>
      <c r="H455" s="106">
        <v>640.22</v>
      </c>
      <c r="I455" s="103">
        <f t="shared" si="14"/>
        <v>610.88499999999999</v>
      </c>
      <c r="J455" s="103">
        <f t="shared" si="15"/>
        <v>597.29500000000007</v>
      </c>
      <c r="K455" s="103">
        <v>610.88499999999999</v>
      </c>
      <c r="L455" s="103">
        <v>597.29500000000007</v>
      </c>
    </row>
    <row r="456" spans="1:12" x14ac:dyDescent="0.25">
      <c r="A456" s="100">
        <v>452</v>
      </c>
      <c r="B456" s="107" t="s">
        <v>1416</v>
      </c>
      <c r="C456" s="108">
        <v>3341112</v>
      </c>
      <c r="D456" s="107" t="s">
        <v>1483</v>
      </c>
      <c r="E456" s="106">
        <v>604.32000000000005</v>
      </c>
      <c r="F456" s="106">
        <v>14.48</v>
      </c>
      <c r="G456" s="106">
        <v>587.66</v>
      </c>
      <c r="H456" s="106">
        <v>643.24</v>
      </c>
      <c r="I456" s="103">
        <f t="shared" si="14"/>
        <v>611.56000000000006</v>
      </c>
      <c r="J456" s="103">
        <f t="shared" si="15"/>
        <v>597.08000000000004</v>
      </c>
      <c r="K456" s="103">
        <v>611.56000000000006</v>
      </c>
      <c r="L456" s="103">
        <v>597.08000000000004</v>
      </c>
    </row>
    <row r="457" spans="1:12" x14ac:dyDescent="0.25">
      <c r="A457" s="104">
        <v>453</v>
      </c>
      <c r="B457" s="107" t="s">
        <v>1416</v>
      </c>
      <c r="C457" s="108">
        <v>3341023</v>
      </c>
      <c r="D457" s="107" t="s">
        <v>1448</v>
      </c>
      <c r="E457" s="106">
        <v>604.86</v>
      </c>
      <c r="F457" s="106">
        <v>14.93</v>
      </c>
      <c r="G457" s="106">
        <v>587.36</v>
      </c>
      <c r="H457" s="106">
        <v>659.98</v>
      </c>
      <c r="I457" s="103">
        <f t="shared" si="14"/>
        <v>612.32500000000005</v>
      </c>
      <c r="J457" s="103">
        <f t="shared" si="15"/>
        <v>597.39499999999998</v>
      </c>
      <c r="K457" s="103">
        <v>612.32500000000005</v>
      </c>
      <c r="L457" s="103">
        <v>597.39499999999998</v>
      </c>
    </row>
    <row r="458" spans="1:12" x14ac:dyDescent="0.25">
      <c r="A458" s="100">
        <v>454</v>
      </c>
      <c r="B458" s="107" t="s">
        <v>1484</v>
      </c>
      <c r="C458" s="108">
        <v>3521021</v>
      </c>
      <c r="D458" s="107" t="s">
        <v>1323</v>
      </c>
      <c r="E458" s="106">
        <v>598.97</v>
      </c>
      <c r="F458" s="106">
        <v>8.35</v>
      </c>
      <c r="G458" s="106">
        <v>587.19000000000005</v>
      </c>
      <c r="H458" s="106">
        <v>623.66999999999996</v>
      </c>
      <c r="I458" s="103">
        <f t="shared" si="14"/>
        <v>603.14499999999998</v>
      </c>
      <c r="J458" s="103">
        <f t="shared" si="15"/>
        <v>594.79500000000007</v>
      </c>
      <c r="K458" s="103">
        <v>603.14499999999998</v>
      </c>
      <c r="L458" s="103">
        <v>594.79500000000007</v>
      </c>
    </row>
    <row r="459" spans="1:12" x14ac:dyDescent="0.25">
      <c r="A459" s="104">
        <v>455</v>
      </c>
      <c r="B459" s="107" t="s">
        <v>1429</v>
      </c>
      <c r="C459" s="108">
        <v>3561196</v>
      </c>
      <c r="D459" s="107" t="s">
        <v>1314</v>
      </c>
      <c r="E459" s="106">
        <v>601.09</v>
      </c>
      <c r="F459" s="106">
        <v>11.82</v>
      </c>
      <c r="G459" s="106">
        <v>587.04</v>
      </c>
      <c r="H459" s="106">
        <v>632.70000000000005</v>
      </c>
      <c r="I459" s="103">
        <f t="shared" si="14"/>
        <v>607</v>
      </c>
      <c r="J459" s="103">
        <f t="shared" si="15"/>
        <v>595.18000000000006</v>
      </c>
      <c r="K459" s="103">
        <v>607</v>
      </c>
      <c r="L459" s="103">
        <v>595.18000000000006</v>
      </c>
    </row>
    <row r="460" spans="1:12" x14ac:dyDescent="0.25">
      <c r="A460" s="100">
        <v>456</v>
      </c>
      <c r="B460" s="107" t="s">
        <v>1383</v>
      </c>
      <c r="C460" s="108">
        <v>6111045</v>
      </c>
      <c r="D460" s="107" t="s">
        <v>1323</v>
      </c>
      <c r="E460" s="106">
        <v>607.84</v>
      </c>
      <c r="F460" s="106">
        <v>18.62</v>
      </c>
      <c r="G460" s="106">
        <v>586.97</v>
      </c>
      <c r="H460" s="106">
        <v>666.01</v>
      </c>
      <c r="I460" s="103">
        <f t="shared" si="14"/>
        <v>617.15</v>
      </c>
      <c r="J460" s="103">
        <f t="shared" si="15"/>
        <v>598.53000000000009</v>
      </c>
      <c r="K460" s="103">
        <v>617.15</v>
      </c>
      <c r="L460" s="103">
        <v>598.53000000000009</v>
      </c>
    </row>
    <row r="461" spans="1:12" x14ac:dyDescent="0.25">
      <c r="A461" s="104">
        <v>457</v>
      </c>
      <c r="B461" s="107" t="s">
        <v>1396</v>
      </c>
      <c r="C461" s="108">
        <v>3231043</v>
      </c>
      <c r="D461" s="107" t="s">
        <v>1445</v>
      </c>
      <c r="E461" s="106">
        <v>598.20000000000005</v>
      </c>
      <c r="F461" s="106">
        <v>12.39</v>
      </c>
      <c r="G461" s="106">
        <v>586.82000000000005</v>
      </c>
      <c r="H461" s="106">
        <v>641.84</v>
      </c>
      <c r="I461" s="103">
        <f t="shared" si="14"/>
        <v>604.3950000000001</v>
      </c>
      <c r="J461" s="103">
        <f t="shared" si="15"/>
        <v>592.005</v>
      </c>
      <c r="K461" s="103">
        <v>604.3950000000001</v>
      </c>
      <c r="L461" s="103">
        <v>592.005</v>
      </c>
    </row>
    <row r="462" spans="1:12" x14ac:dyDescent="0.25">
      <c r="A462" s="100">
        <v>458</v>
      </c>
      <c r="B462" s="107" t="s">
        <v>1337</v>
      </c>
      <c r="C462" s="108">
        <v>3411427</v>
      </c>
      <c r="D462" s="107" t="s">
        <v>1485</v>
      </c>
      <c r="E462" s="106">
        <v>599.96</v>
      </c>
      <c r="F462" s="106">
        <v>10.9</v>
      </c>
      <c r="G462" s="106">
        <v>586.76</v>
      </c>
      <c r="H462" s="106">
        <v>629.55999999999995</v>
      </c>
      <c r="I462" s="103">
        <f t="shared" si="14"/>
        <v>605.41000000000008</v>
      </c>
      <c r="J462" s="103">
        <f t="shared" si="15"/>
        <v>594.51</v>
      </c>
      <c r="K462" s="103">
        <v>605.41000000000008</v>
      </c>
      <c r="L462" s="103">
        <v>594.51</v>
      </c>
    </row>
    <row r="463" spans="1:12" x14ac:dyDescent="0.25">
      <c r="A463" s="104">
        <v>459</v>
      </c>
      <c r="B463" s="107" t="s">
        <v>1444</v>
      </c>
      <c r="C463" s="108">
        <v>3731203</v>
      </c>
      <c r="D463" s="107" t="s">
        <v>1332</v>
      </c>
      <c r="E463" s="106">
        <v>603.66999999999996</v>
      </c>
      <c r="F463" s="106">
        <v>12.41</v>
      </c>
      <c r="G463" s="106">
        <v>586.69000000000005</v>
      </c>
      <c r="H463" s="106">
        <v>632.72</v>
      </c>
      <c r="I463" s="103">
        <f t="shared" si="14"/>
        <v>609.875</v>
      </c>
      <c r="J463" s="103">
        <f t="shared" si="15"/>
        <v>597.46499999999992</v>
      </c>
      <c r="K463" s="103">
        <v>609.875</v>
      </c>
      <c r="L463" s="103">
        <v>597.46499999999992</v>
      </c>
    </row>
    <row r="464" spans="1:12" x14ac:dyDescent="0.25">
      <c r="A464" s="100">
        <v>460</v>
      </c>
      <c r="B464" s="107" t="s">
        <v>1353</v>
      </c>
      <c r="C464" s="108">
        <v>3721313</v>
      </c>
      <c r="D464" s="107" t="s">
        <v>1475</v>
      </c>
      <c r="E464" s="106">
        <v>605.14</v>
      </c>
      <c r="F464" s="106">
        <v>15.3</v>
      </c>
      <c r="G464" s="106">
        <v>586.46</v>
      </c>
      <c r="H464" s="106">
        <v>651.99</v>
      </c>
      <c r="I464" s="103">
        <f t="shared" si="14"/>
        <v>612.79</v>
      </c>
      <c r="J464" s="103">
        <f t="shared" si="15"/>
        <v>597.49</v>
      </c>
      <c r="K464" s="103">
        <v>612.79</v>
      </c>
      <c r="L464" s="103">
        <v>597.49</v>
      </c>
    </row>
    <row r="465" spans="1:12" x14ac:dyDescent="0.25">
      <c r="A465" s="104">
        <v>461</v>
      </c>
      <c r="B465" s="107" t="s">
        <v>1359</v>
      </c>
      <c r="C465" s="108">
        <v>3551317</v>
      </c>
      <c r="D465" s="107" t="s">
        <v>1486</v>
      </c>
      <c r="E465" s="106">
        <v>604.24</v>
      </c>
      <c r="F465" s="106">
        <v>16.61</v>
      </c>
      <c r="G465" s="106">
        <v>586.32000000000005</v>
      </c>
      <c r="H465" s="106">
        <v>674.68</v>
      </c>
      <c r="I465" s="103">
        <f t="shared" si="14"/>
        <v>612.54499999999996</v>
      </c>
      <c r="J465" s="103">
        <f t="shared" si="15"/>
        <v>595.93500000000006</v>
      </c>
      <c r="K465" s="103">
        <v>612.54499999999996</v>
      </c>
      <c r="L465" s="103">
        <v>595.93500000000006</v>
      </c>
    </row>
    <row r="466" spans="1:12" x14ac:dyDescent="0.25">
      <c r="A466" s="100">
        <v>462</v>
      </c>
      <c r="B466" s="107" t="s">
        <v>1421</v>
      </c>
      <c r="C466" s="108">
        <v>3631121</v>
      </c>
      <c r="D466" s="107" t="s">
        <v>1425</v>
      </c>
      <c r="E466" s="106">
        <v>597.33000000000004</v>
      </c>
      <c r="F466" s="106">
        <v>12.55</v>
      </c>
      <c r="G466" s="106">
        <v>585.84</v>
      </c>
      <c r="H466" s="106">
        <v>652.79999999999995</v>
      </c>
      <c r="I466" s="103">
        <f t="shared" si="14"/>
        <v>603.60500000000002</v>
      </c>
      <c r="J466" s="103">
        <f t="shared" si="15"/>
        <v>591.05500000000006</v>
      </c>
      <c r="K466" s="103">
        <v>603.60500000000002</v>
      </c>
      <c r="L466" s="103">
        <v>591.05500000000006</v>
      </c>
    </row>
    <row r="467" spans="1:12" x14ac:dyDescent="0.25">
      <c r="A467" s="104">
        <v>463</v>
      </c>
      <c r="B467" s="107" t="s">
        <v>1306</v>
      </c>
      <c r="C467" s="108">
        <v>1211023</v>
      </c>
      <c r="D467" s="107" t="s">
        <v>1323</v>
      </c>
      <c r="E467" s="106">
        <v>608.17999999999995</v>
      </c>
      <c r="F467" s="106">
        <v>17.239999999999998</v>
      </c>
      <c r="G467" s="106">
        <v>585.83000000000004</v>
      </c>
      <c r="H467" s="106">
        <v>655.41</v>
      </c>
      <c r="I467" s="103">
        <f t="shared" si="14"/>
        <v>616.79999999999995</v>
      </c>
      <c r="J467" s="103">
        <f t="shared" si="15"/>
        <v>599.55999999999995</v>
      </c>
      <c r="K467" s="103">
        <v>616.79999999999995</v>
      </c>
      <c r="L467" s="103">
        <v>599.55999999999995</v>
      </c>
    </row>
    <row r="468" spans="1:12" x14ac:dyDescent="0.25">
      <c r="A468" s="100">
        <v>464</v>
      </c>
      <c r="B468" s="107" t="s">
        <v>1393</v>
      </c>
      <c r="C468" s="108">
        <v>7211023</v>
      </c>
      <c r="D468" s="107" t="s">
        <v>1319</v>
      </c>
      <c r="E468" s="106">
        <v>595.66999999999996</v>
      </c>
      <c r="F468" s="106">
        <v>10.64</v>
      </c>
      <c r="G468" s="106">
        <v>585.66999999999996</v>
      </c>
      <c r="H468" s="106">
        <v>623.97</v>
      </c>
      <c r="I468" s="103">
        <f t="shared" si="14"/>
        <v>600.99</v>
      </c>
      <c r="J468" s="103">
        <f t="shared" si="15"/>
        <v>590.34999999999991</v>
      </c>
      <c r="K468" s="103">
        <v>600.99</v>
      </c>
      <c r="L468" s="103">
        <v>590.34999999999991</v>
      </c>
    </row>
    <row r="469" spans="1:12" x14ac:dyDescent="0.25">
      <c r="A469" s="104">
        <v>465</v>
      </c>
      <c r="B469" s="107" t="s">
        <v>1427</v>
      </c>
      <c r="C469" s="108">
        <v>3651013</v>
      </c>
      <c r="D469" s="107" t="s">
        <v>1321</v>
      </c>
      <c r="E469" s="106">
        <v>604.46</v>
      </c>
      <c r="F469" s="106">
        <v>16.23</v>
      </c>
      <c r="G469" s="106">
        <v>585.61</v>
      </c>
      <c r="H469" s="106">
        <v>670.53</v>
      </c>
      <c r="I469" s="103">
        <f t="shared" si="14"/>
        <v>612.57500000000005</v>
      </c>
      <c r="J469" s="103">
        <f t="shared" si="15"/>
        <v>596.34500000000003</v>
      </c>
      <c r="K469" s="103">
        <v>612.57500000000005</v>
      </c>
      <c r="L469" s="103">
        <v>596.34500000000003</v>
      </c>
    </row>
    <row r="470" spans="1:12" x14ac:dyDescent="0.25">
      <c r="A470" s="100">
        <v>466</v>
      </c>
      <c r="B470" s="107" t="s">
        <v>1429</v>
      </c>
      <c r="C470" s="108">
        <v>3561103</v>
      </c>
      <c r="D470" s="107" t="s">
        <v>1138</v>
      </c>
      <c r="E470" s="106">
        <v>596.61</v>
      </c>
      <c r="F470" s="106">
        <v>12</v>
      </c>
      <c r="G470" s="106">
        <v>585.46</v>
      </c>
      <c r="H470" s="106">
        <v>632.22</v>
      </c>
      <c r="I470" s="103">
        <f t="shared" si="14"/>
        <v>602.61</v>
      </c>
      <c r="J470" s="103">
        <f t="shared" si="15"/>
        <v>590.61</v>
      </c>
      <c r="K470" s="103">
        <v>602.61</v>
      </c>
      <c r="L470" s="103">
        <v>590.61</v>
      </c>
    </row>
    <row r="471" spans="1:12" x14ac:dyDescent="0.25">
      <c r="A471" s="104">
        <v>467</v>
      </c>
      <c r="B471" s="107" t="s">
        <v>1361</v>
      </c>
      <c r="C471" s="108">
        <v>3531305</v>
      </c>
      <c r="D471" s="107" t="s">
        <v>1470</v>
      </c>
      <c r="E471" s="106">
        <v>596.62</v>
      </c>
      <c r="F471" s="106">
        <v>11.78</v>
      </c>
      <c r="G471" s="106">
        <v>585.32000000000005</v>
      </c>
      <c r="H471" s="106">
        <v>628.48</v>
      </c>
      <c r="I471" s="103">
        <f t="shared" si="14"/>
        <v>602.51</v>
      </c>
      <c r="J471" s="103">
        <f t="shared" si="15"/>
        <v>590.73</v>
      </c>
      <c r="K471" s="103">
        <v>602.51</v>
      </c>
      <c r="L471" s="103">
        <v>590.73</v>
      </c>
    </row>
    <row r="472" spans="1:12" x14ac:dyDescent="0.25">
      <c r="A472" s="100">
        <v>468</v>
      </c>
      <c r="B472" s="107" t="s">
        <v>1429</v>
      </c>
      <c r="C472" s="108">
        <v>3561037</v>
      </c>
      <c r="D472" s="107" t="s">
        <v>1422</v>
      </c>
      <c r="E472" s="106">
        <v>599.5</v>
      </c>
      <c r="F472" s="106">
        <v>12.91</v>
      </c>
      <c r="G472" s="106">
        <v>584.98</v>
      </c>
      <c r="H472" s="106">
        <v>638.26</v>
      </c>
      <c r="I472" s="103">
        <f t="shared" si="14"/>
        <v>605.95500000000004</v>
      </c>
      <c r="J472" s="103">
        <f t="shared" si="15"/>
        <v>593.04499999999996</v>
      </c>
      <c r="K472" s="103">
        <v>605.95500000000004</v>
      </c>
      <c r="L472" s="103">
        <v>593.04499999999996</v>
      </c>
    </row>
    <row r="473" spans="1:12" x14ac:dyDescent="0.25">
      <c r="A473" s="104">
        <v>469</v>
      </c>
      <c r="B473" s="107" t="s">
        <v>1356</v>
      </c>
      <c r="C473" s="108">
        <v>1311167</v>
      </c>
      <c r="D473" s="107" t="s">
        <v>1316</v>
      </c>
      <c r="E473" s="106">
        <v>601.72</v>
      </c>
      <c r="F473" s="106">
        <v>14.11</v>
      </c>
      <c r="G473" s="106">
        <v>584.97</v>
      </c>
      <c r="H473" s="106">
        <v>643.03</v>
      </c>
      <c r="I473" s="103">
        <f t="shared" si="14"/>
        <v>608.77499999999998</v>
      </c>
      <c r="J473" s="103">
        <f t="shared" si="15"/>
        <v>594.66500000000008</v>
      </c>
      <c r="K473" s="103">
        <v>608.77499999999998</v>
      </c>
      <c r="L473" s="103">
        <v>594.66500000000008</v>
      </c>
    </row>
    <row r="474" spans="1:12" x14ac:dyDescent="0.25">
      <c r="A474" s="100">
        <v>470</v>
      </c>
      <c r="B474" s="107" t="s">
        <v>1308</v>
      </c>
      <c r="C474" s="108">
        <v>1411072</v>
      </c>
      <c r="D474" s="107" t="s">
        <v>1326</v>
      </c>
      <c r="E474" s="106">
        <v>599.89</v>
      </c>
      <c r="F474" s="106">
        <v>15.04</v>
      </c>
      <c r="G474" s="106">
        <v>584.91999999999996</v>
      </c>
      <c r="H474" s="106">
        <v>647.89</v>
      </c>
      <c r="I474" s="103">
        <f t="shared" si="14"/>
        <v>607.41</v>
      </c>
      <c r="J474" s="103">
        <f t="shared" si="15"/>
        <v>592.37</v>
      </c>
      <c r="K474" s="103">
        <v>607.41</v>
      </c>
      <c r="L474" s="103">
        <v>592.37</v>
      </c>
    </row>
    <row r="475" spans="1:12" x14ac:dyDescent="0.25">
      <c r="A475" s="104">
        <v>471</v>
      </c>
      <c r="B475" s="107" t="s">
        <v>1351</v>
      </c>
      <c r="C475" s="108">
        <v>3711141</v>
      </c>
      <c r="D475" s="107" t="s">
        <v>1418</v>
      </c>
      <c r="E475" s="106">
        <v>603.08000000000004</v>
      </c>
      <c r="F475" s="106">
        <v>16.940000000000001</v>
      </c>
      <c r="G475" s="106">
        <v>584.91</v>
      </c>
      <c r="H475" s="106">
        <v>667.36</v>
      </c>
      <c r="I475" s="103">
        <f t="shared" si="14"/>
        <v>611.55000000000007</v>
      </c>
      <c r="J475" s="103">
        <f t="shared" si="15"/>
        <v>594.61</v>
      </c>
      <c r="K475" s="103">
        <v>611.55000000000007</v>
      </c>
      <c r="L475" s="103">
        <v>594.61</v>
      </c>
    </row>
    <row r="476" spans="1:12" x14ac:dyDescent="0.25">
      <c r="A476" s="100">
        <v>472</v>
      </c>
      <c r="B476" s="107" t="s">
        <v>1341</v>
      </c>
      <c r="C476" s="108">
        <v>1911352</v>
      </c>
      <c r="D476" s="107" t="s">
        <v>1330</v>
      </c>
      <c r="E476" s="106">
        <v>601.05999999999995</v>
      </c>
      <c r="F476" s="106">
        <v>13.39</v>
      </c>
      <c r="G476" s="106">
        <v>584.9</v>
      </c>
      <c r="H476" s="106">
        <v>624.61</v>
      </c>
      <c r="I476" s="103">
        <f t="shared" si="14"/>
        <v>607.755</v>
      </c>
      <c r="J476" s="103">
        <f t="shared" si="15"/>
        <v>594.3649999999999</v>
      </c>
      <c r="K476" s="103">
        <v>607.755</v>
      </c>
      <c r="L476" s="103">
        <v>594.3649999999999</v>
      </c>
    </row>
    <row r="477" spans="1:12" x14ac:dyDescent="0.25">
      <c r="A477" s="104">
        <v>473</v>
      </c>
      <c r="B477" s="107" t="s">
        <v>1351</v>
      </c>
      <c r="C477" s="108">
        <v>3711206</v>
      </c>
      <c r="D477" s="107" t="s">
        <v>1329</v>
      </c>
      <c r="E477" s="106">
        <v>606.66</v>
      </c>
      <c r="F477" s="106">
        <v>20.12</v>
      </c>
      <c r="G477" s="106">
        <v>584.79</v>
      </c>
      <c r="H477" s="106">
        <v>668.69</v>
      </c>
      <c r="I477" s="103">
        <f t="shared" si="14"/>
        <v>616.71999999999991</v>
      </c>
      <c r="J477" s="103">
        <f t="shared" si="15"/>
        <v>596.6</v>
      </c>
      <c r="K477" s="103">
        <v>616.71999999999991</v>
      </c>
      <c r="L477" s="103">
        <v>596.6</v>
      </c>
    </row>
    <row r="478" spans="1:12" x14ac:dyDescent="0.25">
      <c r="A478" s="100">
        <v>474</v>
      </c>
      <c r="B478" s="107" t="s">
        <v>1337</v>
      </c>
      <c r="C478" s="108">
        <v>3411404</v>
      </c>
      <c r="D478" s="107" t="s">
        <v>1487</v>
      </c>
      <c r="E478" s="106">
        <v>606.91999999999996</v>
      </c>
      <c r="F478" s="106">
        <v>18.239999999999998</v>
      </c>
      <c r="G478" s="106">
        <v>584.72</v>
      </c>
      <c r="H478" s="106">
        <v>650.78</v>
      </c>
      <c r="I478" s="103">
        <f t="shared" si="14"/>
        <v>616.04</v>
      </c>
      <c r="J478" s="103">
        <f t="shared" si="15"/>
        <v>597.79999999999995</v>
      </c>
      <c r="K478" s="103">
        <v>616.04</v>
      </c>
      <c r="L478" s="103">
        <v>597.79999999999995</v>
      </c>
    </row>
    <row r="479" spans="1:12" x14ac:dyDescent="0.25">
      <c r="A479" s="104">
        <v>475</v>
      </c>
      <c r="B479" s="107" t="s">
        <v>1318</v>
      </c>
      <c r="C479" s="108">
        <v>3811103</v>
      </c>
      <c r="D479" s="107" t="s">
        <v>1488</v>
      </c>
      <c r="E479" s="106">
        <v>610.03</v>
      </c>
      <c r="F479" s="106">
        <v>23.71</v>
      </c>
      <c r="G479" s="106">
        <v>584.57000000000005</v>
      </c>
      <c r="H479" s="106">
        <v>712.46</v>
      </c>
      <c r="I479" s="103">
        <f t="shared" si="14"/>
        <v>621.88499999999999</v>
      </c>
      <c r="J479" s="103">
        <f t="shared" si="15"/>
        <v>598.17499999999995</v>
      </c>
      <c r="K479" s="103">
        <v>621.88499999999999</v>
      </c>
      <c r="L479" s="103">
        <v>598.17499999999995</v>
      </c>
    </row>
    <row r="480" spans="1:12" x14ac:dyDescent="0.25">
      <c r="A480" s="100">
        <v>476</v>
      </c>
      <c r="B480" s="107" t="s">
        <v>1427</v>
      </c>
      <c r="C480" s="108">
        <v>3651036</v>
      </c>
      <c r="D480" s="107" t="s">
        <v>1326</v>
      </c>
      <c r="E480" s="106">
        <v>599.65</v>
      </c>
      <c r="F480" s="106">
        <v>11.86</v>
      </c>
      <c r="G480" s="106">
        <v>584.44000000000005</v>
      </c>
      <c r="H480" s="106">
        <v>628.94000000000005</v>
      </c>
      <c r="I480" s="103">
        <f t="shared" si="14"/>
        <v>605.57999999999993</v>
      </c>
      <c r="J480" s="103">
        <f t="shared" si="15"/>
        <v>593.72</v>
      </c>
      <c r="K480" s="103">
        <v>605.57999999999993</v>
      </c>
      <c r="L480" s="103">
        <v>593.72</v>
      </c>
    </row>
    <row r="481" spans="1:12" x14ac:dyDescent="0.25">
      <c r="A481" s="104">
        <v>477</v>
      </c>
      <c r="B481" s="107" t="s">
        <v>1333</v>
      </c>
      <c r="C481" s="108">
        <v>3221064</v>
      </c>
      <c r="D481" s="107" t="s">
        <v>1326</v>
      </c>
      <c r="E481" s="106">
        <v>599.45000000000005</v>
      </c>
      <c r="F481" s="106">
        <v>12.69</v>
      </c>
      <c r="G481" s="106">
        <v>584.28</v>
      </c>
      <c r="H481" s="106">
        <v>638.84</v>
      </c>
      <c r="I481" s="103">
        <f t="shared" si="14"/>
        <v>605.79500000000007</v>
      </c>
      <c r="J481" s="103">
        <f t="shared" si="15"/>
        <v>593.10500000000002</v>
      </c>
      <c r="K481" s="103">
        <v>605.79500000000007</v>
      </c>
      <c r="L481" s="103">
        <v>593.10500000000002</v>
      </c>
    </row>
    <row r="482" spans="1:12" x14ac:dyDescent="0.25">
      <c r="A482" s="100">
        <v>478</v>
      </c>
      <c r="B482" s="107" t="s">
        <v>1429</v>
      </c>
      <c r="C482" s="108">
        <v>3561022</v>
      </c>
      <c r="D482" s="107" t="s">
        <v>1448</v>
      </c>
      <c r="E482" s="106">
        <v>596.48</v>
      </c>
      <c r="F482" s="106">
        <v>12.38</v>
      </c>
      <c r="G482" s="106">
        <v>584.02</v>
      </c>
      <c r="H482" s="106">
        <v>630.16</v>
      </c>
      <c r="I482" s="103">
        <f t="shared" si="14"/>
        <v>602.67000000000007</v>
      </c>
      <c r="J482" s="103">
        <f t="shared" si="15"/>
        <v>590.29</v>
      </c>
      <c r="K482" s="103">
        <v>602.67000000000007</v>
      </c>
      <c r="L482" s="103">
        <v>590.29</v>
      </c>
    </row>
    <row r="483" spans="1:12" x14ac:dyDescent="0.25">
      <c r="A483" s="104">
        <v>479</v>
      </c>
      <c r="B483" s="107" t="s">
        <v>1394</v>
      </c>
      <c r="C483" s="108">
        <v>3621092</v>
      </c>
      <c r="D483" s="107" t="s">
        <v>1489</v>
      </c>
      <c r="E483" s="106">
        <v>601.04</v>
      </c>
      <c r="F483" s="106">
        <v>15.17</v>
      </c>
      <c r="G483" s="106">
        <v>584</v>
      </c>
      <c r="H483" s="106">
        <v>657.42</v>
      </c>
      <c r="I483" s="103">
        <f t="shared" si="14"/>
        <v>608.625</v>
      </c>
      <c r="J483" s="103">
        <f t="shared" si="15"/>
        <v>593.45499999999993</v>
      </c>
      <c r="K483" s="103">
        <v>608.625</v>
      </c>
      <c r="L483" s="103">
        <v>593.45499999999993</v>
      </c>
    </row>
    <row r="484" spans="1:12" x14ac:dyDescent="0.25">
      <c r="A484" s="100">
        <v>480</v>
      </c>
      <c r="B484" s="107" t="s">
        <v>1333</v>
      </c>
      <c r="C484" s="108">
        <v>3221025</v>
      </c>
      <c r="D484" s="107" t="s">
        <v>1347</v>
      </c>
      <c r="E484" s="106">
        <v>605.65</v>
      </c>
      <c r="F484" s="106">
        <v>19.010000000000002</v>
      </c>
      <c r="G484" s="106">
        <v>583.87</v>
      </c>
      <c r="H484" s="106">
        <v>666.44</v>
      </c>
      <c r="I484" s="103">
        <f t="shared" si="14"/>
        <v>615.15499999999997</v>
      </c>
      <c r="J484" s="103">
        <f t="shared" si="15"/>
        <v>596.14499999999998</v>
      </c>
      <c r="K484" s="103">
        <v>615.15499999999997</v>
      </c>
      <c r="L484" s="103">
        <v>596.14499999999998</v>
      </c>
    </row>
    <row r="485" spans="1:12" x14ac:dyDescent="0.25">
      <c r="A485" s="104">
        <v>481</v>
      </c>
      <c r="B485" s="107" t="s">
        <v>1394</v>
      </c>
      <c r="C485" s="108">
        <v>3621455</v>
      </c>
      <c r="D485" s="107" t="s">
        <v>1490</v>
      </c>
      <c r="E485" s="106">
        <v>600.75</v>
      </c>
      <c r="F485" s="106">
        <v>15.81</v>
      </c>
      <c r="G485" s="106">
        <v>583.70000000000005</v>
      </c>
      <c r="H485" s="106">
        <v>636.41</v>
      </c>
      <c r="I485" s="103">
        <f t="shared" si="14"/>
        <v>608.65499999999997</v>
      </c>
      <c r="J485" s="103">
        <f t="shared" si="15"/>
        <v>592.84500000000003</v>
      </c>
      <c r="K485" s="103">
        <v>608.65499999999997</v>
      </c>
      <c r="L485" s="103">
        <v>592.84500000000003</v>
      </c>
    </row>
    <row r="486" spans="1:12" x14ac:dyDescent="0.25">
      <c r="A486" s="100">
        <v>482</v>
      </c>
      <c r="B486" s="107" t="s">
        <v>1361</v>
      </c>
      <c r="C486" s="108">
        <v>3531263</v>
      </c>
      <c r="D486" s="107" t="s">
        <v>1454</v>
      </c>
      <c r="E486" s="106">
        <v>596.1</v>
      </c>
      <c r="F486" s="106">
        <v>14.97</v>
      </c>
      <c r="G486" s="106">
        <v>583.66999999999996</v>
      </c>
      <c r="H486" s="106">
        <v>678.87</v>
      </c>
      <c r="I486" s="103">
        <f t="shared" si="14"/>
        <v>603.58500000000004</v>
      </c>
      <c r="J486" s="103">
        <f t="shared" si="15"/>
        <v>588.61500000000001</v>
      </c>
      <c r="K486" s="103">
        <v>603.58500000000004</v>
      </c>
      <c r="L486" s="103">
        <v>588.61500000000001</v>
      </c>
    </row>
    <row r="487" spans="1:12" x14ac:dyDescent="0.25">
      <c r="A487" s="104">
        <v>483</v>
      </c>
      <c r="B487" s="107" t="s">
        <v>1429</v>
      </c>
      <c r="C487" s="108">
        <v>3561045</v>
      </c>
      <c r="D487" s="107" t="s">
        <v>1445</v>
      </c>
      <c r="E487" s="106">
        <v>598.91999999999996</v>
      </c>
      <c r="F487" s="106">
        <v>13.96</v>
      </c>
      <c r="G487" s="106">
        <v>583.6</v>
      </c>
      <c r="H487" s="106">
        <v>637.17999999999995</v>
      </c>
      <c r="I487" s="103">
        <f t="shared" si="14"/>
        <v>605.9</v>
      </c>
      <c r="J487" s="103">
        <f t="shared" si="15"/>
        <v>591.93999999999994</v>
      </c>
      <c r="K487" s="103">
        <v>605.9</v>
      </c>
      <c r="L487" s="103">
        <v>591.93999999999994</v>
      </c>
    </row>
    <row r="488" spans="1:12" x14ac:dyDescent="0.25">
      <c r="A488" s="100">
        <v>484</v>
      </c>
      <c r="B488" s="107" t="s">
        <v>1491</v>
      </c>
      <c r="C488" s="108">
        <v>3361066</v>
      </c>
      <c r="D488" s="107" t="s">
        <v>1347</v>
      </c>
      <c r="E488" s="106">
        <v>603.88</v>
      </c>
      <c r="F488" s="106">
        <v>16.75</v>
      </c>
      <c r="G488" s="106">
        <v>583.54</v>
      </c>
      <c r="H488" s="106">
        <v>653.39</v>
      </c>
      <c r="I488" s="103">
        <f t="shared" si="14"/>
        <v>612.255</v>
      </c>
      <c r="J488" s="103">
        <f t="shared" si="15"/>
        <v>595.505</v>
      </c>
      <c r="K488" s="103">
        <v>612.255</v>
      </c>
      <c r="L488" s="103">
        <v>595.505</v>
      </c>
    </row>
    <row r="489" spans="1:12" x14ac:dyDescent="0.25">
      <c r="A489" s="104">
        <v>485</v>
      </c>
      <c r="B489" s="107" t="s">
        <v>1308</v>
      </c>
      <c r="C489" s="108">
        <v>1411056</v>
      </c>
      <c r="D489" s="107" t="s">
        <v>1338</v>
      </c>
      <c r="E489" s="106">
        <v>601.49</v>
      </c>
      <c r="F489" s="106">
        <v>14.1</v>
      </c>
      <c r="G489" s="106">
        <v>583.38</v>
      </c>
      <c r="H489" s="106">
        <v>648.16999999999996</v>
      </c>
      <c r="I489" s="103">
        <f t="shared" si="14"/>
        <v>608.54</v>
      </c>
      <c r="J489" s="103">
        <f t="shared" si="15"/>
        <v>594.44000000000005</v>
      </c>
      <c r="K489" s="103">
        <v>608.54</v>
      </c>
      <c r="L489" s="103">
        <v>594.44000000000005</v>
      </c>
    </row>
    <row r="490" spans="1:12" x14ac:dyDescent="0.25">
      <c r="A490" s="100">
        <v>486</v>
      </c>
      <c r="B490" s="107" t="s">
        <v>1337</v>
      </c>
      <c r="C490" s="108">
        <v>3411482</v>
      </c>
      <c r="D490" s="107" t="s">
        <v>1492</v>
      </c>
      <c r="E490" s="106">
        <v>604.94000000000005</v>
      </c>
      <c r="F490" s="106">
        <v>16.14</v>
      </c>
      <c r="G490" s="106">
        <v>583.20000000000005</v>
      </c>
      <c r="H490" s="106">
        <v>631.41999999999996</v>
      </c>
      <c r="I490" s="103">
        <f t="shared" si="14"/>
        <v>613.0100000000001</v>
      </c>
      <c r="J490" s="103">
        <f t="shared" si="15"/>
        <v>596.87</v>
      </c>
      <c r="K490" s="103">
        <v>613.0100000000001</v>
      </c>
      <c r="L490" s="103">
        <v>596.87</v>
      </c>
    </row>
    <row r="491" spans="1:12" x14ac:dyDescent="0.25">
      <c r="A491" s="104">
        <v>487</v>
      </c>
      <c r="B491" s="107" t="s">
        <v>1444</v>
      </c>
      <c r="C491" s="108">
        <v>3731192</v>
      </c>
      <c r="D491" s="107" t="s">
        <v>1314</v>
      </c>
      <c r="E491" s="106">
        <v>603.14</v>
      </c>
      <c r="F491" s="106">
        <v>19.3</v>
      </c>
      <c r="G491" s="106">
        <v>583.20000000000005</v>
      </c>
      <c r="H491" s="106">
        <v>659.63</v>
      </c>
      <c r="I491" s="103">
        <f t="shared" si="14"/>
        <v>612.79</v>
      </c>
      <c r="J491" s="103">
        <f t="shared" si="15"/>
        <v>593.49</v>
      </c>
      <c r="K491" s="103">
        <v>612.79</v>
      </c>
      <c r="L491" s="103">
        <v>593.49</v>
      </c>
    </row>
    <row r="492" spans="1:12" x14ac:dyDescent="0.25">
      <c r="A492" s="100">
        <v>488</v>
      </c>
      <c r="B492" s="107" t="s">
        <v>1444</v>
      </c>
      <c r="C492" s="108">
        <v>3731226</v>
      </c>
      <c r="D492" s="107" t="s">
        <v>1322</v>
      </c>
      <c r="E492" s="106">
        <v>597.91</v>
      </c>
      <c r="F492" s="106">
        <v>13.35</v>
      </c>
      <c r="G492" s="106">
        <v>583.19000000000005</v>
      </c>
      <c r="H492" s="106">
        <v>636.45000000000005</v>
      </c>
      <c r="I492" s="103">
        <f t="shared" si="14"/>
        <v>604.58499999999992</v>
      </c>
      <c r="J492" s="103">
        <f t="shared" si="15"/>
        <v>591.23500000000001</v>
      </c>
      <c r="K492" s="103">
        <v>604.58499999999992</v>
      </c>
      <c r="L492" s="103">
        <v>591.23500000000001</v>
      </c>
    </row>
    <row r="493" spans="1:12" x14ac:dyDescent="0.25">
      <c r="A493" s="104">
        <v>489</v>
      </c>
      <c r="B493" s="107" t="s">
        <v>1359</v>
      </c>
      <c r="C493" s="108">
        <v>3551325</v>
      </c>
      <c r="D493" s="107" t="s">
        <v>1439</v>
      </c>
      <c r="E493" s="106">
        <v>604.37</v>
      </c>
      <c r="F493" s="106">
        <v>13.57</v>
      </c>
      <c r="G493" s="106">
        <v>582.79999999999995</v>
      </c>
      <c r="H493" s="106">
        <v>629.58000000000004</v>
      </c>
      <c r="I493" s="103">
        <f t="shared" si="14"/>
        <v>611.15499999999997</v>
      </c>
      <c r="J493" s="103">
        <f t="shared" si="15"/>
        <v>597.58500000000004</v>
      </c>
      <c r="K493" s="103">
        <v>611.15499999999997</v>
      </c>
      <c r="L493" s="103">
        <v>597.58500000000004</v>
      </c>
    </row>
    <row r="494" spans="1:12" x14ac:dyDescent="0.25">
      <c r="A494" s="100">
        <v>490</v>
      </c>
      <c r="B494" s="107" t="s">
        <v>1383</v>
      </c>
      <c r="C494" s="108">
        <v>6111207</v>
      </c>
      <c r="D494" s="107" t="s">
        <v>1493</v>
      </c>
      <c r="E494" s="106">
        <v>612.39</v>
      </c>
      <c r="F494" s="106">
        <v>25.68</v>
      </c>
      <c r="G494" s="106">
        <v>582.76</v>
      </c>
      <c r="H494" s="106">
        <v>723.78</v>
      </c>
      <c r="I494" s="103">
        <f t="shared" si="14"/>
        <v>625.23</v>
      </c>
      <c r="J494" s="103">
        <f t="shared" si="15"/>
        <v>599.54999999999995</v>
      </c>
      <c r="K494" s="103">
        <v>625.23</v>
      </c>
      <c r="L494" s="103">
        <v>599.54999999999995</v>
      </c>
    </row>
    <row r="495" spans="1:12" x14ac:dyDescent="0.25">
      <c r="A495" s="104">
        <v>491</v>
      </c>
      <c r="B495" s="107" t="s">
        <v>1432</v>
      </c>
      <c r="C495" s="108">
        <v>3241076</v>
      </c>
      <c r="D495" s="107" t="s">
        <v>1463</v>
      </c>
      <c r="E495" s="106">
        <v>597.71</v>
      </c>
      <c r="F495" s="106">
        <v>12.27</v>
      </c>
      <c r="G495" s="106">
        <v>582.64</v>
      </c>
      <c r="H495" s="106">
        <v>622.13</v>
      </c>
      <c r="I495" s="103">
        <f t="shared" si="14"/>
        <v>603.84500000000003</v>
      </c>
      <c r="J495" s="103">
        <f t="shared" si="15"/>
        <v>591.57500000000005</v>
      </c>
      <c r="K495" s="103">
        <v>603.84500000000003</v>
      </c>
      <c r="L495" s="103">
        <v>591.57500000000005</v>
      </c>
    </row>
    <row r="496" spans="1:12" x14ac:dyDescent="0.25">
      <c r="A496" s="100">
        <v>492</v>
      </c>
      <c r="B496" s="107" t="s">
        <v>1432</v>
      </c>
      <c r="C496" s="108">
        <v>3241022</v>
      </c>
      <c r="D496" s="107" t="s">
        <v>1389</v>
      </c>
      <c r="E496" s="106">
        <v>599.16</v>
      </c>
      <c r="F496" s="106">
        <v>12.41</v>
      </c>
      <c r="G496" s="106">
        <v>582.53</v>
      </c>
      <c r="H496" s="106">
        <v>623.35</v>
      </c>
      <c r="I496" s="103">
        <f t="shared" si="14"/>
        <v>605.36500000000001</v>
      </c>
      <c r="J496" s="103">
        <f t="shared" si="15"/>
        <v>592.95499999999993</v>
      </c>
      <c r="K496" s="103">
        <v>605.36500000000001</v>
      </c>
      <c r="L496" s="103">
        <v>592.95499999999993</v>
      </c>
    </row>
    <row r="497" spans="1:12" x14ac:dyDescent="0.25">
      <c r="A497" s="104">
        <v>493</v>
      </c>
      <c r="B497" s="107" t="s">
        <v>1416</v>
      </c>
      <c r="C497" s="108">
        <v>3341201</v>
      </c>
      <c r="D497" s="107" t="s">
        <v>1494</v>
      </c>
      <c r="E497" s="106">
        <v>596.48</v>
      </c>
      <c r="F497" s="106">
        <v>22.49</v>
      </c>
      <c r="G497" s="106">
        <v>582.5</v>
      </c>
      <c r="H497" s="106">
        <v>677.86</v>
      </c>
      <c r="I497" s="103">
        <f t="shared" si="14"/>
        <v>607.72500000000002</v>
      </c>
      <c r="J497" s="103">
        <f t="shared" si="15"/>
        <v>585.23500000000001</v>
      </c>
      <c r="K497" s="103">
        <v>607.72500000000002</v>
      </c>
      <c r="L497" s="103">
        <v>585.23500000000001</v>
      </c>
    </row>
    <row r="498" spans="1:12" x14ac:dyDescent="0.25">
      <c r="A498" s="100">
        <v>494</v>
      </c>
      <c r="B498" s="107" t="s">
        <v>1444</v>
      </c>
      <c r="C498" s="108">
        <v>3731145</v>
      </c>
      <c r="D498" s="107" t="s">
        <v>1374</v>
      </c>
      <c r="E498" s="106">
        <v>597.97</v>
      </c>
      <c r="F498" s="106">
        <v>15.94</v>
      </c>
      <c r="G498" s="106">
        <v>582.4</v>
      </c>
      <c r="H498" s="106">
        <v>643.74</v>
      </c>
      <c r="I498" s="103">
        <f t="shared" si="14"/>
        <v>605.94000000000005</v>
      </c>
      <c r="J498" s="103">
        <f t="shared" si="15"/>
        <v>590</v>
      </c>
      <c r="K498" s="103">
        <v>605.94000000000005</v>
      </c>
      <c r="L498" s="103">
        <v>590</v>
      </c>
    </row>
    <row r="499" spans="1:12" x14ac:dyDescent="0.25">
      <c r="A499" s="104">
        <v>495</v>
      </c>
      <c r="B499" s="107" t="s">
        <v>1409</v>
      </c>
      <c r="C499" s="108">
        <v>1711284</v>
      </c>
      <c r="D499" s="107" t="s">
        <v>1347</v>
      </c>
      <c r="E499" s="106">
        <v>607.65</v>
      </c>
      <c r="F499" s="106">
        <v>23.66</v>
      </c>
      <c r="G499" s="106">
        <v>582.37</v>
      </c>
      <c r="H499" s="106">
        <v>670.07</v>
      </c>
      <c r="I499" s="103">
        <f t="shared" si="14"/>
        <v>619.48</v>
      </c>
      <c r="J499" s="103">
        <f t="shared" si="15"/>
        <v>595.81999999999994</v>
      </c>
      <c r="K499" s="103">
        <v>619.48</v>
      </c>
      <c r="L499" s="103">
        <v>595.81999999999994</v>
      </c>
    </row>
    <row r="500" spans="1:12" x14ac:dyDescent="0.25">
      <c r="A500" s="100">
        <v>496</v>
      </c>
      <c r="B500" s="107" t="s">
        <v>1308</v>
      </c>
      <c r="C500" s="108">
        <v>1411114</v>
      </c>
      <c r="D500" s="107" t="s">
        <v>1495</v>
      </c>
      <c r="E500" s="106">
        <v>598.45000000000005</v>
      </c>
      <c r="F500" s="106">
        <v>16.02</v>
      </c>
      <c r="G500" s="106">
        <v>582.23</v>
      </c>
      <c r="H500" s="106">
        <v>653.16</v>
      </c>
      <c r="I500" s="103">
        <f t="shared" si="14"/>
        <v>606.46</v>
      </c>
      <c r="J500" s="103">
        <f t="shared" si="15"/>
        <v>590.44000000000005</v>
      </c>
      <c r="K500" s="103">
        <v>606.46</v>
      </c>
      <c r="L500" s="103">
        <v>590.44000000000005</v>
      </c>
    </row>
    <row r="501" spans="1:12" x14ac:dyDescent="0.25">
      <c r="A501" s="104">
        <v>497</v>
      </c>
      <c r="B501" s="107" t="s">
        <v>1429</v>
      </c>
      <c r="C501" s="108">
        <v>3561142</v>
      </c>
      <c r="D501" s="107" t="s">
        <v>1470</v>
      </c>
      <c r="E501" s="106">
        <v>594.6</v>
      </c>
      <c r="F501" s="106">
        <v>13.04</v>
      </c>
      <c r="G501" s="106">
        <v>582.14</v>
      </c>
      <c r="H501" s="106">
        <v>630.12</v>
      </c>
      <c r="I501" s="103">
        <f t="shared" si="14"/>
        <v>601.12</v>
      </c>
      <c r="J501" s="103">
        <f t="shared" si="15"/>
        <v>588.08000000000004</v>
      </c>
      <c r="K501" s="103">
        <v>601.12</v>
      </c>
      <c r="L501" s="103">
        <v>588.08000000000004</v>
      </c>
    </row>
    <row r="502" spans="1:12" x14ac:dyDescent="0.25">
      <c r="A502" s="100">
        <v>498</v>
      </c>
      <c r="B502" s="107" t="s">
        <v>1444</v>
      </c>
      <c r="C502" s="108">
        <v>3731184</v>
      </c>
      <c r="D502" s="107" t="s">
        <v>1338</v>
      </c>
      <c r="E502" s="106">
        <v>598.79</v>
      </c>
      <c r="F502" s="106">
        <v>17.46</v>
      </c>
      <c r="G502" s="106">
        <v>582.04999999999995</v>
      </c>
      <c r="H502" s="106">
        <v>687.01</v>
      </c>
      <c r="I502" s="103">
        <f t="shared" si="14"/>
        <v>607.52</v>
      </c>
      <c r="J502" s="103">
        <f t="shared" si="15"/>
        <v>590.05999999999995</v>
      </c>
      <c r="K502" s="103">
        <v>607.52</v>
      </c>
      <c r="L502" s="103">
        <v>590.05999999999995</v>
      </c>
    </row>
    <row r="503" spans="1:12" x14ac:dyDescent="0.25">
      <c r="A503" s="104">
        <v>499</v>
      </c>
      <c r="B503" s="107" t="s">
        <v>1409</v>
      </c>
      <c r="C503" s="108">
        <v>1711342</v>
      </c>
      <c r="D503" s="107" t="s">
        <v>1153</v>
      </c>
      <c r="E503" s="106">
        <v>612.53</v>
      </c>
      <c r="F503" s="106">
        <v>16.760000000000002</v>
      </c>
      <c r="G503" s="106">
        <v>581.97</v>
      </c>
      <c r="H503" s="106">
        <v>647.91999999999996</v>
      </c>
      <c r="I503" s="103">
        <f t="shared" si="14"/>
        <v>620.91</v>
      </c>
      <c r="J503" s="103">
        <f t="shared" si="15"/>
        <v>604.15</v>
      </c>
      <c r="K503" s="103">
        <v>620.91</v>
      </c>
      <c r="L503" s="103">
        <v>604.15</v>
      </c>
    </row>
    <row r="504" spans="1:12" x14ac:dyDescent="0.25">
      <c r="A504" s="100">
        <v>500</v>
      </c>
      <c r="B504" s="107" t="s">
        <v>1353</v>
      </c>
      <c r="C504" s="108">
        <v>3721263</v>
      </c>
      <c r="D504" s="107" t="s">
        <v>1486</v>
      </c>
      <c r="E504" s="106">
        <v>597.59</v>
      </c>
      <c r="F504" s="106">
        <v>13.54</v>
      </c>
      <c r="G504" s="106">
        <v>581.91999999999996</v>
      </c>
      <c r="H504" s="106">
        <v>655.66</v>
      </c>
      <c r="I504" s="103">
        <f t="shared" si="14"/>
        <v>604.36</v>
      </c>
      <c r="J504" s="103">
        <f t="shared" si="15"/>
        <v>590.82000000000005</v>
      </c>
      <c r="K504" s="103">
        <v>604.36</v>
      </c>
      <c r="L504" s="103">
        <v>590.82000000000005</v>
      </c>
    </row>
    <row r="506" spans="1:12" x14ac:dyDescent="0.25">
      <c r="F506" s="110">
        <f>AVERAGE(F5:F504)</f>
        <v>16.275460000000002</v>
      </c>
    </row>
  </sheetData>
  <mergeCells count="2">
    <mergeCell ref="A3:H3"/>
    <mergeCell ref="K3:L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L504"/>
  <sheetViews>
    <sheetView workbookViewId="0">
      <pane xSplit="4" ySplit="5" topLeftCell="H487" activePane="bottomRight" state="frozen"/>
      <selection pane="topRight" activeCell="E1" sqref="E1"/>
      <selection pane="bottomLeft" activeCell="A6" sqref="A6"/>
      <selection pane="bottomRight" activeCell="K5" sqref="K5:L504"/>
    </sheetView>
  </sheetViews>
  <sheetFormatPr defaultRowHeight="15" x14ac:dyDescent="0.25"/>
  <cols>
    <col min="1" max="1" width="4" style="109" bestFit="1" customWidth="1"/>
    <col min="2" max="2" width="47.5703125" style="21" bestFit="1" customWidth="1"/>
    <col min="3" max="3" width="11.85546875" style="109" bestFit="1" customWidth="1"/>
    <col min="4" max="4" width="73.140625" style="21" bestFit="1" customWidth="1"/>
    <col min="5" max="8" width="8.28515625" style="110" customWidth="1"/>
  </cols>
  <sheetData>
    <row r="3" spans="1:12" x14ac:dyDescent="0.25">
      <c r="A3" s="135" t="s">
        <v>1496</v>
      </c>
      <c r="B3" s="135"/>
      <c r="C3" s="135"/>
      <c r="D3" s="135"/>
      <c r="E3" s="135"/>
      <c r="F3" s="135"/>
      <c r="G3" s="135"/>
      <c r="H3" s="135"/>
      <c r="K3" s="136" t="s">
        <v>1580</v>
      </c>
      <c r="L3" s="137"/>
    </row>
    <row r="4" spans="1:12" x14ac:dyDescent="0.25">
      <c r="A4" s="97" t="s">
        <v>753</v>
      </c>
      <c r="B4" s="97" t="s">
        <v>748</v>
      </c>
      <c r="C4" s="97" t="s">
        <v>1294</v>
      </c>
      <c r="D4" s="97" t="s">
        <v>1295</v>
      </c>
      <c r="E4" s="98" t="s">
        <v>1073</v>
      </c>
      <c r="F4" s="98" t="s">
        <v>1296</v>
      </c>
      <c r="G4" s="98" t="s">
        <v>1297</v>
      </c>
      <c r="H4" s="98" t="s">
        <v>1298</v>
      </c>
      <c r="I4" s="99" t="s">
        <v>1299</v>
      </c>
      <c r="J4" s="99" t="s">
        <v>1300</v>
      </c>
      <c r="K4" s="99" t="s">
        <v>1299</v>
      </c>
      <c r="L4" s="99" t="s">
        <v>1300</v>
      </c>
    </row>
    <row r="5" spans="1:12" x14ac:dyDescent="0.25">
      <c r="A5" s="100">
        <v>1</v>
      </c>
      <c r="B5" s="101" t="s">
        <v>1315</v>
      </c>
      <c r="C5" s="100">
        <v>3212123</v>
      </c>
      <c r="D5" s="101" t="s">
        <v>1497</v>
      </c>
      <c r="E5" s="102">
        <v>699.46</v>
      </c>
      <c r="F5" s="102">
        <v>16.275460000000002</v>
      </c>
      <c r="G5" s="102"/>
      <c r="H5" s="102"/>
      <c r="I5" s="103">
        <f>E5+0.5*F5</f>
        <v>707.59773000000007</v>
      </c>
      <c r="J5" s="103">
        <f>E5-0.5*F5</f>
        <v>691.32227</v>
      </c>
      <c r="K5" s="103">
        <v>707.59773000000007</v>
      </c>
      <c r="L5" s="103">
        <v>691.32227</v>
      </c>
    </row>
    <row r="6" spans="1:12" x14ac:dyDescent="0.25">
      <c r="A6" s="100">
        <v>2</v>
      </c>
      <c r="B6" s="101" t="s">
        <v>1315</v>
      </c>
      <c r="C6" s="100">
        <v>3212177</v>
      </c>
      <c r="D6" s="101" t="s">
        <v>1157</v>
      </c>
      <c r="E6" s="102">
        <v>702.17</v>
      </c>
      <c r="F6" s="102">
        <v>16.275460000000002</v>
      </c>
      <c r="G6" s="102"/>
      <c r="H6" s="102"/>
      <c r="I6" s="103">
        <f t="shared" ref="I6:I69" si="0">E6+0.5*F6</f>
        <v>710.30772999999999</v>
      </c>
      <c r="J6" s="103">
        <f t="shared" ref="J6:J69" si="1">E6-0.5*F6</f>
        <v>694.03226999999993</v>
      </c>
      <c r="K6" s="103">
        <v>710.30772999999999</v>
      </c>
      <c r="L6" s="103">
        <v>694.03226999999993</v>
      </c>
    </row>
    <row r="7" spans="1:12" x14ac:dyDescent="0.25">
      <c r="A7" s="100">
        <v>3</v>
      </c>
      <c r="B7" s="101" t="s">
        <v>1313</v>
      </c>
      <c r="C7" s="100">
        <v>3612174</v>
      </c>
      <c r="D7" s="101" t="s">
        <v>1157</v>
      </c>
      <c r="E7" s="102">
        <v>693.93</v>
      </c>
      <c r="F7" s="102">
        <v>16.275460000000002</v>
      </c>
      <c r="G7" s="102"/>
      <c r="H7" s="102"/>
      <c r="I7" s="103">
        <f t="shared" si="0"/>
        <v>702.06772999999998</v>
      </c>
      <c r="J7" s="103">
        <f t="shared" si="1"/>
        <v>685.79226999999992</v>
      </c>
      <c r="K7" s="103">
        <v>702.06772999999998</v>
      </c>
      <c r="L7" s="103">
        <v>685.79226999999992</v>
      </c>
    </row>
    <row r="8" spans="1:12" x14ac:dyDescent="0.25">
      <c r="A8" s="100">
        <v>4</v>
      </c>
      <c r="B8" s="101" t="s">
        <v>1315</v>
      </c>
      <c r="C8" s="100">
        <v>3212162</v>
      </c>
      <c r="D8" s="101" t="s">
        <v>1148</v>
      </c>
      <c r="E8" s="102">
        <v>684.97</v>
      </c>
      <c r="F8" s="102">
        <v>16.275460000000002</v>
      </c>
      <c r="G8" s="102"/>
      <c r="H8" s="102"/>
      <c r="I8" s="103">
        <f t="shared" si="0"/>
        <v>693.10773000000006</v>
      </c>
      <c r="J8" s="103">
        <f t="shared" si="1"/>
        <v>676.83226999999999</v>
      </c>
      <c r="K8" s="103">
        <v>693.10773000000006</v>
      </c>
      <c r="L8" s="103">
        <v>676.83226999999999</v>
      </c>
    </row>
    <row r="9" spans="1:12" x14ac:dyDescent="0.25">
      <c r="A9" s="100">
        <v>5</v>
      </c>
      <c r="B9" s="101" t="s">
        <v>1309</v>
      </c>
      <c r="C9" s="100">
        <v>3322022</v>
      </c>
      <c r="D9" s="101" t="s">
        <v>1498</v>
      </c>
      <c r="E9" s="102">
        <v>683.51</v>
      </c>
      <c r="F9" s="102">
        <v>16.275460000000002</v>
      </c>
      <c r="G9" s="102"/>
      <c r="H9" s="102"/>
      <c r="I9" s="103">
        <f t="shared" si="0"/>
        <v>691.64773000000002</v>
      </c>
      <c r="J9" s="103">
        <f t="shared" si="1"/>
        <v>675.37226999999996</v>
      </c>
      <c r="K9" s="103">
        <v>691.64773000000002</v>
      </c>
      <c r="L9" s="103">
        <v>675.37226999999996</v>
      </c>
    </row>
    <row r="10" spans="1:12" x14ac:dyDescent="0.25">
      <c r="A10" s="100">
        <v>6</v>
      </c>
      <c r="B10" s="101" t="s">
        <v>1315</v>
      </c>
      <c r="C10" s="100">
        <v>3212042</v>
      </c>
      <c r="D10" s="101" t="s">
        <v>1499</v>
      </c>
      <c r="E10" s="102">
        <v>684.05</v>
      </c>
      <c r="F10" s="102">
        <v>16.275460000000002</v>
      </c>
      <c r="G10" s="102"/>
      <c r="H10" s="102"/>
      <c r="I10" s="103">
        <f t="shared" si="0"/>
        <v>692.18772999999999</v>
      </c>
      <c r="J10" s="103">
        <f t="shared" si="1"/>
        <v>675.91226999999992</v>
      </c>
      <c r="K10" s="103">
        <v>692.18772999999999</v>
      </c>
      <c r="L10" s="103">
        <v>675.91226999999992</v>
      </c>
    </row>
    <row r="11" spans="1:12" x14ac:dyDescent="0.25">
      <c r="A11" s="100">
        <v>7</v>
      </c>
      <c r="B11" s="101" t="s">
        <v>1313</v>
      </c>
      <c r="C11" s="100">
        <v>3612015</v>
      </c>
      <c r="D11" s="101" t="s">
        <v>1497</v>
      </c>
      <c r="E11" s="102">
        <v>685.43</v>
      </c>
      <c r="F11" s="102">
        <v>16.275460000000002</v>
      </c>
      <c r="G11" s="102"/>
      <c r="H11" s="102"/>
      <c r="I11" s="103">
        <f t="shared" si="0"/>
        <v>693.56772999999998</v>
      </c>
      <c r="J11" s="103">
        <f t="shared" si="1"/>
        <v>677.29226999999992</v>
      </c>
      <c r="K11" s="103">
        <v>693.56772999999998</v>
      </c>
      <c r="L11" s="103">
        <v>677.29226999999992</v>
      </c>
    </row>
    <row r="12" spans="1:12" x14ac:dyDescent="0.25">
      <c r="A12" s="100">
        <v>8</v>
      </c>
      <c r="B12" s="101" t="s">
        <v>1313</v>
      </c>
      <c r="C12" s="100">
        <v>3612201</v>
      </c>
      <c r="D12" s="101" t="s">
        <v>1149</v>
      </c>
      <c r="E12" s="102">
        <v>677.68</v>
      </c>
      <c r="F12" s="102">
        <v>16.275460000000002</v>
      </c>
      <c r="G12" s="102"/>
      <c r="H12" s="102"/>
      <c r="I12" s="103">
        <f t="shared" si="0"/>
        <v>685.81772999999998</v>
      </c>
      <c r="J12" s="103">
        <f t="shared" si="1"/>
        <v>669.54226999999992</v>
      </c>
      <c r="K12" s="103">
        <v>685.81772999999998</v>
      </c>
      <c r="L12" s="103">
        <v>669.54226999999992</v>
      </c>
    </row>
    <row r="13" spans="1:12" x14ac:dyDescent="0.25">
      <c r="A13" s="100">
        <v>9</v>
      </c>
      <c r="B13" s="101" t="s">
        <v>1315</v>
      </c>
      <c r="C13" s="100">
        <v>3212316</v>
      </c>
      <c r="D13" s="101" t="s">
        <v>1500</v>
      </c>
      <c r="E13" s="102">
        <v>672.65</v>
      </c>
      <c r="F13" s="102">
        <v>16.275460000000002</v>
      </c>
      <c r="G13" s="102"/>
      <c r="H13" s="102"/>
      <c r="I13" s="103">
        <f t="shared" si="0"/>
        <v>680.78773000000001</v>
      </c>
      <c r="J13" s="103">
        <f t="shared" si="1"/>
        <v>664.51226999999994</v>
      </c>
      <c r="K13" s="103">
        <v>680.78773000000001</v>
      </c>
      <c r="L13" s="103">
        <v>664.51226999999994</v>
      </c>
    </row>
    <row r="14" spans="1:12" x14ac:dyDescent="0.25">
      <c r="A14" s="100">
        <v>10</v>
      </c>
      <c r="B14" s="101" t="s">
        <v>1313</v>
      </c>
      <c r="C14" s="100">
        <v>3612023</v>
      </c>
      <c r="D14" s="101" t="s">
        <v>1150</v>
      </c>
      <c r="E14" s="102">
        <v>673.06</v>
      </c>
      <c r="F14" s="102">
        <v>16.275460000000002</v>
      </c>
      <c r="G14" s="102"/>
      <c r="H14" s="102"/>
      <c r="I14" s="103">
        <f t="shared" si="0"/>
        <v>681.19772999999998</v>
      </c>
      <c r="J14" s="103">
        <f t="shared" si="1"/>
        <v>664.92226999999991</v>
      </c>
      <c r="K14" s="103">
        <v>681.19772999999998</v>
      </c>
      <c r="L14" s="103">
        <v>664.92226999999991</v>
      </c>
    </row>
    <row r="15" spans="1:12" x14ac:dyDescent="0.25">
      <c r="A15" s="100">
        <v>11</v>
      </c>
      <c r="B15" s="101" t="s">
        <v>1315</v>
      </c>
      <c r="C15" s="100">
        <v>3212154</v>
      </c>
      <c r="D15" s="101" t="s">
        <v>1150</v>
      </c>
      <c r="E15" s="102">
        <v>681.26</v>
      </c>
      <c r="F15" s="102">
        <v>16.275460000000002</v>
      </c>
      <c r="G15" s="102"/>
      <c r="H15" s="102"/>
      <c r="I15" s="103">
        <f t="shared" si="0"/>
        <v>689.39773000000002</v>
      </c>
      <c r="J15" s="103">
        <f t="shared" si="1"/>
        <v>673.12226999999996</v>
      </c>
      <c r="K15" s="103">
        <v>689.39773000000002</v>
      </c>
      <c r="L15" s="103">
        <v>673.12226999999996</v>
      </c>
    </row>
    <row r="16" spans="1:12" x14ac:dyDescent="0.25">
      <c r="A16" s="100">
        <v>12</v>
      </c>
      <c r="B16" s="101" t="s">
        <v>1313</v>
      </c>
      <c r="C16" s="100">
        <v>3612143</v>
      </c>
      <c r="D16" s="101" t="s">
        <v>1246</v>
      </c>
      <c r="E16" s="102">
        <v>670.4</v>
      </c>
      <c r="F16" s="102">
        <v>16.275460000000002</v>
      </c>
      <c r="G16" s="102"/>
      <c r="H16" s="102"/>
      <c r="I16" s="103">
        <f t="shared" si="0"/>
        <v>678.53773000000001</v>
      </c>
      <c r="J16" s="103">
        <f t="shared" si="1"/>
        <v>662.26226999999994</v>
      </c>
      <c r="K16" s="103">
        <v>678.53773000000001</v>
      </c>
      <c r="L16" s="103">
        <v>662.26226999999994</v>
      </c>
    </row>
    <row r="17" spans="1:12" x14ac:dyDescent="0.25">
      <c r="A17" s="100">
        <v>13</v>
      </c>
      <c r="B17" s="101" t="s">
        <v>1315</v>
      </c>
      <c r="C17" s="100">
        <v>3212057</v>
      </c>
      <c r="D17" s="101" t="s">
        <v>1149</v>
      </c>
      <c r="E17" s="102">
        <v>672.74</v>
      </c>
      <c r="F17" s="102">
        <v>16.275460000000002</v>
      </c>
      <c r="G17" s="102"/>
      <c r="H17" s="102"/>
      <c r="I17" s="103">
        <f t="shared" si="0"/>
        <v>680.87773000000004</v>
      </c>
      <c r="J17" s="103">
        <f t="shared" si="1"/>
        <v>664.60226999999998</v>
      </c>
      <c r="K17" s="103">
        <v>680.87773000000004</v>
      </c>
      <c r="L17" s="103">
        <v>664.60226999999998</v>
      </c>
    </row>
    <row r="18" spans="1:12" x14ac:dyDescent="0.25">
      <c r="A18" s="100">
        <v>14</v>
      </c>
      <c r="B18" s="101" t="s">
        <v>1315</v>
      </c>
      <c r="C18" s="100">
        <v>3212011</v>
      </c>
      <c r="D18" s="101" t="s">
        <v>1147</v>
      </c>
      <c r="E18" s="102">
        <v>676.25</v>
      </c>
      <c r="F18" s="102">
        <v>16.275460000000002</v>
      </c>
      <c r="G18" s="102"/>
      <c r="H18" s="102"/>
      <c r="I18" s="103">
        <f t="shared" si="0"/>
        <v>684.38773000000003</v>
      </c>
      <c r="J18" s="103">
        <f t="shared" si="1"/>
        <v>668.11226999999997</v>
      </c>
      <c r="K18" s="103">
        <v>684.38773000000003</v>
      </c>
      <c r="L18" s="103">
        <v>668.11226999999997</v>
      </c>
    </row>
    <row r="19" spans="1:12" x14ac:dyDescent="0.25">
      <c r="A19" s="100">
        <v>15</v>
      </c>
      <c r="B19" s="101" t="s">
        <v>1313</v>
      </c>
      <c r="C19" s="100">
        <v>3612031</v>
      </c>
      <c r="D19" s="101" t="s">
        <v>1148</v>
      </c>
      <c r="E19" s="102">
        <v>682.87</v>
      </c>
      <c r="F19" s="102">
        <v>16.275460000000002</v>
      </c>
      <c r="G19" s="102"/>
      <c r="H19" s="102"/>
      <c r="I19" s="103">
        <f t="shared" si="0"/>
        <v>691.00773000000004</v>
      </c>
      <c r="J19" s="103">
        <f t="shared" si="1"/>
        <v>674.73226999999997</v>
      </c>
      <c r="K19" s="103">
        <v>691.00773000000004</v>
      </c>
      <c r="L19" s="103">
        <v>674.73226999999997</v>
      </c>
    </row>
    <row r="20" spans="1:12" x14ac:dyDescent="0.25">
      <c r="A20" s="100">
        <v>16</v>
      </c>
      <c r="B20" s="101" t="s">
        <v>1313</v>
      </c>
      <c r="C20" s="100">
        <v>3612224</v>
      </c>
      <c r="D20" s="101" t="s">
        <v>1153</v>
      </c>
      <c r="E20" s="102">
        <v>673.45</v>
      </c>
      <c r="F20" s="102">
        <v>16.275460000000002</v>
      </c>
      <c r="G20" s="102"/>
      <c r="H20" s="102"/>
      <c r="I20" s="103">
        <f t="shared" si="0"/>
        <v>681.58773000000008</v>
      </c>
      <c r="J20" s="103">
        <f t="shared" si="1"/>
        <v>665.31227000000001</v>
      </c>
      <c r="K20" s="103">
        <v>681.58773000000008</v>
      </c>
      <c r="L20" s="103">
        <v>665.31227000000001</v>
      </c>
    </row>
    <row r="21" spans="1:12" x14ac:dyDescent="0.25">
      <c r="A21" s="100">
        <v>17</v>
      </c>
      <c r="B21" s="101" t="s">
        <v>1313</v>
      </c>
      <c r="C21" s="100">
        <v>3612166</v>
      </c>
      <c r="D21" s="101" t="s">
        <v>1501</v>
      </c>
      <c r="E21" s="102">
        <v>668.41</v>
      </c>
      <c r="F21" s="102">
        <v>16.275460000000002</v>
      </c>
      <c r="G21" s="102"/>
      <c r="H21" s="102"/>
      <c r="I21" s="103">
        <f t="shared" si="0"/>
        <v>676.54773</v>
      </c>
      <c r="J21" s="103">
        <f t="shared" si="1"/>
        <v>660.27226999999993</v>
      </c>
      <c r="K21" s="103">
        <v>676.54773</v>
      </c>
      <c r="L21" s="103">
        <v>660.27226999999993</v>
      </c>
    </row>
    <row r="22" spans="1:12" x14ac:dyDescent="0.25">
      <c r="A22" s="100">
        <v>18</v>
      </c>
      <c r="B22" s="101" t="s">
        <v>1311</v>
      </c>
      <c r="C22" s="100">
        <v>3332063</v>
      </c>
      <c r="D22" s="101" t="s">
        <v>1157</v>
      </c>
      <c r="E22" s="102">
        <v>666.77</v>
      </c>
      <c r="F22" s="102">
        <v>16.275460000000002</v>
      </c>
      <c r="G22" s="102"/>
      <c r="H22" s="102"/>
      <c r="I22" s="103">
        <f t="shared" si="0"/>
        <v>674.90773000000002</v>
      </c>
      <c r="J22" s="103">
        <f t="shared" si="1"/>
        <v>658.63226999999995</v>
      </c>
      <c r="K22" s="103">
        <v>674.90773000000002</v>
      </c>
      <c r="L22" s="103">
        <v>658.63226999999995</v>
      </c>
    </row>
    <row r="23" spans="1:12" x14ac:dyDescent="0.25">
      <c r="A23" s="100">
        <v>19</v>
      </c>
      <c r="B23" s="101" t="s">
        <v>1315</v>
      </c>
      <c r="C23" s="100">
        <v>3212146</v>
      </c>
      <c r="D23" s="101" t="s">
        <v>1502</v>
      </c>
      <c r="E23" s="102">
        <v>667.11</v>
      </c>
      <c r="F23" s="102">
        <v>16.275460000000002</v>
      </c>
      <c r="G23" s="102"/>
      <c r="H23" s="102"/>
      <c r="I23" s="103">
        <f t="shared" si="0"/>
        <v>675.24773000000005</v>
      </c>
      <c r="J23" s="103">
        <f t="shared" si="1"/>
        <v>658.97226999999998</v>
      </c>
      <c r="K23" s="103">
        <v>675.24773000000005</v>
      </c>
      <c r="L23" s="103">
        <v>658.97226999999998</v>
      </c>
    </row>
    <row r="24" spans="1:12" x14ac:dyDescent="0.25">
      <c r="A24" s="100">
        <v>20</v>
      </c>
      <c r="B24" s="101" t="s">
        <v>1315</v>
      </c>
      <c r="C24" s="100">
        <v>3212131</v>
      </c>
      <c r="D24" s="101" t="s">
        <v>1503</v>
      </c>
      <c r="E24" s="102">
        <v>660.76</v>
      </c>
      <c r="F24" s="102">
        <v>16.275460000000002</v>
      </c>
      <c r="G24" s="102"/>
      <c r="H24" s="102"/>
      <c r="I24" s="103">
        <f t="shared" si="0"/>
        <v>668.89773000000002</v>
      </c>
      <c r="J24" s="103">
        <f t="shared" si="1"/>
        <v>652.62226999999996</v>
      </c>
      <c r="K24" s="103">
        <v>668.89773000000002</v>
      </c>
      <c r="L24" s="103">
        <v>652.62226999999996</v>
      </c>
    </row>
    <row r="25" spans="1:12" x14ac:dyDescent="0.25">
      <c r="A25" s="100">
        <v>21</v>
      </c>
      <c r="B25" s="101" t="s">
        <v>1313</v>
      </c>
      <c r="C25" s="100">
        <v>3612054</v>
      </c>
      <c r="D25" s="101" t="s">
        <v>1194</v>
      </c>
      <c r="E25" s="102">
        <v>662.82</v>
      </c>
      <c r="F25" s="102">
        <v>16.275460000000002</v>
      </c>
      <c r="G25" s="102"/>
      <c r="H25" s="102"/>
      <c r="I25" s="103">
        <f t="shared" si="0"/>
        <v>670.95773000000008</v>
      </c>
      <c r="J25" s="103">
        <f t="shared" si="1"/>
        <v>654.68227000000002</v>
      </c>
      <c r="K25" s="103">
        <v>670.95773000000008</v>
      </c>
      <c r="L25" s="103">
        <v>654.68227000000002</v>
      </c>
    </row>
    <row r="26" spans="1:12" x14ac:dyDescent="0.25">
      <c r="A26" s="100">
        <v>22</v>
      </c>
      <c r="B26" s="101" t="s">
        <v>1315</v>
      </c>
      <c r="C26" s="100">
        <v>3212073</v>
      </c>
      <c r="D26" s="101" t="s">
        <v>1156</v>
      </c>
      <c r="E26" s="102">
        <v>656.52</v>
      </c>
      <c r="F26" s="102">
        <v>16.275460000000002</v>
      </c>
      <c r="G26" s="102"/>
      <c r="H26" s="102"/>
      <c r="I26" s="103">
        <f t="shared" si="0"/>
        <v>664.65773000000002</v>
      </c>
      <c r="J26" s="103">
        <f t="shared" si="1"/>
        <v>648.38226999999995</v>
      </c>
      <c r="K26" s="103">
        <v>664.65773000000002</v>
      </c>
      <c r="L26" s="103">
        <v>648.38226999999995</v>
      </c>
    </row>
    <row r="27" spans="1:12" x14ac:dyDescent="0.25">
      <c r="A27" s="100">
        <v>23</v>
      </c>
      <c r="B27" s="101" t="s">
        <v>1315</v>
      </c>
      <c r="C27" s="100">
        <v>3212301</v>
      </c>
      <c r="D27" s="101" t="s">
        <v>1504</v>
      </c>
      <c r="E27" s="102">
        <v>655.89</v>
      </c>
      <c r="F27" s="102">
        <v>16.275460000000002</v>
      </c>
      <c r="G27" s="102"/>
      <c r="H27" s="102"/>
      <c r="I27" s="103">
        <f t="shared" si="0"/>
        <v>664.02773000000002</v>
      </c>
      <c r="J27" s="103">
        <f t="shared" si="1"/>
        <v>647.75226999999995</v>
      </c>
      <c r="K27" s="103">
        <v>664.02773000000002</v>
      </c>
      <c r="L27" s="103">
        <v>647.75226999999995</v>
      </c>
    </row>
    <row r="28" spans="1:12" x14ac:dyDescent="0.25">
      <c r="A28" s="100">
        <v>24</v>
      </c>
      <c r="B28" s="101" t="s">
        <v>1313</v>
      </c>
      <c r="C28" s="100">
        <v>3612197</v>
      </c>
      <c r="D28" s="101" t="s">
        <v>1505</v>
      </c>
      <c r="E28" s="102">
        <v>653.11</v>
      </c>
      <c r="F28" s="102">
        <v>16.275460000000002</v>
      </c>
      <c r="G28" s="102"/>
      <c r="H28" s="102"/>
      <c r="I28" s="103">
        <f t="shared" si="0"/>
        <v>661.24773000000005</v>
      </c>
      <c r="J28" s="103">
        <f t="shared" si="1"/>
        <v>644.97226999999998</v>
      </c>
      <c r="K28" s="103">
        <v>661.24773000000005</v>
      </c>
      <c r="L28" s="103">
        <v>644.97226999999998</v>
      </c>
    </row>
    <row r="29" spans="1:12" x14ac:dyDescent="0.25">
      <c r="A29" s="100">
        <v>25</v>
      </c>
      <c r="B29" s="101" t="s">
        <v>1313</v>
      </c>
      <c r="C29" s="100">
        <v>3612182</v>
      </c>
      <c r="D29" s="101" t="s">
        <v>1506</v>
      </c>
      <c r="E29" s="102">
        <v>655.51</v>
      </c>
      <c r="F29" s="102">
        <v>16.275460000000002</v>
      </c>
      <c r="G29" s="102"/>
      <c r="H29" s="102"/>
      <c r="I29" s="103">
        <f t="shared" si="0"/>
        <v>663.64773000000002</v>
      </c>
      <c r="J29" s="103">
        <f t="shared" si="1"/>
        <v>647.37226999999996</v>
      </c>
      <c r="K29" s="103">
        <v>663.64773000000002</v>
      </c>
      <c r="L29" s="103">
        <v>647.37226999999996</v>
      </c>
    </row>
    <row r="30" spans="1:12" x14ac:dyDescent="0.25">
      <c r="A30" s="100">
        <v>26</v>
      </c>
      <c r="B30" s="101" t="s">
        <v>1315</v>
      </c>
      <c r="C30" s="100">
        <v>3212081</v>
      </c>
      <c r="D30" s="101" t="s">
        <v>1507</v>
      </c>
      <c r="E30" s="102">
        <v>658.79</v>
      </c>
      <c r="F30" s="102">
        <v>16.275460000000002</v>
      </c>
      <c r="G30" s="102"/>
      <c r="H30" s="102"/>
      <c r="I30" s="103">
        <f t="shared" si="0"/>
        <v>666.92773</v>
      </c>
      <c r="J30" s="103">
        <f t="shared" si="1"/>
        <v>650.65226999999993</v>
      </c>
      <c r="K30" s="103">
        <v>666.92773</v>
      </c>
      <c r="L30" s="103">
        <v>650.65226999999993</v>
      </c>
    </row>
    <row r="31" spans="1:12" x14ac:dyDescent="0.25">
      <c r="A31" s="100">
        <v>27</v>
      </c>
      <c r="B31" s="101" t="s">
        <v>1311</v>
      </c>
      <c r="C31" s="100">
        <v>3332024</v>
      </c>
      <c r="D31" s="101" t="s">
        <v>1148</v>
      </c>
      <c r="E31" s="102">
        <v>662.04</v>
      </c>
      <c r="F31" s="102">
        <v>16.275460000000002</v>
      </c>
      <c r="G31" s="102"/>
      <c r="H31" s="102"/>
      <c r="I31" s="103">
        <f t="shared" si="0"/>
        <v>670.17773</v>
      </c>
      <c r="J31" s="103">
        <f t="shared" si="1"/>
        <v>653.90226999999993</v>
      </c>
      <c r="K31" s="103">
        <v>670.17773</v>
      </c>
      <c r="L31" s="103">
        <v>653.90226999999993</v>
      </c>
    </row>
    <row r="32" spans="1:12" x14ac:dyDescent="0.25">
      <c r="A32" s="100">
        <v>28</v>
      </c>
      <c r="B32" s="101" t="s">
        <v>1315</v>
      </c>
      <c r="C32" s="100">
        <v>3212065</v>
      </c>
      <c r="D32" s="101" t="s">
        <v>1171</v>
      </c>
      <c r="E32" s="102">
        <v>654.62</v>
      </c>
      <c r="F32" s="102">
        <v>16.275460000000002</v>
      </c>
      <c r="G32" s="102"/>
      <c r="H32" s="102"/>
      <c r="I32" s="103">
        <f t="shared" si="0"/>
        <v>662.75773000000004</v>
      </c>
      <c r="J32" s="103">
        <f t="shared" si="1"/>
        <v>646.48226999999997</v>
      </c>
      <c r="K32" s="103">
        <v>662.75773000000004</v>
      </c>
      <c r="L32" s="103">
        <v>646.48226999999997</v>
      </c>
    </row>
    <row r="33" spans="1:12" x14ac:dyDescent="0.25">
      <c r="A33" s="100">
        <v>29</v>
      </c>
      <c r="B33" s="101" t="s">
        <v>1313</v>
      </c>
      <c r="C33" s="100">
        <v>3612112</v>
      </c>
      <c r="D33" s="101" t="s">
        <v>1151</v>
      </c>
      <c r="E33" s="102">
        <v>656.71</v>
      </c>
      <c r="F33" s="102">
        <v>16.275460000000002</v>
      </c>
      <c r="G33" s="102"/>
      <c r="H33" s="102"/>
      <c r="I33" s="103">
        <f t="shared" si="0"/>
        <v>664.84773000000007</v>
      </c>
      <c r="J33" s="103">
        <f t="shared" si="1"/>
        <v>648.57227</v>
      </c>
      <c r="K33" s="103">
        <v>664.84773000000007</v>
      </c>
      <c r="L33" s="103">
        <v>648.57227</v>
      </c>
    </row>
    <row r="34" spans="1:12" x14ac:dyDescent="0.25">
      <c r="A34" s="100">
        <v>30</v>
      </c>
      <c r="B34" s="101" t="s">
        <v>1309</v>
      </c>
      <c r="C34" s="100">
        <v>3322014</v>
      </c>
      <c r="D34" s="101" t="s">
        <v>1508</v>
      </c>
      <c r="E34" s="102">
        <v>648.64</v>
      </c>
      <c r="F34" s="102">
        <v>16.275460000000002</v>
      </c>
      <c r="G34" s="102"/>
      <c r="H34" s="102"/>
      <c r="I34" s="103">
        <f t="shared" si="0"/>
        <v>656.77773000000002</v>
      </c>
      <c r="J34" s="103">
        <f t="shared" si="1"/>
        <v>640.50226999999995</v>
      </c>
      <c r="K34" s="103">
        <v>656.77773000000002</v>
      </c>
      <c r="L34" s="103">
        <v>640.50226999999995</v>
      </c>
    </row>
    <row r="35" spans="1:12" x14ac:dyDescent="0.25">
      <c r="A35" s="104">
        <v>31</v>
      </c>
      <c r="B35" s="105" t="s">
        <v>1315</v>
      </c>
      <c r="C35" s="104">
        <v>3212227</v>
      </c>
      <c r="D35" s="105" t="s">
        <v>1246</v>
      </c>
      <c r="E35" s="106">
        <v>661.37</v>
      </c>
      <c r="F35" s="102">
        <v>16.275460000000002</v>
      </c>
      <c r="G35" s="106"/>
      <c r="H35" s="106"/>
      <c r="I35" s="103">
        <f t="shared" si="0"/>
        <v>669.50773000000004</v>
      </c>
      <c r="J35" s="103">
        <f t="shared" si="1"/>
        <v>653.23226999999997</v>
      </c>
      <c r="K35" s="103">
        <v>669.50773000000004</v>
      </c>
      <c r="L35" s="103">
        <v>653.23226999999997</v>
      </c>
    </row>
    <row r="36" spans="1:12" x14ac:dyDescent="0.25">
      <c r="A36" s="100">
        <v>32</v>
      </c>
      <c r="B36" s="107" t="s">
        <v>1315</v>
      </c>
      <c r="C36" s="108">
        <v>3212115</v>
      </c>
      <c r="D36" s="107" t="s">
        <v>1250</v>
      </c>
      <c r="E36" s="106">
        <v>647.84</v>
      </c>
      <c r="F36" s="102">
        <v>16.275460000000002</v>
      </c>
      <c r="G36" s="106"/>
      <c r="H36" s="106"/>
      <c r="I36" s="103">
        <f t="shared" si="0"/>
        <v>655.97773000000007</v>
      </c>
      <c r="J36" s="103">
        <f t="shared" si="1"/>
        <v>639.70227</v>
      </c>
      <c r="K36" s="103">
        <v>655.97773000000007</v>
      </c>
      <c r="L36" s="103">
        <v>639.70227</v>
      </c>
    </row>
    <row r="37" spans="1:12" x14ac:dyDescent="0.25">
      <c r="A37" s="104">
        <v>33</v>
      </c>
      <c r="B37" s="107" t="s">
        <v>1313</v>
      </c>
      <c r="C37" s="108">
        <v>3612232</v>
      </c>
      <c r="D37" s="107" t="s">
        <v>1509</v>
      </c>
      <c r="E37" s="106">
        <v>649.30999999999995</v>
      </c>
      <c r="F37" s="102">
        <v>16.275460000000002</v>
      </c>
      <c r="G37" s="106"/>
      <c r="H37" s="106"/>
      <c r="I37" s="103">
        <f t="shared" si="0"/>
        <v>657.44772999999998</v>
      </c>
      <c r="J37" s="103">
        <f t="shared" si="1"/>
        <v>641.17226999999991</v>
      </c>
      <c r="K37" s="103">
        <v>657.44772999999998</v>
      </c>
      <c r="L37" s="103">
        <v>641.17226999999991</v>
      </c>
    </row>
    <row r="38" spans="1:12" x14ac:dyDescent="0.25">
      <c r="A38" s="100">
        <v>34</v>
      </c>
      <c r="B38" s="107" t="s">
        <v>1315</v>
      </c>
      <c r="C38" s="108">
        <v>3212324</v>
      </c>
      <c r="D38" s="107" t="s">
        <v>1510</v>
      </c>
      <c r="E38" s="106">
        <v>651.45000000000005</v>
      </c>
      <c r="F38" s="102">
        <v>16.275460000000002</v>
      </c>
      <c r="G38" s="106"/>
      <c r="H38" s="106"/>
      <c r="I38" s="103">
        <f t="shared" si="0"/>
        <v>659.58773000000008</v>
      </c>
      <c r="J38" s="103">
        <f t="shared" si="1"/>
        <v>643.31227000000001</v>
      </c>
      <c r="K38" s="103">
        <v>659.58773000000008</v>
      </c>
      <c r="L38" s="103">
        <v>643.31227000000001</v>
      </c>
    </row>
    <row r="39" spans="1:12" x14ac:dyDescent="0.25">
      <c r="A39" s="104">
        <v>35</v>
      </c>
      <c r="B39" s="107" t="s">
        <v>1313</v>
      </c>
      <c r="C39" s="108">
        <v>3612151</v>
      </c>
      <c r="D39" s="107" t="s">
        <v>1504</v>
      </c>
      <c r="E39" s="106">
        <v>651.66999999999996</v>
      </c>
      <c r="F39" s="102">
        <v>16.275460000000002</v>
      </c>
      <c r="G39" s="106"/>
      <c r="H39" s="106"/>
      <c r="I39" s="103">
        <f t="shared" si="0"/>
        <v>659.80772999999999</v>
      </c>
      <c r="J39" s="103">
        <f t="shared" si="1"/>
        <v>643.53226999999993</v>
      </c>
      <c r="K39" s="103">
        <v>659.80772999999999</v>
      </c>
      <c r="L39" s="103">
        <v>643.53226999999993</v>
      </c>
    </row>
    <row r="40" spans="1:12" x14ac:dyDescent="0.25">
      <c r="A40" s="100">
        <v>36</v>
      </c>
      <c r="B40" s="107" t="s">
        <v>1313</v>
      </c>
      <c r="C40" s="108">
        <v>3612085</v>
      </c>
      <c r="D40" s="107" t="s">
        <v>1511</v>
      </c>
      <c r="E40" s="106">
        <v>656.51</v>
      </c>
      <c r="F40" s="102">
        <v>16.275460000000002</v>
      </c>
      <c r="G40" s="106"/>
      <c r="H40" s="106"/>
      <c r="I40" s="103">
        <f t="shared" si="0"/>
        <v>664.64773000000002</v>
      </c>
      <c r="J40" s="103">
        <f t="shared" si="1"/>
        <v>648.37226999999996</v>
      </c>
      <c r="K40" s="103">
        <v>664.64773000000002</v>
      </c>
      <c r="L40" s="103">
        <v>648.37226999999996</v>
      </c>
    </row>
    <row r="41" spans="1:12" x14ac:dyDescent="0.25">
      <c r="A41" s="104">
        <v>37</v>
      </c>
      <c r="B41" s="107" t="s">
        <v>1315</v>
      </c>
      <c r="C41" s="108">
        <v>3212266</v>
      </c>
      <c r="D41" s="107" t="s">
        <v>1151</v>
      </c>
      <c r="E41" s="106">
        <v>656.35</v>
      </c>
      <c r="F41" s="102">
        <v>16.275460000000002</v>
      </c>
      <c r="G41" s="106"/>
      <c r="H41" s="106"/>
      <c r="I41" s="103">
        <f t="shared" si="0"/>
        <v>664.48773000000006</v>
      </c>
      <c r="J41" s="103">
        <f t="shared" si="1"/>
        <v>648.21226999999999</v>
      </c>
      <c r="K41" s="103">
        <v>664.48773000000006</v>
      </c>
      <c r="L41" s="103">
        <v>648.21226999999999</v>
      </c>
    </row>
    <row r="42" spans="1:12" x14ac:dyDescent="0.25">
      <c r="A42" s="100">
        <v>38</v>
      </c>
      <c r="B42" s="107" t="s">
        <v>1315</v>
      </c>
      <c r="C42" s="108">
        <v>3212096</v>
      </c>
      <c r="D42" s="107" t="s">
        <v>1173</v>
      </c>
      <c r="E42" s="106">
        <v>648.66999999999996</v>
      </c>
      <c r="F42" s="102">
        <v>16.275460000000002</v>
      </c>
      <c r="G42" s="106"/>
      <c r="H42" s="106"/>
      <c r="I42" s="103">
        <f t="shared" si="0"/>
        <v>656.80772999999999</v>
      </c>
      <c r="J42" s="103">
        <f t="shared" si="1"/>
        <v>640.53226999999993</v>
      </c>
      <c r="K42" s="103">
        <v>656.80772999999999</v>
      </c>
      <c r="L42" s="103">
        <v>640.53226999999993</v>
      </c>
    </row>
    <row r="43" spans="1:12" x14ac:dyDescent="0.25">
      <c r="A43" s="104">
        <v>39</v>
      </c>
      <c r="B43" s="107" t="s">
        <v>1313</v>
      </c>
      <c r="C43" s="108">
        <v>3612216</v>
      </c>
      <c r="D43" s="107" t="s">
        <v>1173</v>
      </c>
      <c r="E43" s="106">
        <v>645.25</v>
      </c>
      <c r="F43" s="102">
        <v>16.275460000000002</v>
      </c>
      <c r="G43" s="106"/>
      <c r="H43" s="106"/>
      <c r="I43" s="103">
        <f t="shared" si="0"/>
        <v>653.38773000000003</v>
      </c>
      <c r="J43" s="103">
        <f t="shared" si="1"/>
        <v>637.11226999999997</v>
      </c>
      <c r="K43" s="103">
        <v>653.38773000000003</v>
      </c>
      <c r="L43" s="103">
        <v>637.11226999999997</v>
      </c>
    </row>
    <row r="44" spans="1:12" x14ac:dyDescent="0.25">
      <c r="A44" s="100">
        <v>40</v>
      </c>
      <c r="B44" s="107" t="s">
        <v>1311</v>
      </c>
      <c r="C44" s="108">
        <v>3332322</v>
      </c>
      <c r="D44" s="107" t="s">
        <v>1512</v>
      </c>
      <c r="E44" s="106">
        <v>649.98</v>
      </c>
      <c r="F44" s="102">
        <v>16.275460000000002</v>
      </c>
      <c r="G44" s="106"/>
      <c r="H44" s="106"/>
      <c r="I44" s="103">
        <f t="shared" si="0"/>
        <v>658.11773000000005</v>
      </c>
      <c r="J44" s="103">
        <f t="shared" si="1"/>
        <v>641.84226999999998</v>
      </c>
      <c r="K44" s="103">
        <v>658.11773000000005</v>
      </c>
      <c r="L44" s="103">
        <v>641.84226999999998</v>
      </c>
    </row>
    <row r="45" spans="1:12" x14ac:dyDescent="0.25">
      <c r="A45" s="104">
        <v>41</v>
      </c>
      <c r="B45" s="107" t="s">
        <v>1313</v>
      </c>
      <c r="C45" s="108">
        <v>3612062</v>
      </c>
      <c r="D45" s="107" t="s">
        <v>1513</v>
      </c>
      <c r="E45" s="106">
        <v>646.28</v>
      </c>
      <c r="F45" s="102">
        <v>16.275460000000002</v>
      </c>
      <c r="G45" s="106"/>
      <c r="H45" s="106"/>
      <c r="I45" s="103">
        <f t="shared" si="0"/>
        <v>654.41773000000001</v>
      </c>
      <c r="J45" s="103">
        <f t="shared" si="1"/>
        <v>638.14226999999994</v>
      </c>
      <c r="K45" s="103">
        <v>654.41773000000001</v>
      </c>
      <c r="L45" s="103">
        <v>638.14226999999994</v>
      </c>
    </row>
    <row r="46" spans="1:12" x14ac:dyDescent="0.25">
      <c r="A46" s="100">
        <v>42</v>
      </c>
      <c r="B46" s="107" t="s">
        <v>1359</v>
      </c>
      <c r="C46" s="108">
        <v>3552151</v>
      </c>
      <c r="D46" s="107" t="s">
        <v>1154</v>
      </c>
      <c r="E46" s="106">
        <v>649.76</v>
      </c>
      <c r="F46" s="102">
        <v>16.275460000000002</v>
      </c>
      <c r="G46" s="106"/>
      <c r="H46" s="106"/>
      <c r="I46" s="103">
        <f t="shared" si="0"/>
        <v>657.89773000000002</v>
      </c>
      <c r="J46" s="103">
        <f t="shared" si="1"/>
        <v>641.62226999999996</v>
      </c>
      <c r="K46" s="103">
        <v>657.89773000000002</v>
      </c>
      <c r="L46" s="103">
        <v>641.62226999999996</v>
      </c>
    </row>
    <row r="47" spans="1:12" x14ac:dyDescent="0.25">
      <c r="A47" s="104">
        <v>43</v>
      </c>
      <c r="B47" s="107" t="s">
        <v>1318</v>
      </c>
      <c r="C47" s="108">
        <v>3812064</v>
      </c>
      <c r="D47" s="107" t="s">
        <v>1157</v>
      </c>
      <c r="E47" s="106">
        <v>649.78</v>
      </c>
      <c r="F47" s="102">
        <v>16.275460000000002</v>
      </c>
      <c r="G47" s="106"/>
      <c r="H47" s="106"/>
      <c r="I47" s="103">
        <f t="shared" si="0"/>
        <v>657.91773000000001</v>
      </c>
      <c r="J47" s="103">
        <f t="shared" si="1"/>
        <v>641.64226999999994</v>
      </c>
      <c r="K47" s="103">
        <v>657.91773000000001</v>
      </c>
      <c r="L47" s="103">
        <v>641.64226999999994</v>
      </c>
    </row>
    <row r="48" spans="1:12" x14ac:dyDescent="0.25">
      <c r="A48" s="100">
        <v>44</v>
      </c>
      <c r="B48" s="107" t="s">
        <v>1315</v>
      </c>
      <c r="C48" s="108">
        <v>3212107</v>
      </c>
      <c r="D48" s="107" t="s">
        <v>1514</v>
      </c>
      <c r="E48" s="106">
        <v>649.33000000000004</v>
      </c>
      <c r="F48" s="102">
        <v>16.275460000000002</v>
      </c>
      <c r="G48" s="106"/>
      <c r="H48" s="106"/>
      <c r="I48" s="103">
        <f t="shared" si="0"/>
        <v>657.46773000000007</v>
      </c>
      <c r="J48" s="103">
        <f t="shared" si="1"/>
        <v>641.19227000000001</v>
      </c>
      <c r="K48" s="103">
        <v>657.46773000000007</v>
      </c>
      <c r="L48" s="103">
        <v>641.19227000000001</v>
      </c>
    </row>
    <row r="49" spans="1:12" x14ac:dyDescent="0.25">
      <c r="A49" s="104">
        <v>45</v>
      </c>
      <c r="B49" s="107" t="s">
        <v>1359</v>
      </c>
      <c r="C49" s="108">
        <v>3552085</v>
      </c>
      <c r="D49" s="107" t="s">
        <v>1148</v>
      </c>
      <c r="E49" s="106">
        <v>651.99</v>
      </c>
      <c r="F49" s="102">
        <v>16.275460000000002</v>
      </c>
      <c r="G49" s="106"/>
      <c r="H49" s="106"/>
      <c r="I49" s="103">
        <f t="shared" si="0"/>
        <v>660.12773000000004</v>
      </c>
      <c r="J49" s="103">
        <f t="shared" si="1"/>
        <v>643.85226999999998</v>
      </c>
      <c r="K49" s="103">
        <v>660.12773000000004</v>
      </c>
      <c r="L49" s="103">
        <v>643.85226999999998</v>
      </c>
    </row>
    <row r="50" spans="1:12" x14ac:dyDescent="0.25">
      <c r="A50" s="100">
        <v>46</v>
      </c>
      <c r="B50" s="107" t="s">
        <v>1311</v>
      </c>
      <c r="C50" s="108">
        <v>3332105</v>
      </c>
      <c r="D50" s="107" t="s">
        <v>1243</v>
      </c>
      <c r="E50" s="106">
        <v>641.20000000000005</v>
      </c>
      <c r="F50" s="102">
        <v>16.275460000000002</v>
      </c>
      <c r="G50" s="106"/>
      <c r="H50" s="106"/>
      <c r="I50" s="103">
        <f t="shared" si="0"/>
        <v>649.33773000000008</v>
      </c>
      <c r="J50" s="103">
        <f t="shared" si="1"/>
        <v>633.06227000000001</v>
      </c>
      <c r="K50" s="103">
        <v>649.33773000000008</v>
      </c>
      <c r="L50" s="103">
        <v>633.06227000000001</v>
      </c>
    </row>
    <row r="51" spans="1:12" x14ac:dyDescent="0.25">
      <c r="A51" s="104">
        <v>47</v>
      </c>
      <c r="B51" s="107" t="s">
        <v>1315</v>
      </c>
      <c r="C51" s="108">
        <v>3212235</v>
      </c>
      <c r="D51" s="107" t="s">
        <v>1249</v>
      </c>
      <c r="E51" s="106">
        <v>640.66</v>
      </c>
      <c r="F51" s="102">
        <v>16.275460000000002</v>
      </c>
      <c r="G51" s="106"/>
      <c r="H51" s="106"/>
      <c r="I51" s="103">
        <f t="shared" si="0"/>
        <v>648.79773</v>
      </c>
      <c r="J51" s="103">
        <f t="shared" si="1"/>
        <v>632.52226999999993</v>
      </c>
      <c r="K51" s="103">
        <v>648.79773</v>
      </c>
      <c r="L51" s="103">
        <v>632.52226999999993</v>
      </c>
    </row>
    <row r="52" spans="1:12" x14ac:dyDescent="0.25">
      <c r="A52" s="100">
        <v>48</v>
      </c>
      <c r="B52" s="107" t="s">
        <v>1315</v>
      </c>
      <c r="C52" s="108">
        <v>3212204</v>
      </c>
      <c r="D52" s="107" t="s">
        <v>1260</v>
      </c>
      <c r="E52" s="106">
        <v>639.30999999999995</v>
      </c>
      <c r="F52" s="102">
        <v>16.275460000000002</v>
      </c>
      <c r="G52" s="106"/>
      <c r="H52" s="106"/>
      <c r="I52" s="103">
        <f t="shared" si="0"/>
        <v>647.44772999999998</v>
      </c>
      <c r="J52" s="103">
        <f t="shared" si="1"/>
        <v>631.17226999999991</v>
      </c>
      <c r="K52" s="103">
        <v>647.44772999999998</v>
      </c>
      <c r="L52" s="103">
        <v>631.17226999999991</v>
      </c>
    </row>
    <row r="53" spans="1:12" x14ac:dyDescent="0.25">
      <c r="A53" s="104">
        <v>49</v>
      </c>
      <c r="B53" s="107" t="s">
        <v>1311</v>
      </c>
      <c r="C53" s="108">
        <v>3332264</v>
      </c>
      <c r="D53" s="107" t="s">
        <v>1515</v>
      </c>
      <c r="E53" s="106">
        <v>642.46</v>
      </c>
      <c r="F53" s="102">
        <v>16.275460000000002</v>
      </c>
      <c r="G53" s="106"/>
      <c r="H53" s="106"/>
      <c r="I53" s="103">
        <f t="shared" si="0"/>
        <v>650.59773000000007</v>
      </c>
      <c r="J53" s="103">
        <f t="shared" si="1"/>
        <v>634.32227</v>
      </c>
      <c r="K53" s="103">
        <v>650.59773000000007</v>
      </c>
      <c r="L53" s="103">
        <v>634.32227</v>
      </c>
    </row>
    <row r="54" spans="1:12" x14ac:dyDescent="0.25">
      <c r="A54" s="100">
        <v>50</v>
      </c>
      <c r="B54" s="107" t="s">
        <v>1311</v>
      </c>
      <c r="C54" s="108">
        <v>3332047</v>
      </c>
      <c r="D54" s="107" t="s">
        <v>1150</v>
      </c>
      <c r="E54" s="106">
        <v>644.26</v>
      </c>
      <c r="F54" s="102">
        <v>16.275460000000002</v>
      </c>
      <c r="G54" s="106"/>
      <c r="H54" s="106"/>
      <c r="I54" s="103">
        <f t="shared" si="0"/>
        <v>652.39773000000002</v>
      </c>
      <c r="J54" s="103">
        <f t="shared" si="1"/>
        <v>636.12226999999996</v>
      </c>
      <c r="K54" s="103">
        <v>652.39773000000002</v>
      </c>
      <c r="L54" s="103">
        <v>636.12226999999996</v>
      </c>
    </row>
    <row r="55" spans="1:12" x14ac:dyDescent="0.25">
      <c r="A55" s="104">
        <v>51</v>
      </c>
      <c r="B55" s="107" t="s">
        <v>1394</v>
      </c>
      <c r="C55" s="108">
        <v>3622192</v>
      </c>
      <c r="D55" s="107" t="s">
        <v>1148</v>
      </c>
      <c r="E55" s="106">
        <v>639.84</v>
      </c>
      <c r="F55" s="102">
        <v>16.275460000000002</v>
      </c>
      <c r="G55" s="106"/>
      <c r="H55" s="106"/>
      <c r="I55" s="103">
        <f t="shared" si="0"/>
        <v>647.97773000000007</v>
      </c>
      <c r="J55" s="103">
        <f t="shared" si="1"/>
        <v>631.70227</v>
      </c>
      <c r="K55" s="103">
        <v>647.97773000000007</v>
      </c>
      <c r="L55" s="103">
        <v>631.70227</v>
      </c>
    </row>
    <row r="56" spans="1:12" x14ac:dyDescent="0.25">
      <c r="A56" s="100">
        <v>52</v>
      </c>
      <c r="B56" s="107" t="s">
        <v>1361</v>
      </c>
      <c r="C56" s="108">
        <v>3532073</v>
      </c>
      <c r="D56" s="107" t="s">
        <v>1148</v>
      </c>
      <c r="E56" s="106">
        <v>641.09</v>
      </c>
      <c r="F56" s="102">
        <v>16.275460000000002</v>
      </c>
      <c r="G56" s="106"/>
      <c r="H56" s="106"/>
      <c r="I56" s="103">
        <f t="shared" si="0"/>
        <v>649.22773000000007</v>
      </c>
      <c r="J56" s="103">
        <f t="shared" si="1"/>
        <v>632.95227</v>
      </c>
      <c r="K56" s="103">
        <v>649.22773000000007</v>
      </c>
      <c r="L56" s="103">
        <v>632.95227</v>
      </c>
    </row>
    <row r="57" spans="1:12" x14ac:dyDescent="0.25">
      <c r="A57" s="104">
        <v>53</v>
      </c>
      <c r="B57" s="107" t="s">
        <v>1318</v>
      </c>
      <c r="C57" s="108">
        <v>3812106</v>
      </c>
      <c r="D57" s="107" t="s">
        <v>1148</v>
      </c>
      <c r="E57" s="106">
        <v>649.79</v>
      </c>
      <c r="F57" s="102">
        <v>16.275460000000002</v>
      </c>
      <c r="G57" s="106"/>
      <c r="H57" s="106"/>
      <c r="I57" s="103">
        <f t="shared" si="0"/>
        <v>657.92773</v>
      </c>
      <c r="J57" s="103">
        <f t="shared" si="1"/>
        <v>641.65226999999993</v>
      </c>
      <c r="K57" s="103">
        <v>657.92773</v>
      </c>
      <c r="L57" s="103">
        <v>641.65226999999993</v>
      </c>
    </row>
    <row r="58" spans="1:12" x14ac:dyDescent="0.25">
      <c r="A58" s="100">
        <v>54</v>
      </c>
      <c r="B58" s="107" t="s">
        <v>1315</v>
      </c>
      <c r="C58" s="108">
        <v>3212274</v>
      </c>
      <c r="D58" s="107" t="s">
        <v>1261</v>
      </c>
      <c r="E58" s="106">
        <v>640.29999999999995</v>
      </c>
      <c r="F58" s="102">
        <v>16.275460000000002</v>
      </c>
      <c r="G58" s="106"/>
      <c r="H58" s="106"/>
      <c r="I58" s="103">
        <f t="shared" si="0"/>
        <v>648.43772999999999</v>
      </c>
      <c r="J58" s="103">
        <f t="shared" si="1"/>
        <v>632.16226999999992</v>
      </c>
      <c r="K58" s="103">
        <v>648.43772999999999</v>
      </c>
      <c r="L58" s="103">
        <v>632.16226999999992</v>
      </c>
    </row>
    <row r="59" spans="1:12" x14ac:dyDescent="0.25">
      <c r="A59" s="104">
        <v>55</v>
      </c>
      <c r="B59" s="107" t="s">
        <v>1311</v>
      </c>
      <c r="C59" s="108">
        <v>3332016</v>
      </c>
      <c r="D59" s="107" t="s">
        <v>1147</v>
      </c>
      <c r="E59" s="106">
        <v>643.46</v>
      </c>
      <c r="F59" s="102">
        <v>16.275460000000002</v>
      </c>
      <c r="G59" s="106"/>
      <c r="H59" s="106"/>
      <c r="I59" s="103">
        <f t="shared" si="0"/>
        <v>651.59773000000007</v>
      </c>
      <c r="J59" s="103">
        <f t="shared" si="1"/>
        <v>635.32227</v>
      </c>
      <c r="K59" s="103">
        <v>651.59773000000007</v>
      </c>
      <c r="L59" s="103">
        <v>635.32227</v>
      </c>
    </row>
    <row r="60" spans="1:12" x14ac:dyDescent="0.25">
      <c r="A60" s="100">
        <v>56</v>
      </c>
      <c r="B60" s="107" t="s">
        <v>1315</v>
      </c>
      <c r="C60" s="108">
        <v>3212034</v>
      </c>
      <c r="D60" s="107" t="s">
        <v>1252</v>
      </c>
      <c r="E60" s="106">
        <v>649.61</v>
      </c>
      <c r="F60" s="102">
        <v>16.275460000000002</v>
      </c>
      <c r="G60" s="106"/>
      <c r="H60" s="106"/>
      <c r="I60" s="103">
        <f t="shared" si="0"/>
        <v>657.74773000000005</v>
      </c>
      <c r="J60" s="103">
        <f t="shared" si="1"/>
        <v>641.47226999999998</v>
      </c>
      <c r="K60" s="103">
        <v>657.74773000000005</v>
      </c>
      <c r="L60" s="103">
        <v>641.47226999999998</v>
      </c>
    </row>
    <row r="61" spans="1:12" x14ac:dyDescent="0.25">
      <c r="A61" s="104">
        <v>57</v>
      </c>
      <c r="B61" s="107" t="s">
        <v>1311</v>
      </c>
      <c r="C61" s="108">
        <v>3332032</v>
      </c>
      <c r="D61" s="107" t="s">
        <v>1516</v>
      </c>
      <c r="E61" s="106">
        <v>643.29999999999995</v>
      </c>
      <c r="F61" s="102">
        <v>16.275460000000002</v>
      </c>
      <c r="G61" s="106"/>
      <c r="H61" s="106"/>
      <c r="I61" s="103">
        <f t="shared" si="0"/>
        <v>651.43772999999999</v>
      </c>
      <c r="J61" s="103">
        <f t="shared" si="1"/>
        <v>635.16226999999992</v>
      </c>
      <c r="K61" s="103">
        <v>651.43772999999999</v>
      </c>
      <c r="L61" s="103">
        <v>635.16226999999992</v>
      </c>
    </row>
    <row r="62" spans="1:12" x14ac:dyDescent="0.25">
      <c r="A62" s="100">
        <v>58</v>
      </c>
      <c r="B62" s="107" t="s">
        <v>1359</v>
      </c>
      <c r="C62" s="108">
        <v>3552135</v>
      </c>
      <c r="D62" s="107" t="s">
        <v>1153</v>
      </c>
      <c r="E62" s="106">
        <v>641.29</v>
      </c>
      <c r="F62" s="102">
        <v>16.275460000000002</v>
      </c>
      <c r="G62" s="106"/>
      <c r="H62" s="106"/>
      <c r="I62" s="103">
        <f t="shared" si="0"/>
        <v>649.42773</v>
      </c>
      <c r="J62" s="103">
        <f t="shared" si="1"/>
        <v>633.15226999999993</v>
      </c>
      <c r="K62" s="103">
        <v>649.42773</v>
      </c>
      <c r="L62" s="103">
        <v>633.15226999999993</v>
      </c>
    </row>
    <row r="63" spans="1:12" x14ac:dyDescent="0.25">
      <c r="A63" s="104">
        <v>59</v>
      </c>
      <c r="B63" s="107" t="s">
        <v>1353</v>
      </c>
      <c r="C63" s="108">
        <v>3722107</v>
      </c>
      <c r="D63" s="107" t="s">
        <v>1154</v>
      </c>
      <c r="E63" s="106">
        <v>640.41</v>
      </c>
      <c r="F63" s="102">
        <v>16.275460000000002</v>
      </c>
      <c r="G63" s="106"/>
      <c r="H63" s="106"/>
      <c r="I63" s="103">
        <f t="shared" si="0"/>
        <v>648.54773</v>
      </c>
      <c r="J63" s="103">
        <f t="shared" si="1"/>
        <v>632.27226999999993</v>
      </c>
      <c r="K63" s="103">
        <v>648.54773</v>
      </c>
      <c r="L63" s="103">
        <v>632.27226999999993</v>
      </c>
    </row>
    <row r="64" spans="1:12" x14ac:dyDescent="0.25">
      <c r="A64" s="100">
        <v>60</v>
      </c>
      <c r="B64" s="107" t="s">
        <v>1315</v>
      </c>
      <c r="C64" s="108">
        <v>3212282</v>
      </c>
      <c r="D64" s="107" t="s">
        <v>1517</v>
      </c>
      <c r="E64" s="106">
        <v>631.42999999999995</v>
      </c>
      <c r="F64" s="102">
        <v>16.275460000000002</v>
      </c>
      <c r="G64" s="106"/>
      <c r="H64" s="106"/>
      <c r="I64" s="103">
        <f t="shared" si="0"/>
        <v>639.56772999999998</v>
      </c>
      <c r="J64" s="103">
        <f t="shared" si="1"/>
        <v>623.29226999999992</v>
      </c>
      <c r="K64" s="103">
        <v>639.56772999999998</v>
      </c>
      <c r="L64" s="103">
        <v>623.29226999999992</v>
      </c>
    </row>
    <row r="65" spans="1:12" x14ac:dyDescent="0.25">
      <c r="A65" s="104">
        <v>61</v>
      </c>
      <c r="B65" s="107" t="s">
        <v>1315</v>
      </c>
      <c r="C65" s="108">
        <v>3212251</v>
      </c>
      <c r="D65" s="107" t="s">
        <v>1518</v>
      </c>
      <c r="E65" s="106">
        <v>633.41999999999996</v>
      </c>
      <c r="F65" s="102">
        <v>16.275460000000002</v>
      </c>
      <c r="G65" s="106"/>
      <c r="H65" s="106"/>
      <c r="I65" s="103">
        <f t="shared" si="0"/>
        <v>641.55772999999999</v>
      </c>
      <c r="J65" s="103">
        <f t="shared" si="1"/>
        <v>625.28226999999993</v>
      </c>
      <c r="K65" s="103">
        <v>641.55772999999999</v>
      </c>
      <c r="L65" s="103">
        <v>625.28226999999993</v>
      </c>
    </row>
    <row r="66" spans="1:12" x14ac:dyDescent="0.25">
      <c r="A66" s="100">
        <v>62</v>
      </c>
      <c r="B66" s="107" t="s">
        <v>1315</v>
      </c>
      <c r="C66" s="108">
        <v>3212243</v>
      </c>
      <c r="D66" s="107" t="s">
        <v>1519</v>
      </c>
      <c r="E66" s="106">
        <v>637.25</v>
      </c>
      <c r="F66" s="102">
        <v>16.275460000000002</v>
      </c>
      <c r="G66" s="106"/>
      <c r="H66" s="106"/>
      <c r="I66" s="103">
        <f t="shared" si="0"/>
        <v>645.38773000000003</v>
      </c>
      <c r="J66" s="103">
        <f t="shared" si="1"/>
        <v>629.11226999999997</v>
      </c>
      <c r="K66" s="103">
        <v>645.38773000000003</v>
      </c>
      <c r="L66" s="103">
        <v>629.11226999999997</v>
      </c>
    </row>
    <row r="67" spans="1:12" x14ac:dyDescent="0.25">
      <c r="A67" s="104">
        <v>63</v>
      </c>
      <c r="B67" s="107" t="s">
        <v>1318</v>
      </c>
      <c r="C67" s="108">
        <v>3812095</v>
      </c>
      <c r="D67" s="107" t="s">
        <v>1150</v>
      </c>
      <c r="E67" s="106">
        <v>642.05999999999995</v>
      </c>
      <c r="F67" s="102">
        <v>16.275460000000002</v>
      </c>
      <c r="G67" s="106"/>
      <c r="H67" s="106"/>
      <c r="I67" s="103">
        <f t="shared" si="0"/>
        <v>650.19772999999998</v>
      </c>
      <c r="J67" s="103">
        <f t="shared" si="1"/>
        <v>633.92226999999991</v>
      </c>
      <c r="K67" s="103">
        <v>650.19772999999998</v>
      </c>
      <c r="L67" s="103">
        <v>633.92226999999991</v>
      </c>
    </row>
    <row r="68" spans="1:12" x14ac:dyDescent="0.25">
      <c r="A68" s="100">
        <v>64</v>
      </c>
      <c r="B68" s="107" t="s">
        <v>1311</v>
      </c>
      <c r="C68" s="108">
        <v>3332241</v>
      </c>
      <c r="D68" s="107" t="s">
        <v>1232</v>
      </c>
      <c r="E68" s="106">
        <v>638.88</v>
      </c>
      <c r="F68" s="102">
        <v>16.275460000000002</v>
      </c>
      <c r="G68" s="106"/>
      <c r="H68" s="106"/>
      <c r="I68" s="103">
        <f t="shared" si="0"/>
        <v>647.01773000000003</v>
      </c>
      <c r="J68" s="103">
        <f t="shared" si="1"/>
        <v>630.74226999999996</v>
      </c>
      <c r="K68" s="103">
        <v>647.01773000000003</v>
      </c>
      <c r="L68" s="103">
        <v>630.74226999999996</v>
      </c>
    </row>
    <row r="69" spans="1:12" x14ac:dyDescent="0.25">
      <c r="A69" s="104">
        <v>65</v>
      </c>
      <c r="B69" s="107" t="s">
        <v>1359</v>
      </c>
      <c r="C69" s="108">
        <v>3552077</v>
      </c>
      <c r="D69" s="107" t="s">
        <v>1155</v>
      </c>
      <c r="E69" s="106">
        <v>637.41</v>
      </c>
      <c r="F69" s="102">
        <v>16.275460000000002</v>
      </c>
      <c r="G69" s="106"/>
      <c r="H69" s="106"/>
      <c r="I69" s="103">
        <f t="shared" si="0"/>
        <v>645.54773</v>
      </c>
      <c r="J69" s="103">
        <f t="shared" si="1"/>
        <v>629.27226999999993</v>
      </c>
      <c r="K69" s="103">
        <v>645.54773</v>
      </c>
      <c r="L69" s="103">
        <v>629.27226999999993</v>
      </c>
    </row>
    <row r="70" spans="1:12" x14ac:dyDescent="0.25">
      <c r="A70" s="100">
        <v>66</v>
      </c>
      <c r="B70" s="107" t="s">
        <v>1311</v>
      </c>
      <c r="C70" s="108">
        <v>3332202</v>
      </c>
      <c r="D70" s="107" t="s">
        <v>1149</v>
      </c>
      <c r="E70" s="106">
        <v>640.29999999999995</v>
      </c>
      <c r="F70" s="102">
        <v>16.275460000000002</v>
      </c>
      <c r="G70" s="106"/>
      <c r="H70" s="106"/>
      <c r="I70" s="103">
        <f t="shared" ref="I70:I133" si="2">E70+0.5*F70</f>
        <v>648.43772999999999</v>
      </c>
      <c r="J70" s="103">
        <f t="shared" ref="J70:J133" si="3">E70-0.5*F70</f>
        <v>632.16226999999992</v>
      </c>
      <c r="K70" s="103">
        <v>648.43772999999999</v>
      </c>
      <c r="L70" s="103">
        <v>632.16226999999992</v>
      </c>
    </row>
    <row r="71" spans="1:12" x14ac:dyDescent="0.25">
      <c r="A71" s="104">
        <v>67</v>
      </c>
      <c r="B71" s="107" t="s">
        <v>1353</v>
      </c>
      <c r="C71" s="108">
        <v>3722065</v>
      </c>
      <c r="D71" s="107" t="s">
        <v>1148</v>
      </c>
      <c r="E71" s="106">
        <v>640.9</v>
      </c>
      <c r="F71" s="102">
        <v>16.275460000000002</v>
      </c>
      <c r="G71" s="106"/>
      <c r="H71" s="106"/>
      <c r="I71" s="103">
        <f t="shared" si="2"/>
        <v>649.03773000000001</v>
      </c>
      <c r="J71" s="103">
        <f t="shared" si="3"/>
        <v>632.76226999999994</v>
      </c>
      <c r="K71" s="103">
        <v>649.03773000000001</v>
      </c>
      <c r="L71" s="103">
        <v>632.76226999999994</v>
      </c>
    </row>
    <row r="72" spans="1:12" x14ac:dyDescent="0.25">
      <c r="A72" s="100">
        <v>68</v>
      </c>
      <c r="B72" s="107" t="s">
        <v>1315</v>
      </c>
      <c r="C72" s="108">
        <v>3212185</v>
      </c>
      <c r="D72" s="107" t="s">
        <v>1169</v>
      </c>
      <c r="E72" s="106">
        <v>650.02</v>
      </c>
      <c r="F72" s="102">
        <v>16.275460000000002</v>
      </c>
      <c r="G72" s="106"/>
      <c r="H72" s="106"/>
      <c r="I72" s="103">
        <f t="shared" si="2"/>
        <v>658.15773000000002</v>
      </c>
      <c r="J72" s="103">
        <f t="shared" si="3"/>
        <v>641.88226999999995</v>
      </c>
      <c r="K72" s="103">
        <v>658.15773000000002</v>
      </c>
      <c r="L72" s="103">
        <v>641.88226999999995</v>
      </c>
    </row>
    <row r="73" spans="1:12" x14ac:dyDescent="0.25">
      <c r="A73" s="104">
        <v>69</v>
      </c>
      <c r="B73" s="107" t="s">
        <v>1359</v>
      </c>
      <c r="C73" s="108">
        <v>3552062</v>
      </c>
      <c r="D73" s="107" t="s">
        <v>1150</v>
      </c>
      <c r="E73" s="106">
        <v>641.26</v>
      </c>
      <c r="F73" s="102">
        <v>16.275460000000002</v>
      </c>
      <c r="G73" s="106"/>
      <c r="H73" s="106"/>
      <c r="I73" s="103">
        <f t="shared" si="2"/>
        <v>649.39773000000002</v>
      </c>
      <c r="J73" s="103">
        <f t="shared" si="3"/>
        <v>633.12226999999996</v>
      </c>
      <c r="K73" s="103">
        <v>649.39773000000002</v>
      </c>
      <c r="L73" s="103">
        <v>633.12226999999996</v>
      </c>
    </row>
    <row r="74" spans="1:12" x14ac:dyDescent="0.25">
      <c r="A74" s="100">
        <v>70</v>
      </c>
      <c r="B74" s="107" t="s">
        <v>1361</v>
      </c>
      <c r="C74" s="108">
        <v>3532332</v>
      </c>
      <c r="D74" s="107" t="s">
        <v>1154</v>
      </c>
      <c r="E74" s="106">
        <v>634.88</v>
      </c>
      <c r="F74" s="102">
        <v>16.275460000000002</v>
      </c>
      <c r="G74" s="106"/>
      <c r="H74" s="106"/>
      <c r="I74" s="103">
        <f t="shared" si="2"/>
        <v>643.01773000000003</v>
      </c>
      <c r="J74" s="103">
        <f t="shared" si="3"/>
        <v>626.74226999999996</v>
      </c>
      <c r="K74" s="103">
        <v>643.01773000000003</v>
      </c>
      <c r="L74" s="103">
        <v>626.74226999999996</v>
      </c>
    </row>
    <row r="75" spans="1:12" x14ac:dyDescent="0.25">
      <c r="A75" s="104">
        <v>71</v>
      </c>
      <c r="B75" s="107" t="s">
        <v>1361</v>
      </c>
      <c r="C75" s="108">
        <v>3532065</v>
      </c>
      <c r="D75" s="107" t="s">
        <v>1150</v>
      </c>
      <c r="E75" s="106">
        <v>638.26</v>
      </c>
      <c r="F75" s="102">
        <v>16.275460000000002</v>
      </c>
      <c r="G75" s="106"/>
      <c r="H75" s="106"/>
      <c r="I75" s="103">
        <f t="shared" si="2"/>
        <v>646.39773000000002</v>
      </c>
      <c r="J75" s="103">
        <f t="shared" si="3"/>
        <v>630.12226999999996</v>
      </c>
      <c r="K75" s="103">
        <v>646.39773000000002</v>
      </c>
      <c r="L75" s="103">
        <v>630.12226999999996</v>
      </c>
    </row>
    <row r="76" spans="1:12" x14ac:dyDescent="0.25">
      <c r="A76" s="100">
        <v>72</v>
      </c>
      <c r="B76" s="107" t="s">
        <v>1394</v>
      </c>
      <c r="C76" s="108">
        <v>3622385</v>
      </c>
      <c r="D76" s="107" t="s">
        <v>1153</v>
      </c>
      <c r="E76" s="106">
        <v>626.99</v>
      </c>
      <c r="F76" s="102">
        <v>16.275460000000002</v>
      </c>
      <c r="G76" s="106"/>
      <c r="H76" s="106"/>
      <c r="I76" s="103">
        <f t="shared" si="2"/>
        <v>635.12773000000004</v>
      </c>
      <c r="J76" s="103">
        <f t="shared" si="3"/>
        <v>618.85226999999998</v>
      </c>
      <c r="K76" s="103">
        <v>635.12773000000004</v>
      </c>
      <c r="L76" s="103">
        <v>618.85226999999998</v>
      </c>
    </row>
    <row r="77" spans="1:12" x14ac:dyDescent="0.25">
      <c r="A77" s="104">
        <v>73</v>
      </c>
      <c r="B77" s="107" t="s">
        <v>1361</v>
      </c>
      <c r="C77" s="108">
        <v>3532026</v>
      </c>
      <c r="D77" s="107" t="s">
        <v>1149</v>
      </c>
      <c r="E77" s="106">
        <v>638.62</v>
      </c>
      <c r="F77" s="102">
        <v>16.275460000000002</v>
      </c>
      <c r="G77" s="106"/>
      <c r="H77" s="106"/>
      <c r="I77" s="103">
        <f t="shared" si="2"/>
        <v>646.75773000000004</v>
      </c>
      <c r="J77" s="103">
        <f t="shared" si="3"/>
        <v>630.48226999999997</v>
      </c>
      <c r="K77" s="103">
        <v>646.75773000000004</v>
      </c>
      <c r="L77" s="103">
        <v>630.48226999999997</v>
      </c>
    </row>
    <row r="78" spans="1:12" x14ac:dyDescent="0.25">
      <c r="A78" s="100">
        <v>74</v>
      </c>
      <c r="B78" s="107" t="s">
        <v>1520</v>
      </c>
      <c r="C78" s="108">
        <v>3642103</v>
      </c>
      <c r="D78" s="107" t="s">
        <v>1227</v>
      </c>
      <c r="E78" s="106">
        <v>628.29</v>
      </c>
      <c r="F78" s="102">
        <v>16.275460000000002</v>
      </c>
      <c r="G78" s="106"/>
      <c r="H78" s="106"/>
      <c r="I78" s="103">
        <f t="shared" si="2"/>
        <v>636.42773</v>
      </c>
      <c r="J78" s="103">
        <f t="shared" si="3"/>
        <v>620.15226999999993</v>
      </c>
      <c r="K78" s="103">
        <v>636.42773</v>
      </c>
      <c r="L78" s="103">
        <v>620.15226999999993</v>
      </c>
    </row>
    <row r="79" spans="1:12" x14ac:dyDescent="0.25">
      <c r="A79" s="104">
        <v>75</v>
      </c>
      <c r="B79" s="107" t="s">
        <v>1311</v>
      </c>
      <c r="C79" s="108">
        <v>3332055</v>
      </c>
      <c r="D79" s="107" t="s">
        <v>1156</v>
      </c>
      <c r="E79" s="106">
        <v>631.15</v>
      </c>
      <c r="F79" s="102">
        <v>16.275460000000002</v>
      </c>
      <c r="G79" s="106"/>
      <c r="H79" s="106"/>
      <c r="I79" s="103">
        <f t="shared" si="2"/>
        <v>639.28773000000001</v>
      </c>
      <c r="J79" s="103">
        <f t="shared" si="3"/>
        <v>623.01226999999994</v>
      </c>
      <c r="K79" s="103">
        <v>639.28773000000001</v>
      </c>
      <c r="L79" s="103">
        <v>623.01226999999994</v>
      </c>
    </row>
    <row r="80" spans="1:12" x14ac:dyDescent="0.25">
      <c r="A80" s="100">
        <v>76</v>
      </c>
      <c r="B80" s="107" t="s">
        <v>1318</v>
      </c>
      <c r="C80" s="108">
        <v>3812017</v>
      </c>
      <c r="D80" s="107" t="s">
        <v>1147</v>
      </c>
      <c r="E80" s="106">
        <v>637.46</v>
      </c>
      <c r="F80" s="102">
        <v>16.275460000000002</v>
      </c>
      <c r="G80" s="106"/>
      <c r="H80" s="106"/>
      <c r="I80" s="103">
        <f t="shared" si="2"/>
        <v>645.59773000000007</v>
      </c>
      <c r="J80" s="103">
        <f t="shared" si="3"/>
        <v>629.32227</v>
      </c>
      <c r="K80" s="103">
        <v>645.59773000000007</v>
      </c>
      <c r="L80" s="103">
        <v>629.32227</v>
      </c>
    </row>
    <row r="81" spans="1:12" x14ac:dyDescent="0.25">
      <c r="A81" s="104">
        <v>77</v>
      </c>
      <c r="B81" s="107" t="s">
        <v>1311</v>
      </c>
      <c r="C81" s="108">
        <v>3332256</v>
      </c>
      <c r="D81" s="107" t="s">
        <v>1265</v>
      </c>
      <c r="E81" s="106">
        <v>639</v>
      </c>
      <c r="F81" s="102">
        <v>16.275460000000002</v>
      </c>
      <c r="G81" s="106"/>
      <c r="H81" s="106"/>
      <c r="I81" s="103">
        <f t="shared" si="2"/>
        <v>647.13773000000003</v>
      </c>
      <c r="J81" s="103">
        <f t="shared" si="3"/>
        <v>630.86226999999997</v>
      </c>
      <c r="K81" s="103">
        <v>647.13773000000003</v>
      </c>
      <c r="L81" s="103">
        <v>630.86226999999997</v>
      </c>
    </row>
    <row r="82" spans="1:12" x14ac:dyDescent="0.25">
      <c r="A82" s="100">
        <v>78</v>
      </c>
      <c r="B82" s="107" t="s">
        <v>1311</v>
      </c>
      <c r="C82" s="108">
        <v>3332272</v>
      </c>
      <c r="D82" s="107" t="s">
        <v>1170</v>
      </c>
      <c r="E82" s="106">
        <v>631.44000000000005</v>
      </c>
      <c r="F82" s="102">
        <v>16.275460000000002</v>
      </c>
      <c r="G82" s="106"/>
      <c r="H82" s="106"/>
      <c r="I82" s="103">
        <f t="shared" si="2"/>
        <v>639.57773000000009</v>
      </c>
      <c r="J82" s="103">
        <f t="shared" si="3"/>
        <v>623.30227000000002</v>
      </c>
      <c r="K82" s="103">
        <v>639.57773000000009</v>
      </c>
      <c r="L82" s="103">
        <v>623.30227000000002</v>
      </c>
    </row>
    <row r="83" spans="1:12" x14ac:dyDescent="0.25">
      <c r="A83" s="104">
        <v>79</v>
      </c>
      <c r="B83" s="107" t="s">
        <v>1361</v>
      </c>
      <c r="C83" s="108">
        <v>3532154</v>
      </c>
      <c r="D83" s="107" t="s">
        <v>1227</v>
      </c>
      <c r="E83" s="106">
        <v>625.62</v>
      </c>
      <c r="F83" s="102">
        <v>16.275460000000002</v>
      </c>
      <c r="G83" s="106"/>
      <c r="H83" s="106"/>
      <c r="I83" s="103">
        <f t="shared" si="2"/>
        <v>633.75773000000004</v>
      </c>
      <c r="J83" s="103">
        <f t="shared" si="3"/>
        <v>617.48226999999997</v>
      </c>
      <c r="K83" s="103">
        <v>633.75773000000004</v>
      </c>
      <c r="L83" s="103">
        <v>617.48226999999997</v>
      </c>
    </row>
    <row r="84" spans="1:12" x14ac:dyDescent="0.25">
      <c r="A84" s="100">
        <v>80</v>
      </c>
      <c r="B84" s="107" t="s">
        <v>1359</v>
      </c>
      <c r="C84" s="108">
        <v>3552054</v>
      </c>
      <c r="D84" s="107" t="s">
        <v>1194</v>
      </c>
      <c r="E84" s="106">
        <v>632.84</v>
      </c>
      <c r="F84" s="102">
        <v>16.275460000000002</v>
      </c>
      <c r="G84" s="106"/>
      <c r="H84" s="106"/>
      <c r="I84" s="103">
        <f t="shared" si="2"/>
        <v>640.97773000000007</v>
      </c>
      <c r="J84" s="103">
        <f t="shared" si="3"/>
        <v>624.70227</v>
      </c>
      <c r="K84" s="103">
        <v>640.97773000000007</v>
      </c>
      <c r="L84" s="103">
        <v>624.70227</v>
      </c>
    </row>
    <row r="85" spans="1:12" x14ac:dyDescent="0.25">
      <c r="A85" s="104">
        <v>81</v>
      </c>
      <c r="B85" s="107" t="s">
        <v>1353</v>
      </c>
      <c r="C85" s="108">
        <v>3722057</v>
      </c>
      <c r="D85" s="107" t="s">
        <v>1150</v>
      </c>
      <c r="E85" s="106">
        <v>634.65</v>
      </c>
      <c r="F85" s="102">
        <v>16.275460000000002</v>
      </c>
      <c r="G85" s="106"/>
      <c r="H85" s="106"/>
      <c r="I85" s="103">
        <f t="shared" si="2"/>
        <v>642.78773000000001</v>
      </c>
      <c r="J85" s="103">
        <f t="shared" si="3"/>
        <v>626.51226999999994</v>
      </c>
      <c r="K85" s="103">
        <v>642.78773000000001</v>
      </c>
      <c r="L85" s="103">
        <v>626.51226999999994</v>
      </c>
    </row>
    <row r="86" spans="1:12" x14ac:dyDescent="0.25">
      <c r="A86" s="100">
        <v>82</v>
      </c>
      <c r="B86" s="107" t="s">
        <v>1311</v>
      </c>
      <c r="C86" s="108">
        <v>3332144</v>
      </c>
      <c r="D86" s="107" t="s">
        <v>1151</v>
      </c>
      <c r="E86" s="106">
        <v>631.12</v>
      </c>
      <c r="F86" s="102">
        <v>16.275460000000002</v>
      </c>
      <c r="G86" s="106"/>
      <c r="H86" s="106"/>
      <c r="I86" s="103">
        <f t="shared" si="2"/>
        <v>639.25773000000004</v>
      </c>
      <c r="J86" s="103">
        <f t="shared" si="3"/>
        <v>622.98226999999997</v>
      </c>
      <c r="K86" s="103">
        <v>639.25773000000004</v>
      </c>
      <c r="L86" s="103">
        <v>622.98226999999997</v>
      </c>
    </row>
    <row r="87" spans="1:12" x14ac:dyDescent="0.25">
      <c r="A87" s="104">
        <v>83</v>
      </c>
      <c r="B87" s="107" t="s">
        <v>1313</v>
      </c>
      <c r="C87" s="108">
        <v>3612077</v>
      </c>
      <c r="D87" s="107" t="s">
        <v>1521</v>
      </c>
      <c r="E87" s="106">
        <v>632.64</v>
      </c>
      <c r="F87" s="102">
        <v>16.275460000000002</v>
      </c>
      <c r="G87" s="106"/>
      <c r="H87" s="106"/>
      <c r="I87" s="103">
        <f t="shared" si="2"/>
        <v>640.77773000000002</v>
      </c>
      <c r="J87" s="103">
        <f t="shared" si="3"/>
        <v>624.50226999999995</v>
      </c>
      <c r="K87" s="103">
        <v>640.77773000000002</v>
      </c>
      <c r="L87" s="103">
        <v>624.50226999999995</v>
      </c>
    </row>
    <row r="88" spans="1:12" x14ac:dyDescent="0.25">
      <c r="A88" s="100">
        <v>84</v>
      </c>
      <c r="B88" s="107" t="s">
        <v>1313</v>
      </c>
      <c r="C88" s="108">
        <v>3612104</v>
      </c>
      <c r="D88" s="107" t="s">
        <v>1212</v>
      </c>
      <c r="E88" s="106">
        <v>637.25</v>
      </c>
      <c r="F88" s="102">
        <v>16.275460000000002</v>
      </c>
      <c r="G88" s="106"/>
      <c r="H88" s="106"/>
      <c r="I88" s="103">
        <f t="shared" si="2"/>
        <v>645.38773000000003</v>
      </c>
      <c r="J88" s="103">
        <f t="shared" si="3"/>
        <v>629.11226999999997</v>
      </c>
      <c r="K88" s="103">
        <v>645.38773000000003</v>
      </c>
      <c r="L88" s="103">
        <v>629.11226999999997</v>
      </c>
    </row>
    <row r="89" spans="1:12" x14ac:dyDescent="0.25">
      <c r="A89" s="104">
        <v>85</v>
      </c>
      <c r="B89" s="107" t="s">
        <v>1361</v>
      </c>
      <c r="C89" s="108">
        <v>3532057</v>
      </c>
      <c r="D89" s="107" t="s">
        <v>1155</v>
      </c>
      <c r="E89" s="106">
        <v>629.28</v>
      </c>
      <c r="F89" s="102">
        <v>16.275460000000002</v>
      </c>
      <c r="G89" s="106"/>
      <c r="H89" s="106"/>
      <c r="I89" s="103">
        <f t="shared" si="2"/>
        <v>637.41773000000001</v>
      </c>
      <c r="J89" s="103">
        <f t="shared" si="3"/>
        <v>621.14226999999994</v>
      </c>
      <c r="K89" s="103">
        <v>637.41773000000001</v>
      </c>
      <c r="L89" s="103">
        <v>621.14226999999994</v>
      </c>
    </row>
    <row r="90" spans="1:12" x14ac:dyDescent="0.25">
      <c r="A90" s="100">
        <v>86</v>
      </c>
      <c r="B90" s="107" t="s">
        <v>1421</v>
      </c>
      <c r="C90" s="108">
        <v>3632066</v>
      </c>
      <c r="D90" s="107" t="s">
        <v>1149</v>
      </c>
      <c r="E90" s="106">
        <v>626.33000000000004</v>
      </c>
      <c r="F90" s="102">
        <v>16.275460000000002</v>
      </c>
      <c r="G90" s="106"/>
      <c r="H90" s="106"/>
      <c r="I90" s="103">
        <f t="shared" si="2"/>
        <v>634.46773000000007</v>
      </c>
      <c r="J90" s="103">
        <f t="shared" si="3"/>
        <v>618.19227000000001</v>
      </c>
      <c r="K90" s="103">
        <v>634.46773000000007</v>
      </c>
      <c r="L90" s="103">
        <v>618.19227000000001</v>
      </c>
    </row>
    <row r="91" spans="1:12" x14ac:dyDescent="0.25">
      <c r="A91" s="104">
        <v>87</v>
      </c>
      <c r="B91" s="107" t="s">
        <v>1359</v>
      </c>
      <c r="C91" s="108">
        <v>3552104</v>
      </c>
      <c r="D91" s="107" t="s">
        <v>1522</v>
      </c>
      <c r="E91" s="106">
        <v>632.16</v>
      </c>
      <c r="F91" s="102">
        <v>16.275460000000002</v>
      </c>
      <c r="G91" s="106"/>
      <c r="H91" s="106"/>
      <c r="I91" s="103">
        <f t="shared" si="2"/>
        <v>640.29773</v>
      </c>
      <c r="J91" s="103">
        <f t="shared" si="3"/>
        <v>624.02226999999993</v>
      </c>
      <c r="K91" s="103">
        <v>640.29773</v>
      </c>
      <c r="L91" s="103">
        <v>624.02226999999993</v>
      </c>
    </row>
    <row r="92" spans="1:12" x14ac:dyDescent="0.25">
      <c r="A92" s="100">
        <v>88</v>
      </c>
      <c r="B92" s="107" t="s">
        <v>1318</v>
      </c>
      <c r="C92" s="108">
        <v>3812114</v>
      </c>
      <c r="D92" s="107" t="s">
        <v>1149</v>
      </c>
      <c r="E92" s="106">
        <v>637.9</v>
      </c>
      <c r="F92" s="102">
        <v>16.275460000000002</v>
      </c>
      <c r="G92" s="106"/>
      <c r="H92" s="106"/>
      <c r="I92" s="103">
        <f t="shared" si="2"/>
        <v>646.03773000000001</v>
      </c>
      <c r="J92" s="103">
        <f t="shared" si="3"/>
        <v>629.76226999999994</v>
      </c>
      <c r="K92" s="103">
        <v>646.03773000000001</v>
      </c>
      <c r="L92" s="103">
        <v>629.76226999999994</v>
      </c>
    </row>
    <row r="93" spans="1:12" x14ac:dyDescent="0.25">
      <c r="A93" s="104">
        <v>89</v>
      </c>
      <c r="B93" s="107" t="s">
        <v>1311</v>
      </c>
      <c r="C93" s="108">
        <v>3332071</v>
      </c>
      <c r="D93" s="107" t="s">
        <v>1514</v>
      </c>
      <c r="E93" s="106">
        <v>624.04</v>
      </c>
      <c r="F93" s="102">
        <v>16.275460000000002</v>
      </c>
      <c r="G93" s="106"/>
      <c r="H93" s="106"/>
      <c r="I93" s="103">
        <f t="shared" si="2"/>
        <v>632.17773</v>
      </c>
      <c r="J93" s="103">
        <f t="shared" si="3"/>
        <v>615.90226999999993</v>
      </c>
      <c r="K93" s="103">
        <v>632.17773</v>
      </c>
      <c r="L93" s="103">
        <v>615.90226999999993</v>
      </c>
    </row>
    <row r="94" spans="1:12" x14ac:dyDescent="0.25">
      <c r="A94" s="100">
        <v>90</v>
      </c>
      <c r="B94" s="107" t="s">
        <v>1315</v>
      </c>
      <c r="C94" s="108">
        <v>3212026</v>
      </c>
      <c r="D94" s="107" t="s">
        <v>1523</v>
      </c>
      <c r="E94" s="106">
        <v>623.49</v>
      </c>
      <c r="F94" s="102">
        <v>16.275460000000002</v>
      </c>
      <c r="G94" s="106"/>
      <c r="H94" s="106"/>
      <c r="I94" s="103">
        <f t="shared" si="2"/>
        <v>631.62773000000004</v>
      </c>
      <c r="J94" s="103">
        <f t="shared" si="3"/>
        <v>615.35226999999998</v>
      </c>
      <c r="K94" s="103">
        <v>631.62773000000004</v>
      </c>
      <c r="L94" s="103">
        <v>615.35226999999998</v>
      </c>
    </row>
    <row r="95" spans="1:12" x14ac:dyDescent="0.25">
      <c r="A95" s="104">
        <v>91</v>
      </c>
      <c r="B95" s="107" t="s">
        <v>1396</v>
      </c>
      <c r="C95" s="108">
        <v>3232313</v>
      </c>
      <c r="D95" s="107" t="s">
        <v>1148</v>
      </c>
      <c r="E95" s="106">
        <v>628.33000000000004</v>
      </c>
      <c r="F95" s="102">
        <v>16.275460000000002</v>
      </c>
      <c r="G95" s="106"/>
      <c r="H95" s="106"/>
      <c r="I95" s="103">
        <f t="shared" si="2"/>
        <v>636.46773000000007</v>
      </c>
      <c r="J95" s="103">
        <f t="shared" si="3"/>
        <v>620.19227000000001</v>
      </c>
      <c r="K95" s="103">
        <v>636.46773000000007</v>
      </c>
      <c r="L95" s="103">
        <v>620.19227000000001</v>
      </c>
    </row>
    <row r="96" spans="1:12" x14ac:dyDescent="0.25">
      <c r="A96" s="100">
        <v>92</v>
      </c>
      <c r="B96" s="107" t="s">
        <v>1315</v>
      </c>
      <c r="C96" s="108">
        <v>3212297</v>
      </c>
      <c r="D96" s="107" t="s">
        <v>1524</v>
      </c>
      <c r="E96" s="106">
        <v>625.83000000000004</v>
      </c>
      <c r="F96" s="102">
        <v>16.275460000000002</v>
      </c>
      <c r="G96" s="106"/>
      <c r="H96" s="106"/>
      <c r="I96" s="103">
        <f t="shared" si="2"/>
        <v>633.96773000000007</v>
      </c>
      <c r="J96" s="103">
        <f t="shared" si="3"/>
        <v>617.69227000000001</v>
      </c>
      <c r="K96" s="103">
        <v>633.96773000000007</v>
      </c>
      <c r="L96" s="103">
        <v>617.69227000000001</v>
      </c>
    </row>
    <row r="97" spans="1:12" x14ac:dyDescent="0.25">
      <c r="A97" s="104">
        <v>93</v>
      </c>
      <c r="B97" s="107" t="s">
        <v>1361</v>
      </c>
      <c r="C97" s="108">
        <v>3532107</v>
      </c>
      <c r="D97" s="107" t="s">
        <v>1151</v>
      </c>
      <c r="E97" s="106">
        <v>623.39</v>
      </c>
      <c r="F97" s="102">
        <v>16.275460000000002</v>
      </c>
      <c r="G97" s="106"/>
      <c r="H97" s="106"/>
      <c r="I97" s="103">
        <f t="shared" si="2"/>
        <v>631.52773000000002</v>
      </c>
      <c r="J97" s="103">
        <f t="shared" si="3"/>
        <v>615.25226999999995</v>
      </c>
      <c r="K97" s="103">
        <v>631.52773000000002</v>
      </c>
      <c r="L97" s="103">
        <v>615.25226999999995</v>
      </c>
    </row>
    <row r="98" spans="1:12" x14ac:dyDescent="0.25">
      <c r="A98" s="100">
        <v>94</v>
      </c>
      <c r="B98" s="107" t="s">
        <v>1313</v>
      </c>
      <c r="C98" s="108">
        <v>3612135</v>
      </c>
      <c r="D98" s="107" t="s">
        <v>1525</v>
      </c>
      <c r="E98" s="106">
        <v>633.37</v>
      </c>
      <c r="F98" s="102">
        <v>16.275460000000002</v>
      </c>
      <c r="G98" s="106"/>
      <c r="H98" s="106"/>
      <c r="I98" s="103">
        <f t="shared" si="2"/>
        <v>641.50773000000004</v>
      </c>
      <c r="J98" s="103">
        <f t="shared" si="3"/>
        <v>625.23226999999997</v>
      </c>
      <c r="K98" s="103">
        <v>641.50773000000004</v>
      </c>
      <c r="L98" s="103">
        <v>625.23226999999997</v>
      </c>
    </row>
    <row r="99" spans="1:12" x14ac:dyDescent="0.25">
      <c r="A99" s="104">
        <v>95</v>
      </c>
      <c r="B99" s="107" t="s">
        <v>1416</v>
      </c>
      <c r="C99" s="108">
        <v>3342363</v>
      </c>
      <c r="D99" s="107" t="s">
        <v>1148</v>
      </c>
      <c r="E99" s="106">
        <v>622.29999999999995</v>
      </c>
      <c r="F99" s="102">
        <v>16.275460000000002</v>
      </c>
      <c r="G99" s="106"/>
      <c r="H99" s="106"/>
      <c r="I99" s="103">
        <f t="shared" si="2"/>
        <v>630.43772999999999</v>
      </c>
      <c r="J99" s="103">
        <f t="shared" si="3"/>
        <v>614.16226999999992</v>
      </c>
      <c r="K99" s="103">
        <v>630.43772999999999</v>
      </c>
      <c r="L99" s="103">
        <v>614.16226999999992</v>
      </c>
    </row>
    <row r="100" spans="1:12" x14ac:dyDescent="0.25">
      <c r="A100" s="100">
        <v>96</v>
      </c>
      <c r="B100" s="107" t="s">
        <v>1318</v>
      </c>
      <c r="C100" s="108">
        <v>3812033</v>
      </c>
      <c r="D100" s="107" t="s">
        <v>1153</v>
      </c>
      <c r="E100" s="106">
        <v>636.01</v>
      </c>
      <c r="F100" s="102">
        <v>16.275460000000002</v>
      </c>
      <c r="G100" s="106"/>
      <c r="H100" s="106"/>
      <c r="I100" s="103">
        <f t="shared" si="2"/>
        <v>644.14773000000002</v>
      </c>
      <c r="J100" s="103">
        <f t="shared" si="3"/>
        <v>627.87226999999996</v>
      </c>
      <c r="K100" s="103">
        <v>644.14773000000002</v>
      </c>
      <c r="L100" s="103">
        <v>627.87226999999996</v>
      </c>
    </row>
    <row r="101" spans="1:12" x14ac:dyDescent="0.25">
      <c r="A101" s="104">
        <v>97</v>
      </c>
      <c r="B101" s="107" t="s">
        <v>1353</v>
      </c>
      <c r="C101" s="108">
        <v>3722096</v>
      </c>
      <c r="D101" s="107" t="s">
        <v>1153</v>
      </c>
      <c r="E101" s="106">
        <v>625.73</v>
      </c>
      <c r="F101" s="102">
        <v>16.275460000000002</v>
      </c>
      <c r="G101" s="106"/>
      <c r="H101" s="106"/>
      <c r="I101" s="103">
        <f t="shared" si="2"/>
        <v>633.86773000000005</v>
      </c>
      <c r="J101" s="103">
        <f t="shared" si="3"/>
        <v>617.59226999999998</v>
      </c>
      <c r="K101" s="103">
        <v>633.86773000000005</v>
      </c>
      <c r="L101" s="103">
        <v>617.59226999999998</v>
      </c>
    </row>
    <row r="102" spans="1:12" x14ac:dyDescent="0.25">
      <c r="A102" s="100">
        <v>98</v>
      </c>
      <c r="B102" s="107" t="s">
        <v>1394</v>
      </c>
      <c r="C102" s="108">
        <v>3622226</v>
      </c>
      <c r="D102" s="107" t="s">
        <v>1166</v>
      </c>
      <c r="E102" s="106">
        <v>621.82000000000005</v>
      </c>
      <c r="F102" s="102">
        <v>16.275460000000002</v>
      </c>
      <c r="G102" s="106"/>
      <c r="H102" s="106"/>
      <c r="I102" s="103">
        <f t="shared" si="2"/>
        <v>629.95773000000008</v>
      </c>
      <c r="J102" s="103">
        <f t="shared" si="3"/>
        <v>613.68227000000002</v>
      </c>
      <c r="K102" s="103">
        <v>629.95773000000008</v>
      </c>
      <c r="L102" s="103">
        <v>613.68227000000002</v>
      </c>
    </row>
    <row r="103" spans="1:12" x14ac:dyDescent="0.25">
      <c r="A103" s="104">
        <v>99</v>
      </c>
      <c r="B103" s="107" t="s">
        <v>1396</v>
      </c>
      <c r="C103" s="108">
        <v>3232127</v>
      </c>
      <c r="D103" s="107" t="s">
        <v>1151</v>
      </c>
      <c r="E103" s="106">
        <v>623.89</v>
      </c>
      <c r="F103" s="102">
        <v>16.275460000000002</v>
      </c>
      <c r="G103" s="106"/>
      <c r="H103" s="106"/>
      <c r="I103" s="103">
        <f t="shared" si="2"/>
        <v>632.02773000000002</v>
      </c>
      <c r="J103" s="103">
        <f t="shared" si="3"/>
        <v>615.75226999999995</v>
      </c>
      <c r="K103" s="103">
        <v>632.02773000000002</v>
      </c>
      <c r="L103" s="103">
        <v>615.75226999999995</v>
      </c>
    </row>
    <row r="104" spans="1:12" x14ac:dyDescent="0.25">
      <c r="A104" s="100">
        <v>100</v>
      </c>
      <c r="B104" s="107" t="s">
        <v>1394</v>
      </c>
      <c r="C104" s="108">
        <v>3622176</v>
      </c>
      <c r="D104" s="107" t="s">
        <v>1150</v>
      </c>
      <c r="E104" s="106">
        <v>626.55999999999995</v>
      </c>
      <c r="F104" s="102">
        <v>16.275460000000002</v>
      </c>
      <c r="G104" s="106"/>
      <c r="H104" s="106"/>
      <c r="I104" s="103">
        <f t="shared" si="2"/>
        <v>634.69772999999998</v>
      </c>
      <c r="J104" s="103">
        <f t="shared" si="3"/>
        <v>618.42226999999991</v>
      </c>
      <c r="K104" s="103">
        <v>634.69772999999998</v>
      </c>
      <c r="L104" s="103">
        <v>618.42226999999991</v>
      </c>
    </row>
    <row r="105" spans="1:12" x14ac:dyDescent="0.25">
      <c r="A105" s="104">
        <v>101</v>
      </c>
      <c r="B105" s="107" t="s">
        <v>1359</v>
      </c>
      <c r="C105" s="108">
        <v>3552127</v>
      </c>
      <c r="D105" s="107" t="s">
        <v>1149</v>
      </c>
      <c r="E105" s="106">
        <v>630.85</v>
      </c>
      <c r="F105" s="102">
        <v>16.275460000000002</v>
      </c>
      <c r="G105" s="106"/>
      <c r="H105" s="106"/>
      <c r="I105" s="103">
        <f t="shared" si="2"/>
        <v>638.98773000000006</v>
      </c>
      <c r="J105" s="103">
        <f t="shared" si="3"/>
        <v>622.71226999999999</v>
      </c>
      <c r="K105" s="103">
        <v>638.98773000000006</v>
      </c>
      <c r="L105" s="103">
        <v>622.71226999999999</v>
      </c>
    </row>
    <row r="106" spans="1:12" x14ac:dyDescent="0.25">
      <c r="A106" s="100">
        <v>102</v>
      </c>
      <c r="B106" s="107" t="s">
        <v>1359</v>
      </c>
      <c r="C106" s="108">
        <v>3552093</v>
      </c>
      <c r="D106" s="107" t="s">
        <v>1220</v>
      </c>
      <c r="E106" s="106">
        <v>624.11</v>
      </c>
      <c r="F106" s="102">
        <v>16.275460000000002</v>
      </c>
      <c r="G106" s="106"/>
      <c r="H106" s="106"/>
      <c r="I106" s="103">
        <f t="shared" si="2"/>
        <v>632.24773000000005</v>
      </c>
      <c r="J106" s="103">
        <f t="shared" si="3"/>
        <v>615.97226999999998</v>
      </c>
      <c r="K106" s="103">
        <v>632.24773000000005</v>
      </c>
      <c r="L106" s="103">
        <v>615.97226999999998</v>
      </c>
    </row>
    <row r="107" spans="1:12" x14ac:dyDescent="0.25">
      <c r="A107" s="104">
        <v>103</v>
      </c>
      <c r="B107" s="107" t="s">
        <v>1311</v>
      </c>
      <c r="C107" s="108">
        <v>3332086</v>
      </c>
      <c r="D107" s="107" t="s">
        <v>1526</v>
      </c>
      <c r="E107" s="106">
        <v>625.96</v>
      </c>
      <c r="F107" s="102">
        <v>16.275460000000002</v>
      </c>
      <c r="G107" s="106"/>
      <c r="H107" s="106"/>
      <c r="I107" s="103">
        <f t="shared" si="2"/>
        <v>634.09773000000007</v>
      </c>
      <c r="J107" s="103">
        <f t="shared" si="3"/>
        <v>617.82227</v>
      </c>
      <c r="K107" s="103">
        <v>634.09773000000007</v>
      </c>
      <c r="L107" s="103">
        <v>617.82227</v>
      </c>
    </row>
    <row r="108" spans="1:12" x14ac:dyDescent="0.25">
      <c r="A108" s="100">
        <v>104</v>
      </c>
      <c r="B108" s="107" t="s">
        <v>1354</v>
      </c>
      <c r="C108" s="108">
        <v>3512061</v>
      </c>
      <c r="D108" s="107" t="s">
        <v>1148</v>
      </c>
      <c r="E108" s="106">
        <v>625.71</v>
      </c>
      <c r="F108" s="102">
        <v>16.275460000000002</v>
      </c>
      <c r="G108" s="106"/>
      <c r="H108" s="106"/>
      <c r="I108" s="103">
        <f t="shared" si="2"/>
        <v>633.84773000000007</v>
      </c>
      <c r="J108" s="103">
        <f t="shared" si="3"/>
        <v>617.57227</v>
      </c>
      <c r="K108" s="103">
        <v>633.84773000000007</v>
      </c>
      <c r="L108" s="103">
        <v>617.57227</v>
      </c>
    </row>
    <row r="109" spans="1:12" x14ac:dyDescent="0.25">
      <c r="A109" s="104">
        <v>105</v>
      </c>
      <c r="B109" s="107" t="s">
        <v>1328</v>
      </c>
      <c r="C109" s="108">
        <v>3822012</v>
      </c>
      <c r="D109" s="107" t="s">
        <v>1256</v>
      </c>
      <c r="E109" s="106">
        <v>637.29</v>
      </c>
      <c r="F109" s="102">
        <v>16.275460000000002</v>
      </c>
      <c r="G109" s="106"/>
      <c r="H109" s="106"/>
      <c r="I109" s="103">
        <f t="shared" si="2"/>
        <v>645.42773</v>
      </c>
      <c r="J109" s="103">
        <f t="shared" si="3"/>
        <v>629.15226999999993</v>
      </c>
      <c r="K109" s="103">
        <v>645.42773</v>
      </c>
      <c r="L109" s="103">
        <v>629.15226999999993</v>
      </c>
    </row>
    <row r="110" spans="1:12" x14ac:dyDescent="0.25">
      <c r="A110" s="100">
        <v>106</v>
      </c>
      <c r="B110" s="107" t="s">
        <v>1353</v>
      </c>
      <c r="C110" s="108">
        <v>3722026</v>
      </c>
      <c r="D110" s="107" t="s">
        <v>1155</v>
      </c>
      <c r="E110" s="106">
        <v>620.99</v>
      </c>
      <c r="F110" s="102">
        <v>16.275460000000002</v>
      </c>
      <c r="G110" s="106"/>
      <c r="H110" s="106"/>
      <c r="I110" s="103">
        <f t="shared" si="2"/>
        <v>629.12773000000004</v>
      </c>
      <c r="J110" s="103">
        <f t="shared" si="3"/>
        <v>612.85226999999998</v>
      </c>
      <c r="K110" s="103">
        <v>629.12773000000004</v>
      </c>
      <c r="L110" s="103">
        <v>612.85226999999998</v>
      </c>
    </row>
    <row r="111" spans="1:12" x14ac:dyDescent="0.25">
      <c r="A111" s="104">
        <v>107</v>
      </c>
      <c r="B111" s="107" t="s">
        <v>1361</v>
      </c>
      <c r="C111" s="108">
        <v>3532042</v>
      </c>
      <c r="D111" s="107" t="s">
        <v>1147</v>
      </c>
      <c r="E111" s="106">
        <v>621.44000000000005</v>
      </c>
      <c r="F111" s="102">
        <v>16.275460000000002</v>
      </c>
      <c r="G111" s="106"/>
      <c r="H111" s="106"/>
      <c r="I111" s="103">
        <f t="shared" si="2"/>
        <v>629.57773000000009</v>
      </c>
      <c r="J111" s="103">
        <f t="shared" si="3"/>
        <v>613.30227000000002</v>
      </c>
      <c r="K111" s="103">
        <v>629.57773000000009</v>
      </c>
      <c r="L111" s="103">
        <v>613.30227000000002</v>
      </c>
    </row>
    <row r="112" spans="1:12" x14ac:dyDescent="0.25">
      <c r="A112" s="100">
        <v>108</v>
      </c>
      <c r="B112" s="107" t="s">
        <v>1353</v>
      </c>
      <c r="C112" s="108">
        <v>3722081</v>
      </c>
      <c r="D112" s="107" t="s">
        <v>1149</v>
      </c>
      <c r="E112" s="106">
        <v>624.67999999999995</v>
      </c>
      <c r="F112" s="102">
        <v>16.275460000000002</v>
      </c>
      <c r="G112" s="106"/>
      <c r="H112" s="106"/>
      <c r="I112" s="103">
        <f t="shared" si="2"/>
        <v>632.81772999999998</v>
      </c>
      <c r="J112" s="103">
        <f t="shared" si="3"/>
        <v>616.54226999999992</v>
      </c>
      <c r="K112" s="103">
        <v>632.81772999999998</v>
      </c>
      <c r="L112" s="103">
        <v>616.54226999999992</v>
      </c>
    </row>
    <row r="113" spans="1:12" x14ac:dyDescent="0.25">
      <c r="A113" s="104">
        <v>109</v>
      </c>
      <c r="B113" s="107" t="s">
        <v>1313</v>
      </c>
      <c r="C113" s="108">
        <v>3612093</v>
      </c>
      <c r="D113" s="107" t="s">
        <v>1519</v>
      </c>
      <c r="E113" s="106">
        <v>626.86</v>
      </c>
      <c r="F113" s="102">
        <v>16.275460000000002</v>
      </c>
      <c r="G113" s="106"/>
      <c r="H113" s="106"/>
      <c r="I113" s="103">
        <f t="shared" si="2"/>
        <v>634.99773000000005</v>
      </c>
      <c r="J113" s="103">
        <f t="shared" si="3"/>
        <v>618.72226999999998</v>
      </c>
      <c r="K113" s="103">
        <v>634.99773000000005</v>
      </c>
      <c r="L113" s="103">
        <v>618.72226999999998</v>
      </c>
    </row>
    <row r="114" spans="1:12" x14ac:dyDescent="0.25">
      <c r="A114" s="100">
        <v>110</v>
      </c>
      <c r="B114" s="107" t="s">
        <v>1361</v>
      </c>
      <c r="C114" s="108">
        <v>3532011</v>
      </c>
      <c r="D114" s="107" t="s">
        <v>1156</v>
      </c>
      <c r="E114" s="106">
        <v>623.28</v>
      </c>
      <c r="F114" s="102">
        <v>16.275460000000002</v>
      </c>
      <c r="G114" s="106"/>
      <c r="H114" s="106"/>
      <c r="I114" s="103">
        <f t="shared" si="2"/>
        <v>631.41773000000001</v>
      </c>
      <c r="J114" s="103">
        <f t="shared" si="3"/>
        <v>615.14226999999994</v>
      </c>
      <c r="K114" s="103">
        <v>631.41773000000001</v>
      </c>
      <c r="L114" s="103">
        <v>615.14226999999994</v>
      </c>
    </row>
    <row r="115" spans="1:12" x14ac:dyDescent="0.25">
      <c r="A115" s="104">
        <v>111</v>
      </c>
      <c r="B115" s="107" t="s">
        <v>1394</v>
      </c>
      <c r="C115" s="108">
        <v>3622377</v>
      </c>
      <c r="D115" s="107" t="s">
        <v>1149</v>
      </c>
      <c r="E115" s="106">
        <v>615.41999999999996</v>
      </c>
      <c r="F115" s="102">
        <v>16.275460000000002</v>
      </c>
      <c r="G115" s="106"/>
      <c r="H115" s="106"/>
      <c r="I115" s="103">
        <f t="shared" si="2"/>
        <v>623.55772999999999</v>
      </c>
      <c r="J115" s="103">
        <f t="shared" si="3"/>
        <v>607.28226999999993</v>
      </c>
      <c r="K115" s="103">
        <v>623.55772999999999</v>
      </c>
      <c r="L115" s="103">
        <v>607.28226999999993</v>
      </c>
    </row>
    <row r="116" spans="1:12" x14ac:dyDescent="0.25">
      <c r="A116" s="100">
        <v>112</v>
      </c>
      <c r="B116" s="107" t="s">
        <v>1311</v>
      </c>
      <c r="C116" s="108">
        <v>3332094</v>
      </c>
      <c r="D116" s="107" t="s">
        <v>1527</v>
      </c>
      <c r="E116" s="106">
        <v>619.25</v>
      </c>
      <c r="F116" s="102">
        <v>16.275460000000002</v>
      </c>
      <c r="G116" s="106"/>
      <c r="H116" s="106"/>
      <c r="I116" s="103">
        <f t="shared" si="2"/>
        <v>627.38773000000003</v>
      </c>
      <c r="J116" s="103">
        <f t="shared" si="3"/>
        <v>611.11226999999997</v>
      </c>
      <c r="K116" s="103">
        <v>627.38773000000003</v>
      </c>
      <c r="L116" s="103">
        <v>611.11226999999997</v>
      </c>
    </row>
    <row r="117" spans="1:12" x14ac:dyDescent="0.25">
      <c r="A117" s="104">
        <v>113</v>
      </c>
      <c r="B117" s="107" t="s">
        <v>1396</v>
      </c>
      <c r="C117" s="108">
        <v>3232085</v>
      </c>
      <c r="D117" s="107" t="s">
        <v>1153</v>
      </c>
      <c r="E117" s="106">
        <v>619.44000000000005</v>
      </c>
      <c r="F117" s="102">
        <v>16.275460000000002</v>
      </c>
      <c r="G117" s="106"/>
      <c r="H117" s="106"/>
      <c r="I117" s="103">
        <f t="shared" si="2"/>
        <v>627.57773000000009</v>
      </c>
      <c r="J117" s="103">
        <f t="shared" si="3"/>
        <v>611.30227000000002</v>
      </c>
      <c r="K117" s="103">
        <v>627.57773000000009</v>
      </c>
      <c r="L117" s="103">
        <v>611.30227000000002</v>
      </c>
    </row>
    <row r="118" spans="1:12" x14ac:dyDescent="0.25">
      <c r="A118" s="100">
        <v>114</v>
      </c>
      <c r="B118" s="107" t="s">
        <v>1394</v>
      </c>
      <c r="C118" s="108">
        <v>3622273</v>
      </c>
      <c r="D118" s="107" t="s">
        <v>1178</v>
      </c>
      <c r="E118" s="106">
        <v>621.41</v>
      </c>
      <c r="F118" s="102">
        <v>16.275460000000002</v>
      </c>
      <c r="G118" s="106"/>
      <c r="H118" s="106"/>
      <c r="I118" s="103">
        <f t="shared" si="2"/>
        <v>629.54773</v>
      </c>
      <c r="J118" s="103">
        <f t="shared" si="3"/>
        <v>613.27226999999993</v>
      </c>
      <c r="K118" s="103">
        <v>629.54773</v>
      </c>
      <c r="L118" s="103">
        <v>613.27226999999993</v>
      </c>
    </row>
    <row r="119" spans="1:12" x14ac:dyDescent="0.25">
      <c r="A119" s="104">
        <v>115</v>
      </c>
      <c r="B119" s="107" t="s">
        <v>1421</v>
      </c>
      <c r="C119" s="108">
        <v>3632027</v>
      </c>
      <c r="D119" s="107" t="s">
        <v>1148</v>
      </c>
      <c r="E119" s="106">
        <v>619.19000000000005</v>
      </c>
      <c r="F119" s="102">
        <v>16.275460000000002</v>
      </c>
      <c r="G119" s="106"/>
      <c r="H119" s="106"/>
      <c r="I119" s="103">
        <f t="shared" si="2"/>
        <v>627.32773000000009</v>
      </c>
      <c r="J119" s="103">
        <f t="shared" si="3"/>
        <v>611.05227000000002</v>
      </c>
      <c r="K119" s="103">
        <v>627.32773000000009</v>
      </c>
      <c r="L119" s="103">
        <v>611.05227000000002</v>
      </c>
    </row>
    <row r="120" spans="1:12" x14ac:dyDescent="0.25">
      <c r="A120" s="100">
        <v>116</v>
      </c>
      <c r="B120" s="107" t="s">
        <v>1313</v>
      </c>
      <c r="C120" s="108">
        <v>3612046</v>
      </c>
      <c r="D120" s="107" t="s">
        <v>1528</v>
      </c>
      <c r="E120" s="106">
        <v>626.41999999999996</v>
      </c>
      <c r="F120" s="102">
        <v>16.275460000000002</v>
      </c>
      <c r="G120" s="106"/>
      <c r="H120" s="106"/>
      <c r="I120" s="103">
        <f t="shared" si="2"/>
        <v>634.55772999999999</v>
      </c>
      <c r="J120" s="103">
        <f t="shared" si="3"/>
        <v>618.28226999999993</v>
      </c>
      <c r="K120" s="103">
        <v>634.55772999999999</v>
      </c>
      <c r="L120" s="103">
        <v>618.28226999999993</v>
      </c>
    </row>
    <row r="121" spans="1:12" x14ac:dyDescent="0.25">
      <c r="A121" s="104">
        <v>117</v>
      </c>
      <c r="B121" s="107" t="s">
        <v>1318</v>
      </c>
      <c r="C121" s="108">
        <v>3812087</v>
      </c>
      <c r="D121" s="107" t="s">
        <v>1155</v>
      </c>
      <c r="E121" s="106">
        <v>627.99</v>
      </c>
      <c r="F121" s="102">
        <v>16.275460000000002</v>
      </c>
      <c r="G121" s="106"/>
      <c r="H121" s="106"/>
      <c r="I121" s="103">
        <f t="shared" si="2"/>
        <v>636.12773000000004</v>
      </c>
      <c r="J121" s="103">
        <f t="shared" si="3"/>
        <v>619.85226999999998</v>
      </c>
      <c r="K121" s="103">
        <v>636.12773000000004</v>
      </c>
      <c r="L121" s="103">
        <v>619.85226999999998</v>
      </c>
    </row>
    <row r="122" spans="1:12" x14ac:dyDescent="0.25">
      <c r="A122" s="100">
        <v>118</v>
      </c>
      <c r="B122" s="107" t="s">
        <v>1315</v>
      </c>
      <c r="C122" s="108">
        <v>3212193</v>
      </c>
      <c r="D122" s="107" t="s">
        <v>1529</v>
      </c>
      <c r="E122" s="106">
        <v>627.84</v>
      </c>
      <c r="F122" s="102">
        <v>16.275460000000002</v>
      </c>
      <c r="G122" s="106"/>
      <c r="H122" s="106"/>
      <c r="I122" s="103">
        <f t="shared" si="2"/>
        <v>635.97773000000007</v>
      </c>
      <c r="J122" s="103">
        <f t="shared" si="3"/>
        <v>619.70227</v>
      </c>
      <c r="K122" s="103">
        <v>635.97773000000007</v>
      </c>
      <c r="L122" s="103">
        <v>619.70227</v>
      </c>
    </row>
    <row r="123" spans="1:12" x14ac:dyDescent="0.25">
      <c r="A123" s="104">
        <v>119</v>
      </c>
      <c r="B123" s="107" t="s">
        <v>1311</v>
      </c>
      <c r="C123" s="108">
        <v>3332167</v>
      </c>
      <c r="D123" s="107" t="s">
        <v>1246</v>
      </c>
      <c r="E123" s="106">
        <v>626.29999999999995</v>
      </c>
      <c r="F123" s="102">
        <v>16.275460000000002</v>
      </c>
      <c r="G123" s="106"/>
      <c r="H123" s="106"/>
      <c r="I123" s="103">
        <f t="shared" si="2"/>
        <v>634.43772999999999</v>
      </c>
      <c r="J123" s="103">
        <f t="shared" si="3"/>
        <v>618.16226999999992</v>
      </c>
      <c r="K123" s="103">
        <v>634.43772999999999</v>
      </c>
      <c r="L123" s="103">
        <v>618.16226999999992</v>
      </c>
    </row>
    <row r="124" spans="1:12" x14ac:dyDescent="0.25">
      <c r="A124" s="100">
        <v>120</v>
      </c>
      <c r="B124" s="107" t="s">
        <v>1530</v>
      </c>
      <c r="C124" s="108">
        <v>9132014</v>
      </c>
      <c r="D124" s="107" t="s">
        <v>1227</v>
      </c>
      <c r="E124" s="106">
        <v>602.63</v>
      </c>
      <c r="F124" s="102">
        <v>16.275460000000002</v>
      </c>
      <c r="G124" s="106"/>
      <c r="H124" s="106"/>
      <c r="I124" s="103">
        <f t="shared" si="2"/>
        <v>610.76773000000003</v>
      </c>
      <c r="J124" s="103">
        <f t="shared" si="3"/>
        <v>594.49226999999996</v>
      </c>
      <c r="K124" s="103">
        <v>610.76773000000003</v>
      </c>
      <c r="L124" s="103">
        <v>594.49226999999996</v>
      </c>
    </row>
    <row r="125" spans="1:12" x14ac:dyDescent="0.25">
      <c r="A125" s="104">
        <v>121</v>
      </c>
      <c r="B125" s="107" t="s">
        <v>1353</v>
      </c>
      <c r="C125" s="108">
        <v>3722042</v>
      </c>
      <c r="D125" s="107" t="s">
        <v>1243</v>
      </c>
      <c r="E125" s="106">
        <v>619.69000000000005</v>
      </c>
      <c r="F125" s="102">
        <v>16.275460000000002</v>
      </c>
      <c r="G125" s="106"/>
      <c r="H125" s="106"/>
      <c r="I125" s="103">
        <f t="shared" si="2"/>
        <v>627.82773000000009</v>
      </c>
      <c r="J125" s="103">
        <f t="shared" si="3"/>
        <v>611.55227000000002</v>
      </c>
      <c r="K125" s="103">
        <v>627.82773000000009</v>
      </c>
      <c r="L125" s="103">
        <v>611.55227000000002</v>
      </c>
    </row>
    <row r="126" spans="1:12" x14ac:dyDescent="0.25">
      <c r="A126" s="100">
        <v>122</v>
      </c>
      <c r="B126" s="107" t="s">
        <v>1311</v>
      </c>
      <c r="C126" s="108">
        <v>3332233</v>
      </c>
      <c r="D126" s="107" t="s">
        <v>1171</v>
      </c>
      <c r="E126" s="106">
        <v>618.85</v>
      </c>
      <c r="F126" s="102">
        <v>16.275460000000002</v>
      </c>
      <c r="G126" s="106"/>
      <c r="H126" s="106"/>
      <c r="I126" s="103">
        <f t="shared" si="2"/>
        <v>626.98773000000006</v>
      </c>
      <c r="J126" s="103">
        <f t="shared" si="3"/>
        <v>610.71226999999999</v>
      </c>
      <c r="K126" s="103">
        <v>626.98773000000006</v>
      </c>
      <c r="L126" s="103">
        <v>610.71226999999999</v>
      </c>
    </row>
    <row r="127" spans="1:12" x14ac:dyDescent="0.25">
      <c r="A127" s="104">
        <v>123</v>
      </c>
      <c r="B127" s="107" t="s">
        <v>1353</v>
      </c>
      <c r="C127" s="108">
        <v>3722193</v>
      </c>
      <c r="D127" s="107" t="s">
        <v>1531</v>
      </c>
      <c r="E127" s="106">
        <v>619.69000000000005</v>
      </c>
      <c r="F127" s="102">
        <v>16.275460000000002</v>
      </c>
      <c r="G127" s="106"/>
      <c r="H127" s="106"/>
      <c r="I127" s="103">
        <f t="shared" si="2"/>
        <v>627.82773000000009</v>
      </c>
      <c r="J127" s="103">
        <f t="shared" si="3"/>
        <v>611.55227000000002</v>
      </c>
      <c r="K127" s="103">
        <v>627.82773000000009</v>
      </c>
      <c r="L127" s="103">
        <v>611.55227000000002</v>
      </c>
    </row>
    <row r="128" spans="1:12" x14ac:dyDescent="0.25">
      <c r="A128" s="100">
        <v>124</v>
      </c>
      <c r="B128" s="107" t="s">
        <v>1328</v>
      </c>
      <c r="C128" s="108">
        <v>3822027</v>
      </c>
      <c r="D128" s="107" t="s">
        <v>1532</v>
      </c>
      <c r="E128" s="106">
        <v>622.66</v>
      </c>
      <c r="F128" s="102">
        <v>16.275460000000002</v>
      </c>
      <c r="G128" s="106"/>
      <c r="H128" s="106"/>
      <c r="I128" s="103">
        <f t="shared" si="2"/>
        <v>630.79773</v>
      </c>
      <c r="J128" s="103">
        <f t="shared" si="3"/>
        <v>614.52226999999993</v>
      </c>
      <c r="K128" s="103">
        <v>630.79773</v>
      </c>
      <c r="L128" s="103">
        <v>614.52226999999993</v>
      </c>
    </row>
    <row r="129" spans="1:12" x14ac:dyDescent="0.25">
      <c r="A129" s="104">
        <v>125</v>
      </c>
      <c r="B129" s="107" t="s">
        <v>1421</v>
      </c>
      <c r="C129" s="108">
        <v>3632043</v>
      </c>
      <c r="D129" s="107" t="s">
        <v>1157</v>
      </c>
      <c r="E129" s="106">
        <v>616.16999999999996</v>
      </c>
      <c r="F129" s="102">
        <v>16.275460000000002</v>
      </c>
      <c r="G129" s="106"/>
      <c r="H129" s="106"/>
      <c r="I129" s="103">
        <f t="shared" si="2"/>
        <v>624.30772999999999</v>
      </c>
      <c r="J129" s="103">
        <f t="shared" si="3"/>
        <v>608.03226999999993</v>
      </c>
      <c r="K129" s="103">
        <v>624.30772999999999</v>
      </c>
      <c r="L129" s="103">
        <v>608.03226999999993</v>
      </c>
    </row>
    <row r="130" spans="1:12" x14ac:dyDescent="0.25">
      <c r="A130" s="100">
        <v>126</v>
      </c>
      <c r="B130" s="107" t="s">
        <v>1354</v>
      </c>
      <c r="C130" s="108">
        <v>3512111</v>
      </c>
      <c r="D130" s="107" t="s">
        <v>1154</v>
      </c>
      <c r="E130" s="106">
        <v>618.01</v>
      </c>
      <c r="F130" s="102">
        <v>16.275460000000002</v>
      </c>
      <c r="G130" s="106"/>
      <c r="H130" s="106"/>
      <c r="I130" s="103">
        <f t="shared" si="2"/>
        <v>626.14773000000002</v>
      </c>
      <c r="J130" s="103">
        <f t="shared" si="3"/>
        <v>609.87226999999996</v>
      </c>
      <c r="K130" s="103">
        <v>626.14773000000002</v>
      </c>
      <c r="L130" s="103">
        <v>609.87226999999996</v>
      </c>
    </row>
    <row r="131" spans="1:12" x14ac:dyDescent="0.25">
      <c r="A131" s="104">
        <v>127</v>
      </c>
      <c r="B131" s="107" t="s">
        <v>1353</v>
      </c>
      <c r="C131" s="108">
        <v>3722011</v>
      </c>
      <c r="D131" s="107" t="s">
        <v>1147</v>
      </c>
      <c r="E131" s="106">
        <v>618.39</v>
      </c>
      <c r="F131" s="102">
        <v>16.275460000000002</v>
      </c>
      <c r="G131" s="106"/>
      <c r="H131" s="106"/>
      <c r="I131" s="103">
        <f t="shared" si="2"/>
        <v>626.52773000000002</v>
      </c>
      <c r="J131" s="103">
        <f t="shared" si="3"/>
        <v>610.25226999999995</v>
      </c>
      <c r="K131" s="103">
        <v>626.52773000000002</v>
      </c>
      <c r="L131" s="103">
        <v>610.25226999999995</v>
      </c>
    </row>
    <row r="132" spans="1:12" x14ac:dyDescent="0.25">
      <c r="A132" s="100">
        <v>128</v>
      </c>
      <c r="B132" s="107" t="s">
        <v>1311</v>
      </c>
      <c r="C132" s="108">
        <v>3332287</v>
      </c>
      <c r="D132" s="107" t="s">
        <v>1197</v>
      </c>
      <c r="E132" s="106">
        <v>619.85</v>
      </c>
      <c r="F132" s="102">
        <v>16.275460000000002</v>
      </c>
      <c r="G132" s="106"/>
      <c r="H132" s="106"/>
      <c r="I132" s="103">
        <f t="shared" si="2"/>
        <v>627.98773000000006</v>
      </c>
      <c r="J132" s="103">
        <f t="shared" si="3"/>
        <v>611.71226999999999</v>
      </c>
      <c r="K132" s="103">
        <v>627.98773000000006</v>
      </c>
      <c r="L132" s="103">
        <v>611.71226999999999</v>
      </c>
    </row>
    <row r="133" spans="1:12" x14ac:dyDescent="0.25">
      <c r="A133" s="104">
        <v>129</v>
      </c>
      <c r="B133" s="107" t="s">
        <v>1394</v>
      </c>
      <c r="C133" s="108">
        <v>3622323</v>
      </c>
      <c r="D133" s="107" t="s">
        <v>1174</v>
      </c>
      <c r="E133" s="106">
        <v>614.63</v>
      </c>
      <c r="F133" s="102">
        <v>16.275460000000002</v>
      </c>
      <c r="G133" s="106"/>
      <c r="H133" s="106"/>
      <c r="I133" s="103">
        <f t="shared" si="2"/>
        <v>622.76773000000003</v>
      </c>
      <c r="J133" s="103">
        <f t="shared" si="3"/>
        <v>606.49226999999996</v>
      </c>
      <c r="K133" s="103">
        <v>622.76773000000003</v>
      </c>
      <c r="L133" s="103">
        <v>606.49226999999996</v>
      </c>
    </row>
    <row r="134" spans="1:12" x14ac:dyDescent="0.25">
      <c r="A134" s="100">
        <v>130</v>
      </c>
      <c r="B134" s="107" t="s">
        <v>1309</v>
      </c>
      <c r="C134" s="108">
        <v>3322037</v>
      </c>
      <c r="D134" s="107" t="s">
        <v>1533</v>
      </c>
      <c r="E134" s="106">
        <v>612.28</v>
      </c>
      <c r="F134" s="102">
        <v>16.275460000000002</v>
      </c>
      <c r="G134" s="106"/>
      <c r="H134" s="106"/>
      <c r="I134" s="103">
        <f t="shared" ref="I134:I197" si="4">E134+0.5*F134</f>
        <v>620.41773000000001</v>
      </c>
      <c r="J134" s="103">
        <f t="shared" ref="J134:J197" si="5">E134-0.5*F134</f>
        <v>604.14226999999994</v>
      </c>
      <c r="K134" s="103">
        <v>620.41773000000001</v>
      </c>
      <c r="L134" s="103">
        <v>604.14226999999994</v>
      </c>
    </row>
    <row r="135" spans="1:12" x14ac:dyDescent="0.25">
      <c r="A135" s="104">
        <v>131</v>
      </c>
      <c r="B135" s="107" t="s">
        <v>1416</v>
      </c>
      <c r="C135" s="108">
        <v>3342355</v>
      </c>
      <c r="D135" s="107" t="s">
        <v>1150</v>
      </c>
      <c r="E135" s="106">
        <v>615.09</v>
      </c>
      <c r="F135" s="102">
        <v>16.275460000000002</v>
      </c>
      <c r="G135" s="106"/>
      <c r="H135" s="106"/>
      <c r="I135" s="103">
        <f t="shared" si="4"/>
        <v>623.22773000000007</v>
      </c>
      <c r="J135" s="103">
        <f t="shared" si="5"/>
        <v>606.95227</v>
      </c>
      <c r="K135" s="103">
        <v>623.22773000000007</v>
      </c>
      <c r="L135" s="103">
        <v>606.95227</v>
      </c>
    </row>
    <row r="136" spans="1:12" x14ac:dyDescent="0.25">
      <c r="A136" s="100">
        <v>132</v>
      </c>
      <c r="B136" s="107" t="s">
        <v>1361</v>
      </c>
      <c r="C136" s="108">
        <v>3532243</v>
      </c>
      <c r="D136" s="107" t="s">
        <v>1178</v>
      </c>
      <c r="E136" s="106">
        <v>611.74</v>
      </c>
      <c r="F136" s="102">
        <v>16.275460000000002</v>
      </c>
      <c r="G136" s="106"/>
      <c r="H136" s="106"/>
      <c r="I136" s="103">
        <f t="shared" si="4"/>
        <v>619.87773000000004</v>
      </c>
      <c r="J136" s="103">
        <f t="shared" si="5"/>
        <v>603.60226999999998</v>
      </c>
      <c r="K136" s="103">
        <v>619.87773000000004</v>
      </c>
      <c r="L136" s="103">
        <v>603.60226999999998</v>
      </c>
    </row>
    <row r="137" spans="1:12" x14ac:dyDescent="0.25">
      <c r="A137" s="104">
        <v>133</v>
      </c>
      <c r="B137" s="107" t="s">
        <v>1354</v>
      </c>
      <c r="C137" s="108">
        <v>3512045</v>
      </c>
      <c r="D137" s="107" t="s">
        <v>1150</v>
      </c>
      <c r="E137" s="106">
        <v>618.16999999999996</v>
      </c>
      <c r="F137" s="102">
        <v>16.275460000000002</v>
      </c>
      <c r="G137" s="106"/>
      <c r="H137" s="106"/>
      <c r="I137" s="103">
        <f t="shared" si="4"/>
        <v>626.30772999999999</v>
      </c>
      <c r="J137" s="103">
        <f t="shared" si="5"/>
        <v>610.03226999999993</v>
      </c>
      <c r="K137" s="103">
        <v>626.30772999999999</v>
      </c>
      <c r="L137" s="103">
        <v>610.03226999999993</v>
      </c>
    </row>
    <row r="138" spans="1:12" x14ac:dyDescent="0.25">
      <c r="A138" s="100">
        <v>134</v>
      </c>
      <c r="B138" s="107" t="s">
        <v>1354</v>
      </c>
      <c r="C138" s="108">
        <v>3512076</v>
      </c>
      <c r="D138" s="107" t="s">
        <v>1149</v>
      </c>
      <c r="E138" s="106">
        <v>614.49</v>
      </c>
      <c r="F138" s="102">
        <v>16.275460000000002</v>
      </c>
      <c r="G138" s="106"/>
      <c r="H138" s="106"/>
      <c r="I138" s="103">
        <f t="shared" si="4"/>
        <v>622.62773000000004</v>
      </c>
      <c r="J138" s="103">
        <f t="shared" si="5"/>
        <v>606.35226999999998</v>
      </c>
      <c r="K138" s="103">
        <v>622.62773000000004</v>
      </c>
      <c r="L138" s="103">
        <v>606.35226999999998</v>
      </c>
    </row>
    <row r="139" spans="1:12" x14ac:dyDescent="0.25">
      <c r="A139" s="104">
        <v>135</v>
      </c>
      <c r="B139" s="107" t="s">
        <v>1432</v>
      </c>
      <c r="C139" s="108">
        <v>3242025</v>
      </c>
      <c r="D139" s="107" t="s">
        <v>1148</v>
      </c>
      <c r="E139" s="106">
        <v>617.63</v>
      </c>
      <c r="F139" s="102">
        <v>16.275460000000002</v>
      </c>
      <c r="G139" s="106"/>
      <c r="H139" s="106"/>
      <c r="I139" s="103">
        <f t="shared" si="4"/>
        <v>625.76773000000003</v>
      </c>
      <c r="J139" s="103">
        <f t="shared" si="5"/>
        <v>609.49226999999996</v>
      </c>
      <c r="K139" s="103">
        <v>625.76773000000003</v>
      </c>
      <c r="L139" s="103">
        <v>609.49226999999996</v>
      </c>
    </row>
    <row r="140" spans="1:12" x14ac:dyDescent="0.25">
      <c r="A140" s="100">
        <v>136</v>
      </c>
      <c r="B140" s="107" t="s">
        <v>1416</v>
      </c>
      <c r="C140" s="108">
        <v>3342502</v>
      </c>
      <c r="D140" s="107" t="s">
        <v>1149</v>
      </c>
      <c r="E140" s="106">
        <v>614.82000000000005</v>
      </c>
      <c r="F140" s="102">
        <v>16.275460000000002</v>
      </c>
      <c r="G140" s="106"/>
      <c r="H140" s="106"/>
      <c r="I140" s="103">
        <f t="shared" si="4"/>
        <v>622.95773000000008</v>
      </c>
      <c r="J140" s="103">
        <f t="shared" si="5"/>
        <v>606.68227000000002</v>
      </c>
      <c r="K140" s="103">
        <v>622.95773000000008</v>
      </c>
      <c r="L140" s="103">
        <v>606.68227000000002</v>
      </c>
    </row>
    <row r="141" spans="1:12" x14ac:dyDescent="0.25">
      <c r="A141" s="104">
        <v>137</v>
      </c>
      <c r="B141" s="107" t="s">
        <v>1311</v>
      </c>
      <c r="C141" s="108">
        <v>3332225</v>
      </c>
      <c r="D141" s="107" t="s">
        <v>1173</v>
      </c>
      <c r="E141" s="106">
        <v>620.16</v>
      </c>
      <c r="F141" s="102">
        <v>16.275460000000002</v>
      </c>
      <c r="G141" s="106"/>
      <c r="H141" s="106"/>
      <c r="I141" s="103">
        <f t="shared" si="4"/>
        <v>628.29773</v>
      </c>
      <c r="J141" s="103">
        <f t="shared" si="5"/>
        <v>612.02226999999993</v>
      </c>
      <c r="K141" s="103">
        <v>628.29773</v>
      </c>
      <c r="L141" s="103">
        <v>612.02226999999993</v>
      </c>
    </row>
    <row r="142" spans="1:12" x14ac:dyDescent="0.25">
      <c r="A142" s="100">
        <v>138</v>
      </c>
      <c r="B142" s="107" t="s">
        <v>1359</v>
      </c>
      <c r="C142" s="108">
        <v>3552174</v>
      </c>
      <c r="D142" s="107" t="s">
        <v>1195</v>
      </c>
      <c r="E142" s="106">
        <v>615.4</v>
      </c>
      <c r="F142" s="102">
        <v>16.275460000000002</v>
      </c>
      <c r="G142" s="106"/>
      <c r="H142" s="106"/>
      <c r="I142" s="103">
        <f t="shared" si="4"/>
        <v>623.53773000000001</v>
      </c>
      <c r="J142" s="103">
        <f t="shared" si="5"/>
        <v>607.26226999999994</v>
      </c>
      <c r="K142" s="103">
        <v>623.53773000000001</v>
      </c>
      <c r="L142" s="103">
        <v>607.26226999999994</v>
      </c>
    </row>
    <row r="143" spans="1:12" x14ac:dyDescent="0.25">
      <c r="A143" s="104">
        <v>139</v>
      </c>
      <c r="B143" s="107" t="s">
        <v>1416</v>
      </c>
      <c r="C143" s="108">
        <v>3342065</v>
      </c>
      <c r="D143" s="107" t="s">
        <v>1153</v>
      </c>
      <c r="E143" s="106">
        <v>621.70000000000005</v>
      </c>
      <c r="F143" s="102">
        <v>16.275460000000002</v>
      </c>
      <c r="G143" s="106"/>
      <c r="H143" s="106"/>
      <c r="I143" s="103">
        <f t="shared" si="4"/>
        <v>629.83773000000008</v>
      </c>
      <c r="J143" s="103">
        <f t="shared" si="5"/>
        <v>613.56227000000001</v>
      </c>
      <c r="K143" s="103">
        <v>629.83773000000008</v>
      </c>
      <c r="L143" s="103">
        <v>613.56227000000001</v>
      </c>
    </row>
    <row r="144" spans="1:12" x14ac:dyDescent="0.25">
      <c r="A144" s="100">
        <v>140</v>
      </c>
      <c r="B144" s="107" t="s">
        <v>1354</v>
      </c>
      <c r="C144" s="108">
        <v>3512053</v>
      </c>
      <c r="D144" s="107" t="s">
        <v>1155</v>
      </c>
      <c r="E144" s="106">
        <v>615.5</v>
      </c>
      <c r="F144" s="102">
        <v>16.275460000000002</v>
      </c>
      <c r="G144" s="106"/>
      <c r="H144" s="106"/>
      <c r="I144" s="103">
        <f t="shared" si="4"/>
        <v>623.63773000000003</v>
      </c>
      <c r="J144" s="103">
        <f t="shared" si="5"/>
        <v>607.36226999999997</v>
      </c>
      <c r="K144" s="103">
        <v>623.63773000000003</v>
      </c>
      <c r="L144" s="103">
        <v>607.36226999999997</v>
      </c>
    </row>
    <row r="145" spans="1:12" x14ac:dyDescent="0.25">
      <c r="A145" s="104">
        <v>141</v>
      </c>
      <c r="B145" s="107" t="s">
        <v>1353</v>
      </c>
      <c r="C145" s="108">
        <v>3722227</v>
      </c>
      <c r="D145" s="107" t="s">
        <v>1265</v>
      </c>
      <c r="E145" s="106">
        <v>621.04</v>
      </c>
      <c r="F145" s="102">
        <v>16.275460000000002</v>
      </c>
      <c r="G145" s="106"/>
      <c r="H145" s="106"/>
      <c r="I145" s="103">
        <f t="shared" si="4"/>
        <v>629.17773</v>
      </c>
      <c r="J145" s="103">
        <f t="shared" si="5"/>
        <v>612.90226999999993</v>
      </c>
      <c r="K145" s="103">
        <v>629.17773</v>
      </c>
      <c r="L145" s="103">
        <v>612.90226999999993</v>
      </c>
    </row>
    <row r="146" spans="1:12" x14ac:dyDescent="0.25">
      <c r="A146" s="100">
        <v>142</v>
      </c>
      <c r="B146" s="107" t="s">
        <v>1416</v>
      </c>
      <c r="C146" s="108">
        <v>3342587</v>
      </c>
      <c r="D146" s="107" t="s">
        <v>1227</v>
      </c>
      <c r="E146" s="106">
        <v>616.09</v>
      </c>
      <c r="F146" s="102">
        <v>16.275460000000002</v>
      </c>
      <c r="G146" s="106"/>
      <c r="H146" s="106"/>
      <c r="I146" s="103">
        <f t="shared" si="4"/>
        <v>624.22773000000007</v>
      </c>
      <c r="J146" s="103">
        <f t="shared" si="5"/>
        <v>607.95227</v>
      </c>
      <c r="K146" s="103">
        <v>624.22773000000007</v>
      </c>
      <c r="L146" s="103">
        <v>607.95227</v>
      </c>
    </row>
    <row r="147" spans="1:12" x14ac:dyDescent="0.25">
      <c r="A147" s="104">
        <v>143</v>
      </c>
      <c r="B147" s="107" t="s">
        <v>1353</v>
      </c>
      <c r="C147" s="108">
        <v>3722115</v>
      </c>
      <c r="D147" s="107" t="s">
        <v>1151</v>
      </c>
      <c r="E147" s="106">
        <v>614.96</v>
      </c>
      <c r="F147" s="102">
        <v>16.275460000000002</v>
      </c>
      <c r="G147" s="106"/>
      <c r="H147" s="106"/>
      <c r="I147" s="103">
        <f t="shared" si="4"/>
        <v>623.09773000000007</v>
      </c>
      <c r="J147" s="103">
        <f t="shared" si="5"/>
        <v>606.82227</v>
      </c>
      <c r="K147" s="103">
        <v>623.09773000000007</v>
      </c>
      <c r="L147" s="103">
        <v>606.82227</v>
      </c>
    </row>
    <row r="148" spans="1:12" x14ac:dyDescent="0.25">
      <c r="A148" s="100">
        <v>144</v>
      </c>
      <c r="B148" s="107" t="s">
        <v>1353</v>
      </c>
      <c r="C148" s="108">
        <v>3722235</v>
      </c>
      <c r="D148" s="107" t="s">
        <v>1534</v>
      </c>
      <c r="E148" s="106">
        <v>616.46</v>
      </c>
      <c r="F148" s="102">
        <v>16.275460000000002</v>
      </c>
      <c r="G148" s="106"/>
      <c r="H148" s="106"/>
      <c r="I148" s="103">
        <f t="shared" si="4"/>
        <v>624.59773000000007</v>
      </c>
      <c r="J148" s="103">
        <f t="shared" si="5"/>
        <v>608.32227</v>
      </c>
      <c r="K148" s="103">
        <v>624.59773000000007</v>
      </c>
      <c r="L148" s="103">
        <v>608.32227</v>
      </c>
    </row>
    <row r="149" spans="1:12" x14ac:dyDescent="0.25">
      <c r="A149" s="104">
        <v>145</v>
      </c>
      <c r="B149" s="107" t="s">
        <v>1315</v>
      </c>
      <c r="C149" s="108">
        <v>3212212</v>
      </c>
      <c r="D149" s="107" t="s">
        <v>1535</v>
      </c>
      <c r="E149" s="106">
        <v>610.30999999999995</v>
      </c>
      <c r="F149" s="102">
        <v>16.275460000000002</v>
      </c>
      <c r="G149" s="106"/>
      <c r="H149" s="106"/>
      <c r="I149" s="103">
        <f t="shared" si="4"/>
        <v>618.44772999999998</v>
      </c>
      <c r="J149" s="103">
        <f t="shared" si="5"/>
        <v>602.17226999999991</v>
      </c>
      <c r="K149" s="103">
        <v>618.44772999999998</v>
      </c>
      <c r="L149" s="103">
        <v>602.17226999999991</v>
      </c>
    </row>
    <row r="150" spans="1:12" x14ac:dyDescent="0.25">
      <c r="A150" s="100">
        <v>146</v>
      </c>
      <c r="B150" s="107" t="s">
        <v>1429</v>
      </c>
      <c r="C150" s="108">
        <v>3562145</v>
      </c>
      <c r="D150" s="107" t="s">
        <v>1153</v>
      </c>
      <c r="E150" s="106">
        <v>608.91999999999996</v>
      </c>
      <c r="F150" s="102">
        <v>16.275460000000002</v>
      </c>
      <c r="G150" s="106"/>
      <c r="H150" s="106"/>
      <c r="I150" s="103">
        <f t="shared" si="4"/>
        <v>617.05772999999999</v>
      </c>
      <c r="J150" s="103">
        <f t="shared" si="5"/>
        <v>600.78226999999993</v>
      </c>
      <c r="K150" s="103">
        <v>617.05772999999999</v>
      </c>
      <c r="L150" s="103">
        <v>600.78226999999993</v>
      </c>
    </row>
    <row r="151" spans="1:12" x14ac:dyDescent="0.25">
      <c r="A151" s="104">
        <v>147</v>
      </c>
      <c r="B151" s="107" t="s">
        <v>1421</v>
      </c>
      <c r="C151" s="108">
        <v>3632012</v>
      </c>
      <c r="D151" s="107" t="s">
        <v>1150</v>
      </c>
      <c r="E151" s="106">
        <v>613.37</v>
      </c>
      <c r="F151" s="102">
        <v>16.275460000000002</v>
      </c>
      <c r="G151" s="106"/>
      <c r="H151" s="106"/>
      <c r="I151" s="103">
        <f t="shared" si="4"/>
        <v>621.50773000000004</v>
      </c>
      <c r="J151" s="103">
        <f t="shared" si="5"/>
        <v>605.23226999999997</v>
      </c>
      <c r="K151" s="103">
        <v>621.50773000000004</v>
      </c>
      <c r="L151" s="103">
        <v>605.23226999999997</v>
      </c>
    </row>
    <row r="152" spans="1:12" x14ac:dyDescent="0.25">
      <c r="A152" s="100">
        <v>148</v>
      </c>
      <c r="B152" s="107" t="s">
        <v>1359</v>
      </c>
      <c r="C152" s="108">
        <v>3552023</v>
      </c>
      <c r="D152" s="107" t="s">
        <v>1151</v>
      </c>
      <c r="E152" s="106">
        <v>614.08000000000004</v>
      </c>
      <c r="F152" s="102">
        <v>16.275460000000002</v>
      </c>
      <c r="G152" s="106"/>
      <c r="H152" s="106"/>
      <c r="I152" s="103">
        <f t="shared" si="4"/>
        <v>622.21773000000007</v>
      </c>
      <c r="J152" s="103">
        <f t="shared" si="5"/>
        <v>605.94227000000001</v>
      </c>
      <c r="K152" s="103">
        <v>622.21773000000007</v>
      </c>
      <c r="L152" s="103">
        <v>605.94227000000001</v>
      </c>
    </row>
    <row r="153" spans="1:12" x14ac:dyDescent="0.25">
      <c r="A153" s="104">
        <v>149</v>
      </c>
      <c r="B153" s="107" t="s">
        <v>1318</v>
      </c>
      <c r="C153" s="108">
        <v>3812176</v>
      </c>
      <c r="D153" s="107" t="s">
        <v>1265</v>
      </c>
      <c r="E153" s="106">
        <v>618.9</v>
      </c>
      <c r="F153" s="102">
        <v>16.275460000000002</v>
      </c>
      <c r="G153" s="106"/>
      <c r="H153" s="106"/>
      <c r="I153" s="103">
        <f t="shared" si="4"/>
        <v>627.03773000000001</v>
      </c>
      <c r="J153" s="103">
        <f t="shared" si="5"/>
        <v>610.76226999999994</v>
      </c>
      <c r="K153" s="103">
        <v>627.03773000000001</v>
      </c>
      <c r="L153" s="103">
        <v>610.76226999999994</v>
      </c>
    </row>
    <row r="154" spans="1:12" x14ac:dyDescent="0.25">
      <c r="A154" s="100">
        <v>150</v>
      </c>
      <c r="B154" s="107" t="s">
        <v>1421</v>
      </c>
      <c r="C154" s="108">
        <v>3632035</v>
      </c>
      <c r="D154" s="107" t="s">
        <v>1155</v>
      </c>
      <c r="E154" s="106">
        <v>610</v>
      </c>
      <c r="F154" s="102">
        <v>16.275460000000002</v>
      </c>
      <c r="G154" s="106"/>
      <c r="H154" s="106"/>
      <c r="I154" s="103">
        <f t="shared" si="4"/>
        <v>618.13773000000003</v>
      </c>
      <c r="J154" s="103">
        <f t="shared" si="5"/>
        <v>601.86226999999997</v>
      </c>
      <c r="K154" s="103">
        <v>618.13773000000003</v>
      </c>
      <c r="L154" s="103">
        <v>601.86226999999997</v>
      </c>
    </row>
    <row r="155" spans="1:12" x14ac:dyDescent="0.25">
      <c r="A155" s="104">
        <v>151</v>
      </c>
      <c r="B155" s="107" t="s">
        <v>1359</v>
      </c>
      <c r="C155" s="108">
        <v>3552112</v>
      </c>
      <c r="D155" s="107" t="s">
        <v>1526</v>
      </c>
      <c r="E155" s="106">
        <v>612.57000000000005</v>
      </c>
      <c r="F155" s="102">
        <v>16.275460000000002</v>
      </c>
      <c r="G155" s="106"/>
      <c r="H155" s="106"/>
      <c r="I155" s="103">
        <f t="shared" si="4"/>
        <v>620.70773000000008</v>
      </c>
      <c r="J155" s="103">
        <f t="shared" si="5"/>
        <v>604.43227000000002</v>
      </c>
      <c r="K155" s="103">
        <v>620.70773000000008</v>
      </c>
      <c r="L155" s="103">
        <v>604.43227000000002</v>
      </c>
    </row>
    <row r="156" spans="1:12" x14ac:dyDescent="0.25">
      <c r="A156" s="100">
        <v>152</v>
      </c>
      <c r="B156" s="107" t="s">
        <v>1429</v>
      </c>
      <c r="C156" s="108">
        <v>3562176</v>
      </c>
      <c r="D156" s="107" t="s">
        <v>1148</v>
      </c>
      <c r="E156" s="106">
        <v>612.85</v>
      </c>
      <c r="F156" s="102">
        <v>16.275460000000002</v>
      </c>
      <c r="G156" s="106"/>
      <c r="H156" s="106"/>
      <c r="I156" s="103">
        <f t="shared" si="4"/>
        <v>620.98773000000006</v>
      </c>
      <c r="J156" s="103">
        <f t="shared" si="5"/>
        <v>604.71226999999999</v>
      </c>
      <c r="K156" s="103">
        <v>620.98773000000006</v>
      </c>
      <c r="L156" s="103">
        <v>604.71226999999999</v>
      </c>
    </row>
    <row r="157" spans="1:12" x14ac:dyDescent="0.25">
      <c r="A157" s="104">
        <v>153</v>
      </c>
      <c r="B157" s="107" t="s">
        <v>1311</v>
      </c>
      <c r="C157" s="108">
        <v>3332152</v>
      </c>
      <c r="D157" s="107" t="s">
        <v>1518</v>
      </c>
      <c r="E157" s="106">
        <v>612.45000000000005</v>
      </c>
      <c r="F157" s="102">
        <v>16.275460000000002</v>
      </c>
      <c r="G157" s="106"/>
      <c r="H157" s="106"/>
      <c r="I157" s="103">
        <f t="shared" si="4"/>
        <v>620.58773000000008</v>
      </c>
      <c r="J157" s="103">
        <f t="shared" si="5"/>
        <v>604.31227000000001</v>
      </c>
      <c r="K157" s="103">
        <v>620.58773000000008</v>
      </c>
      <c r="L157" s="103">
        <v>604.31227000000001</v>
      </c>
    </row>
    <row r="158" spans="1:12" x14ac:dyDescent="0.25">
      <c r="A158" s="100">
        <v>154</v>
      </c>
      <c r="B158" s="107" t="s">
        <v>1353</v>
      </c>
      <c r="C158" s="108">
        <v>3722123</v>
      </c>
      <c r="D158" s="107" t="s">
        <v>1246</v>
      </c>
      <c r="E158" s="106">
        <v>614.76</v>
      </c>
      <c r="F158" s="102">
        <v>16.275460000000002</v>
      </c>
      <c r="G158" s="106"/>
      <c r="H158" s="106"/>
      <c r="I158" s="103">
        <f t="shared" si="4"/>
        <v>622.89773000000002</v>
      </c>
      <c r="J158" s="103">
        <f t="shared" si="5"/>
        <v>606.62226999999996</v>
      </c>
      <c r="K158" s="103">
        <v>622.89773000000002</v>
      </c>
      <c r="L158" s="103">
        <v>606.62226999999996</v>
      </c>
    </row>
    <row r="159" spans="1:12" x14ac:dyDescent="0.25">
      <c r="A159" s="104">
        <v>155</v>
      </c>
      <c r="B159" s="107" t="s">
        <v>1353</v>
      </c>
      <c r="C159" s="108">
        <v>3722363</v>
      </c>
      <c r="D159" s="107" t="s">
        <v>1536</v>
      </c>
      <c r="E159" s="106">
        <v>614.17999999999995</v>
      </c>
      <c r="F159" s="102">
        <v>16.275460000000002</v>
      </c>
      <c r="G159" s="106"/>
      <c r="H159" s="106"/>
      <c r="I159" s="103">
        <f t="shared" si="4"/>
        <v>622.31772999999998</v>
      </c>
      <c r="J159" s="103">
        <f t="shared" si="5"/>
        <v>606.04226999999992</v>
      </c>
      <c r="K159" s="103">
        <v>622.31772999999998</v>
      </c>
      <c r="L159" s="103">
        <v>606.04226999999992</v>
      </c>
    </row>
    <row r="160" spans="1:12" x14ac:dyDescent="0.25">
      <c r="A160" s="100">
        <v>156</v>
      </c>
      <c r="B160" s="107" t="s">
        <v>1396</v>
      </c>
      <c r="C160" s="108">
        <v>3232305</v>
      </c>
      <c r="D160" s="107" t="s">
        <v>1150</v>
      </c>
      <c r="E160" s="106">
        <v>611.16999999999996</v>
      </c>
      <c r="F160" s="102">
        <v>16.275460000000002</v>
      </c>
      <c r="G160" s="106"/>
      <c r="H160" s="106"/>
      <c r="I160" s="103">
        <f t="shared" si="4"/>
        <v>619.30772999999999</v>
      </c>
      <c r="J160" s="103">
        <f t="shared" si="5"/>
        <v>603.03226999999993</v>
      </c>
      <c r="K160" s="103">
        <v>619.30772999999999</v>
      </c>
      <c r="L160" s="103">
        <v>603.03226999999993</v>
      </c>
    </row>
    <row r="161" spans="1:12" x14ac:dyDescent="0.25">
      <c r="A161" s="104">
        <v>157</v>
      </c>
      <c r="B161" s="107" t="s">
        <v>1361</v>
      </c>
      <c r="C161" s="108">
        <v>3532034</v>
      </c>
      <c r="D161" s="107" t="s">
        <v>1173</v>
      </c>
      <c r="E161" s="106">
        <v>607.9</v>
      </c>
      <c r="F161" s="102">
        <v>16.275460000000002</v>
      </c>
      <c r="G161" s="106"/>
      <c r="H161" s="106"/>
      <c r="I161" s="103">
        <f t="shared" si="4"/>
        <v>616.03773000000001</v>
      </c>
      <c r="J161" s="103">
        <f t="shared" si="5"/>
        <v>599.76226999999994</v>
      </c>
      <c r="K161" s="103">
        <v>616.03773000000001</v>
      </c>
      <c r="L161" s="103">
        <v>599.76226999999994</v>
      </c>
    </row>
    <row r="162" spans="1:12" x14ac:dyDescent="0.25">
      <c r="A162" s="100">
        <v>158</v>
      </c>
      <c r="B162" s="107" t="s">
        <v>1308</v>
      </c>
      <c r="C162" s="108">
        <v>1412075</v>
      </c>
      <c r="D162" s="107" t="s">
        <v>1148</v>
      </c>
      <c r="E162" s="106">
        <v>619.6</v>
      </c>
      <c r="F162" s="102">
        <v>16.275460000000002</v>
      </c>
      <c r="G162" s="106"/>
      <c r="H162" s="106"/>
      <c r="I162" s="103">
        <f t="shared" si="4"/>
        <v>627.73773000000006</v>
      </c>
      <c r="J162" s="103">
        <f t="shared" si="5"/>
        <v>611.46226999999999</v>
      </c>
      <c r="K162" s="103">
        <v>627.73773000000006</v>
      </c>
      <c r="L162" s="103">
        <v>611.46226999999999</v>
      </c>
    </row>
    <row r="163" spans="1:12" x14ac:dyDescent="0.25">
      <c r="A163" s="104">
        <v>159</v>
      </c>
      <c r="B163" s="107" t="s">
        <v>1421</v>
      </c>
      <c r="C163" s="108">
        <v>3632051</v>
      </c>
      <c r="D163" s="107" t="s">
        <v>1243</v>
      </c>
      <c r="E163" s="106">
        <v>607.32000000000005</v>
      </c>
      <c r="F163" s="102">
        <v>16.275460000000002</v>
      </c>
      <c r="G163" s="106"/>
      <c r="H163" s="106"/>
      <c r="I163" s="103">
        <f t="shared" si="4"/>
        <v>615.45773000000008</v>
      </c>
      <c r="J163" s="103">
        <f t="shared" si="5"/>
        <v>599.18227000000002</v>
      </c>
      <c r="K163" s="103">
        <v>615.45773000000008</v>
      </c>
      <c r="L163" s="103">
        <v>599.18227000000002</v>
      </c>
    </row>
    <row r="164" spans="1:12" x14ac:dyDescent="0.25">
      <c r="A164" s="100">
        <v>160</v>
      </c>
      <c r="B164" s="107" t="s">
        <v>1396</v>
      </c>
      <c r="C164" s="108">
        <v>3232112</v>
      </c>
      <c r="D164" s="107" t="s">
        <v>1178</v>
      </c>
      <c r="E164" s="106">
        <v>614.41</v>
      </c>
      <c r="F164" s="102">
        <v>16.275460000000002</v>
      </c>
      <c r="G164" s="106"/>
      <c r="H164" s="106"/>
      <c r="I164" s="103">
        <f t="shared" si="4"/>
        <v>622.54773</v>
      </c>
      <c r="J164" s="103">
        <f t="shared" si="5"/>
        <v>606.27226999999993</v>
      </c>
      <c r="K164" s="103">
        <v>622.54773</v>
      </c>
      <c r="L164" s="103">
        <v>606.27226999999993</v>
      </c>
    </row>
    <row r="165" spans="1:12" x14ac:dyDescent="0.25">
      <c r="A165" s="104">
        <v>161</v>
      </c>
      <c r="B165" s="107" t="s">
        <v>1318</v>
      </c>
      <c r="C165" s="108">
        <v>3812145</v>
      </c>
      <c r="D165" s="107" t="s">
        <v>1151</v>
      </c>
      <c r="E165" s="106">
        <v>616.08000000000004</v>
      </c>
      <c r="F165" s="102">
        <v>16.275460000000002</v>
      </c>
      <c r="G165" s="106"/>
      <c r="H165" s="106"/>
      <c r="I165" s="103">
        <f t="shared" si="4"/>
        <v>624.21773000000007</v>
      </c>
      <c r="J165" s="103">
        <f t="shared" si="5"/>
        <v>607.94227000000001</v>
      </c>
      <c r="K165" s="103">
        <v>624.21773000000007</v>
      </c>
      <c r="L165" s="103">
        <v>607.94227000000001</v>
      </c>
    </row>
    <row r="166" spans="1:12" x14ac:dyDescent="0.25">
      <c r="A166" s="100">
        <v>162</v>
      </c>
      <c r="B166" s="107" t="s">
        <v>1394</v>
      </c>
      <c r="C166" s="108">
        <v>3622161</v>
      </c>
      <c r="D166" s="107" t="s">
        <v>1186</v>
      </c>
      <c r="E166" s="106">
        <v>607.16</v>
      </c>
      <c r="F166" s="102">
        <v>16.275460000000002</v>
      </c>
      <c r="G166" s="106"/>
      <c r="H166" s="106"/>
      <c r="I166" s="103">
        <f t="shared" si="4"/>
        <v>615.29773</v>
      </c>
      <c r="J166" s="103">
        <f t="shared" si="5"/>
        <v>599.02226999999993</v>
      </c>
      <c r="K166" s="103">
        <v>615.29773</v>
      </c>
      <c r="L166" s="103">
        <v>599.02226999999993</v>
      </c>
    </row>
    <row r="167" spans="1:12" x14ac:dyDescent="0.25">
      <c r="A167" s="104">
        <v>163</v>
      </c>
      <c r="B167" s="107" t="s">
        <v>1318</v>
      </c>
      <c r="C167" s="108">
        <v>3812041</v>
      </c>
      <c r="D167" s="107" t="s">
        <v>1173</v>
      </c>
      <c r="E167" s="106">
        <v>607.16</v>
      </c>
      <c r="F167" s="102">
        <v>16.275460000000002</v>
      </c>
      <c r="G167" s="106"/>
      <c r="H167" s="106"/>
      <c r="I167" s="103">
        <f t="shared" si="4"/>
        <v>615.29773</v>
      </c>
      <c r="J167" s="103">
        <f t="shared" si="5"/>
        <v>599.02226999999993</v>
      </c>
      <c r="K167" s="103">
        <v>615.29773</v>
      </c>
      <c r="L167" s="103">
        <v>599.02226999999993</v>
      </c>
    </row>
    <row r="168" spans="1:12" x14ac:dyDescent="0.25">
      <c r="A168" s="100">
        <v>164</v>
      </c>
      <c r="B168" s="107" t="s">
        <v>1354</v>
      </c>
      <c r="C168" s="108">
        <v>3512037</v>
      </c>
      <c r="D168" s="107" t="s">
        <v>1166</v>
      </c>
      <c r="E168" s="106">
        <v>607.14</v>
      </c>
      <c r="F168" s="102">
        <v>16.275460000000002</v>
      </c>
      <c r="G168" s="106"/>
      <c r="H168" s="106"/>
      <c r="I168" s="103">
        <f t="shared" si="4"/>
        <v>615.27773000000002</v>
      </c>
      <c r="J168" s="103">
        <f t="shared" si="5"/>
        <v>599.00226999999995</v>
      </c>
      <c r="K168" s="103">
        <v>615.27773000000002</v>
      </c>
      <c r="L168" s="103">
        <v>599.00226999999995</v>
      </c>
    </row>
    <row r="169" spans="1:12" x14ac:dyDescent="0.25">
      <c r="A169" s="104">
        <v>165</v>
      </c>
      <c r="B169" s="107" t="s">
        <v>1333</v>
      </c>
      <c r="C169" s="108">
        <v>3222083</v>
      </c>
      <c r="D169" s="107" t="s">
        <v>1157</v>
      </c>
      <c r="E169" s="106">
        <v>611.85</v>
      </c>
      <c r="F169" s="102">
        <v>16.275460000000002</v>
      </c>
      <c r="G169" s="106"/>
      <c r="H169" s="106"/>
      <c r="I169" s="103">
        <f t="shared" si="4"/>
        <v>619.98773000000006</v>
      </c>
      <c r="J169" s="103">
        <f t="shared" si="5"/>
        <v>603.71226999999999</v>
      </c>
      <c r="K169" s="103">
        <v>619.98773000000006</v>
      </c>
      <c r="L169" s="103">
        <v>603.71226999999999</v>
      </c>
    </row>
    <row r="170" spans="1:12" x14ac:dyDescent="0.25">
      <c r="A170" s="100">
        <v>166</v>
      </c>
      <c r="B170" s="107" t="s">
        <v>1318</v>
      </c>
      <c r="C170" s="108">
        <v>3812025</v>
      </c>
      <c r="D170" s="107" t="s">
        <v>1156</v>
      </c>
      <c r="E170" s="106">
        <v>614.16</v>
      </c>
      <c r="F170" s="102">
        <v>16.275460000000002</v>
      </c>
      <c r="G170" s="106"/>
      <c r="H170" s="106"/>
      <c r="I170" s="103">
        <f t="shared" si="4"/>
        <v>622.29773</v>
      </c>
      <c r="J170" s="103">
        <f t="shared" si="5"/>
        <v>606.02226999999993</v>
      </c>
      <c r="K170" s="103">
        <v>622.29773</v>
      </c>
      <c r="L170" s="103">
        <v>606.02226999999993</v>
      </c>
    </row>
    <row r="171" spans="1:12" x14ac:dyDescent="0.25">
      <c r="A171" s="104">
        <v>167</v>
      </c>
      <c r="B171" s="107" t="s">
        <v>1416</v>
      </c>
      <c r="C171" s="108">
        <v>3342243</v>
      </c>
      <c r="D171" s="107" t="s">
        <v>1174</v>
      </c>
      <c r="E171" s="106">
        <v>609.36</v>
      </c>
      <c r="F171" s="102">
        <v>16.275460000000002</v>
      </c>
      <c r="G171" s="106"/>
      <c r="H171" s="106"/>
      <c r="I171" s="103">
        <f t="shared" si="4"/>
        <v>617.49773000000005</v>
      </c>
      <c r="J171" s="103">
        <f t="shared" si="5"/>
        <v>601.22226999999998</v>
      </c>
      <c r="K171" s="103">
        <v>617.49773000000005</v>
      </c>
      <c r="L171" s="103">
        <v>601.22226999999998</v>
      </c>
    </row>
    <row r="172" spans="1:12" x14ac:dyDescent="0.25">
      <c r="A172" s="100">
        <v>168</v>
      </c>
      <c r="B172" s="107" t="s">
        <v>1354</v>
      </c>
      <c r="C172" s="108">
        <v>3512014</v>
      </c>
      <c r="D172" s="107" t="s">
        <v>1147</v>
      </c>
      <c r="E172" s="106">
        <v>606.9</v>
      </c>
      <c r="F172" s="102">
        <v>16.275460000000002</v>
      </c>
      <c r="G172" s="106"/>
      <c r="H172" s="106"/>
      <c r="I172" s="103">
        <f t="shared" si="4"/>
        <v>615.03773000000001</v>
      </c>
      <c r="J172" s="103">
        <f t="shared" si="5"/>
        <v>598.76226999999994</v>
      </c>
      <c r="K172" s="103">
        <v>615.03773000000001</v>
      </c>
      <c r="L172" s="103">
        <v>598.76226999999994</v>
      </c>
    </row>
    <row r="173" spans="1:12" x14ac:dyDescent="0.25">
      <c r="A173" s="104">
        <v>169</v>
      </c>
      <c r="B173" s="107" t="s">
        <v>1396</v>
      </c>
      <c r="C173" s="108">
        <v>3232417</v>
      </c>
      <c r="D173" s="107" t="s">
        <v>1149</v>
      </c>
      <c r="E173" s="106">
        <v>612.66999999999996</v>
      </c>
      <c r="F173" s="102">
        <v>16.275460000000002</v>
      </c>
      <c r="G173" s="106"/>
      <c r="H173" s="106"/>
      <c r="I173" s="103">
        <f t="shared" si="4"/>
        <v>620.80772999999999</v>
      </c>
      <c r="J173" s="103">
        <f t="shared" si="5"/>
        <v>604.53226999999993</v>
      </c>
      <c r="K173" s="103">
        <v>620.80772999999999</v>
      </c>
      <c r="L173" s="103">
        <v>604.53226999999993</v>
      </c>
    </row>
    <row r="174" spans="1:12" x14ac:dyDescent="0.25">
      <c r="A174" s="100">
        <v>170</v>
      </c>
      <c r="B174" s="107" t="s">
        <v>1394</v>
      </c>
      <c r="C174" s="108">
        <v>3622153</v>
      </c>
      <c r="D174" s="107" t="s">
        <v>1214</v>
      </c>
      <c r="E174" s="106">
        <v>611.9</v>
      </c>
      <c r="F174" s="102">
        <v>16.275460000000002</v>
      </c>
      <c r="G174" s="106"/>
      <c r="H174" s="106"/>
      <c r="I174" s="103">
        <f t="shared" si="4"/>
        <v>620.03773000000001</v>
      </c>
      <c r="J174" s="103">
        <f t="shared" si="5"/>
        <v>603.76226999999994</v>
      </c>
      <c r="K174" s="103">
        <v>620.03773000000001</v>
      </c>
      <c r="L174" s="103">
        <v>603.76226999999994</v>
      </c>
    </row>
    <row r="175" spans="1:12" x14ac:dyDescent="0.25">
      <c r="A175" s="104">
        <v>171</v>
      </c>
      <c r="B175" s="107" t="s">
        <v>1394</v>
      </c>
      <c r="C175" s="108">
        <v>3622017</v>
      </c>
      <c r="D175" s="107" t="s">
        <v>1537</v>
      </c>
      <c r="E175" s="106">
        <v>607.41</v>
      </c>
      <c r="F175" s="102">
        <v>16.275460000000002</v>
      </c>
      <c r="G175" s="106"/>
      <c r="H175" s="106"/>
      <c r="I175" s="103">
        <f t="shared" si="4"/>
        <v>615.54773</v>
      </c>
      <c r="J175" s="103">
        <f t="shared" si="5"/>
        <v>599.27226999999993</v>
      </c>
      <c r="K175" s="103">
        <v>615.54773</v>
      </c>
      <c r="L175" s="103">
        <v>599.27226999999993</v>
      </c>
    </row>
    <row r="176" spans="1:12" x14ac:dyDescent="0.25">
      <c r="A176" s="100">
        <v>172</v>
      </c>
      <c r="B176" s="107" t="s">
        <v>1429</v>
      </c>
      <c r="C176" s="108">
        <v>3562273</v>
      </c>
      <c r="D176" s="107" t="s">
        <v>1151</v>
      </c>
      <c r="E176" s="106">
        <v>610.11</v>
      </c>
      <c r="F176" s="102">
        <v>16.275460000000002</v>
      </c>
      <c r="G176" s="106"/>
      <c r="H176" s="106"/>
      <c r="I176" s="103">
        <f t="shared" si="4"/>
        <v>618.24773000000005</v>
      </c>
      <c r="J176" s="103">
        <f t="shared" si="5"/>
        <v>601.97226999999998</v>
      </c>
      <c r="K176" s="103">
        <v>618.24773000000005</v>
      </c>
      <c r="L176" s="103">
        <v>601.97226999999998</v>
      </c>
    </row>
    <row r="177" spans="1:12" x14ac:dyDescent="0.25">
      <c r="A177" s="104">
        <v>173</v>
      </c>
      <c r="B177" s="107" t="s">
        <v>1394</v>
      </c>
      <c r="C177" s="108">
        <v>3622095</v>
      </c>
      <c r="D177" s="107" t="s">
        <v>1182</v>
      </c>
      <c r="E177" s="106">
        <v>611.84</v>
      </c>
      <c r="F177" s="102">
        <v>16.275460000000002</v>
      </c>
      <c r="G177" s="106"/>
      <c r="H177" s="106"/>
      <c r="I177" s="103">
        <f t="shared" si="4"/>
        <v>619.97773000000007</v>
      </c>
      <c r="J177" s="103">
        <f t="shared" si="5"/>
        <v>603.70227</v>
      </c>
      <c r="K177" s="103">
        <v>619.97773000000007</v>
      </c>
      <c r="L177" s="103">
        <v>603.70227</v>
      </c>
    </row>
    <row r="178" spans="1:12" x14ac:dyDescent="0.25">
      <c r="A178" s="100">
        <v>174</v>
      </c>
      <c r="B178" s="107" t="s">
        <v>1396</v>
      </c>
      <c r="C178" s="108">
        <v>3232247</v>
      </c>
      <c r="D178" s="107" t="s">
        <v>1173</v>
      </c>
      <c r="E178" s="106">
        <v>605.66</v>
      </c>
      <c r="F178" s="102">
        <v>16.275460000000002</v>
      </c>
      <c r="G178" s="106"/>
      <c r="H178" s="106"/>
      <c r="I178" s="103">
        <f t="shared" si="4"/>
        <v>613.79773</v>
      </c>
      <c r="J178" s="103">
        <f t="shared" si="5"/>
        <v>597.52226999999993</v>
      </c>
      <c r="K178" s="103">
        <v>613.79773</v>
      </c>
      <c r="L178" s="103">
        <v>597.52226999999993</v>
      </c>
    </row>
    <row r="179" spans="1:12" x14ac:dyDescent="0.25">
      <c r="A179" s="104">
        <v>175</v>
      </c>
      <c r="B179" s="107" t="s">
        <v>1353</v>
      </c>
      <c r="C179" s="108">
        <v>3722034</v>
      </c>
      <c r="D179" s="107" t="s">
        <v>1245</v>
      </c>
      <c r="E179" s="106">
        <v>608.25</v>
      </c>
      <c r="F179" s="102">
        <v>16.275460000000002</v>
      </c>
      <c r="G179" s="106"/>
      <c r="H179" s="106"/>
      <c r="I179" s="103">
        <f t="shared" si="4"/>
        <v>616.38773000000003</v>
      </c>
      <c r="J179" s="103">
        <f t="shared" si="5"/>
        <v>600.11226999999997</v>
      </c>
      <c r="K179" s="103">
        <v>616.38773000000003</v>
      </c>
      <c r="L179" s="103">
        <v>600.11226999999997</v>
      </c>
    </row>
    <row r="180" spans="1:12" x14ac:dyDescent="0.25">
      <c r="A180" s="100">
        <v>176</v>
      </c>
      <c r="B180" s="107" t="s">
        <v>1308</v>
      </c>
      <c r="C180" s="108">
        <v>1412141</v>
      </c>
      <c r="D180" s="107" t="s">
        <v>1157</v>
      </c>
      <c r="E180" s="106">
        <v>603.6</v>
      </c>
      <c r="F180" s="102">
        <v>16.275460000000002</v>
      </c>
      <c r="G180" s="106"/>
      <c r="H180" s="106"/>
      <c r="I180" s="103">
        <f t="shared" si="4"/>
        <v>611.73773000000006</v>
      </c>
      <c r="J180" s="103">
        <f t="shared" si="5"/>
        <v>595.46226999999999</v>
      </c>
      <c r="K180" s="103">
        <v>611.73773000000006</v>
      </c>
      <c r="L180" s="103">
        <v>595.46226999999999</v>
      </c>
    </row>
    <row r="181" spans="1:12" x14ac:dyDescent="0.25">
      <c r="A181" s="104">
        <v>177</v>
      </c>
      <c r="B181" s="107" t="s">
        <v>1429</v>
      </c>
      <c r="C181" s="108">
        <v>3562161</v>
      </c>
      <c r="D181" s="107" t="s">
        <v>1147</v>
      </c>
      <c r="E181" s="106">
        <v>603.22</v>
      </c>
      <c r="F181" s="102">
        <v>16.275460000000002</v>
      </c>
      <c r="G181" s="106"/>
      <c r="H181" s="106"/>
      <c r="I181" s="103">
        <f t="shared" si="4"/>
        <v>611.35773000000006</v>
      </c>
      <c r="J181" s="103">
        <f t="shared" si="5"/>
        <v>595.08226999999999</v>
      </c>
      <c r="K181" s="103">
        <v>611.35773000000006</v>
      </c>
      <c r="L181" s="103">
        <v>595.08226999999999</v>
      </c>
    </row>
    <row r="182" spans="1:12" x14ac:dyDescent="0.25">
      <c r="A182" s="100">
        <v>178</v>
      </c>
      <c r="B182" s="107" t="s">
        <v>1313</v>
      </c>
      <c r="C182" s="108">
        <v>3612127</v>
      </c>
      <c r="D182" s="107" t="s">
        <v>1538</v>
      </c>
      <c r="E182" s="106">
        <v>605.5</v>
      </c>
      <c r="F182" s="102">
        <v>16.275460000000002</v>
      </c>
      <c r="G182" s="106"/>
      <c r="H182" s="106"/>
      <c r="I182" s="103">
        <f t="shared" si="4"/>
        <v>613.63773000000003</v>
      </c>
      <c r="J182" s="103">
        <f t="shared" si="5"/>
        <v>597.36226999999997</v>
      </c>
      <c r="K182" s="103">
        <v>613.63773000000003</v>
      </c>
      <c r="L182" s="103">
        <v>597.36226999999997</v>
      </c>
    </row>
    <row r="183" spans="1:12" x14ac:dyDescent="0.25">
      <c r="A183" s="104">
        <v>179</v>
      </c>
      <c r="B183" s="107" t="s">
        <v>1396</v>
      </c>
      <c r="C183" s="108">
        <v>3232166</v>
      </c>
      <c r="D183" s="107" t="s">
        <v>1181</v>
      </c>
      <c r="E183" s="106">
        <v>612.03</v>
      </c>
      <c r="F183" s="102">
        <v>16.275460000000002</v>
      </c>
      <c r="G183" s="106"/>
      <c r="H183" s="106"/>
      <c r="I183" s="103">
        <f t="shared" si="4"/>
        <v>620.16773000000001</v>
      </c>
      <c r="J183" s="103">
        <f t="shared" si="5"/>
        <v>603.89226999999994</v>
      </c>
      <c r="K183" s="103">
        <v>620.16773000000001</v>
      </c>
      <c r="L183" s="103">
        <v>603.89226999999994</v>
      </c>
    </row>
    <row r="184" spans="1:12" x14ac:dyDescent="0.25">
      <c r="A184" s="100">
        <v>180</v>
      </c>
      <c r="B184" s="107" t="s">
        <v>1416</v>
      </c>
      <c r="C184" s="108">
        <v>3342162</v>
      </c>
      <c r="D184" s="107" t="s">
        <v>1178</v>
      </c>
      <c r="E184" s="106">
        <v>603.6</v>
      </c>
      <c r="F184" s="102">
        <v>16.275460000000002</v>
      </c>
      <c r="G184" s="106"/>
      <c r="H184" s="106"/>
      <c r="I184" s="103">
        <f t="shared" si="4"/>
        <v>611.73773000000006</v>
      </c>
      <c r="J184" s="103">
        <f t="shared" si="5"/>
        <v>595.46226999999999</v>
      </c>
      <c r="K184" s="103">
        <v>611.73773000000006</v>
      </c>
      <c r="L184" s="103">
        <v>595.46226999999999</v>
      </c>
    </row>
    <row r="185" spans="1:12" x14ac:dyDescent="0.25">
      <c r="A185" s="104">
        <v>181</v>
      </c>
      <c r="B185" s="107" t="s">
        <v>1311</v>
      </c>
      <c r="C185" s="108">
        <v>3332217</v>
      </c>
      <c r="D185" s="107" t="s">
        <v>1169</v>
      </c>
      <c r="E185" s="106">
        <v>607.15</v>
      </c>
      <c r="F185" s="102">
        <v>16.275460000000002</v>
      </c>
      <c r="G185" s="106"/>
      <c r="H185" s="106"/>
      <c r="I185" s="103">
        <f t="shared" si="4"/>
        <v>615.28773000000001</v>
      </c>
      <c r="J185" s="103">
        <f t="shared" si="5"/>
        <v>599.01226999999994</v>
      </c>
      <c r="K185" s="103">
        <v>615.28773000000001</v>
      </c>
      <c r="L185" s="103">
        <v>599.01226999999994</v>
      </c>
    </row>
    <row r="186" spans="1:12" x14ac:dyDescent="0.25">
      <c r="A186" s="100">
        <v>182</v>
      </c>
      <c r="B186" s="107" t="s">
        <v>1444</v>
      </c>
      <c r="C186" s="108">
        <v>3732245</v>
      </c>
      <c r="D186" s="107" t="s">
        <v>1174</v>
      </c>
      <c r="E186" s="106">
        <v>605.41999999999996</v>
      </c>
      <c r="F186" s="102">
        <v>16.275460000000002</v>
      </c>
      <c r="G186" s="106"/>
      <c r="H186" s="106"/>
      <c r="I186" s="103">
        <f t="shared" si="4"/>
        <v>613.55772999999999</v>
      </c>
      <c r="J186" s="103">
        <f t="shared" si="5"/>
        <v>597.28226999999993</v>
      </c>
      <c r="K186" s="103">
        <v>613.55772999999999</v>
      </c>
      <c r="L186" s="103">
        <v>597.28226999999993</v>
      </c>
    </row>
    <row r="187" spans="1:12" x14ac:dyDescent="0.25">
      <c r="A187" s="104">
        <v>183</v>
      </c>
      <c r="B187" s="107" t="s">
        <v>1353</v>
      </c>
      <c r="C187" s="108">
        <v>3722146</v>
      </c>
      <c r="D187" s="107" t="s">
        <v>1171</v>
      </c>
      <c r="E187" s="106">
        <v>602.88</v>
      </c>
      <c r="F187" s="102">
        <v>16.275460000000002</v>
      </c>
      <c r="G187" s="106"/>
      <c r="H187" s="106"/>
      <c r="I187" s="103">
        <f t="shared" si="4"/>
        <v>611.01773000000003</v>
      </c>
      <c r="J187" s="103">
        <f t="shared" si="5"/>
        <v>594.74226999999996</v>
      </c>
      <c r="K187" s="103">
        <v>611.01773000000003</v>
      </c>
      <c r="L187" s="103">
        <v>594.74226999999996</v>
      </c>
    </row>
    <row r="188" spans="1:12" x14ac:dyDescent="0.25">
      <c r="A188" s="100">
        <v>184</v>
      </c>
      <c r="B188" s="107" t="s">
        <v>1429</v>
      </c>
      <c r="C188" s="108">
        <v>3562122</v>
      </c>
      <c r="D188" s="107" t="s">
        <v>1155</v>
      </c>
      <c r="E188" s="106">
        <v>601.59</v>
      </c>
      <c r="F188" s="102">
        <v>16.275460000000002</v>
      </c>
      <c r="G188" s="106"/>
      <c r="H188" s="106"/>
      <c r="I188" s="103">
        <f t="shared" si="4"/>
        <v>609.72773000000007</v>
      </c>
      <c r="J188" s="103">
        <f t="shared" si="5"/>
        <v>593.45227</v>
      </c>
      <c r="K188" s="103">
        <v>609.72773000000007</v>
      </c>
      <c r="L188" s="103">
        <v>593.45227</v>
      </c>
    </row>
    <row r="189" spans="1:12" x14ac:dyDescent="0.25">
      <c r="A189" s="104">
        <v>185</v>
      </c>
      <c r="B189" s="107" t="s">
        <v>1359</v>
      </c>
      <c r="C189" s="108">
        <v>3552166</v>
      </c>
      <c r="D189" s="107" t="s">
        <v>1250</v>
      </c>
      <c r="E189" s="106">
        <v>603.25</v>
      </c>
      <c r="F189" s="102">
        <v>16.275460000000002</v>
      </c>
      <c r="G189" s="106"/>
      <c r="H189" s="106"/>
      <c r="I189" s="103">
        <f t="shared" si="4"/>
        <v>611.38773000000003</v>
      </c>
      <c r="J189" s="103">
        <f t="shared" si="5"/>
        <v>595.11226999999997</v>
      </c>
      <c r="K189" s="103">
        <v>611.38773000000003</v>
      </c>
      <c r="L189" s="103">
        <v>595.11226999999997</v>
      </c>
    </row>
    <row r="190" spans="1:12" x14ac:dyDescent="0.25">
      <c r="A190" s="100">
        <v>186</v>
      </c>
      <c r="B190" s="107" t="s">
        <v>1394</v>
      </c>
      <c r="C190" s="108">
        <v>3622242</v>
      </c>
      <c r="D190" s="107" t="s">
        <v>1176</v>
      </c>
      <c r="E190" s="106">
        <v>610.63</v>
      </c>
      <c r="F190" s="102">
        <v>16.275460000000002</v>
      </c>
      <c r="G190" s="106"/>
      <c r="H190" s="106"/>
      <c r="I190" s="103">
        <f t="shared" si="4"/>
        <v>618.76773000000003</v>
      </c>
      <c r="J190" s="103">
        <f t="shared" si="5"/>
        <v>602.49226999999996</v>
      </c>
      <c r="K190" s="103">
        <v>618.76773000000003</v>
      </c>
      <c r="L190" s="103">
        <v>602.49226999999996</v>
      </c>
    </row>
    <row r="191" spans="1:12" x14ac:dyDescent="0.25">
      <c r="A191" s="104">
        <v>187</v>
      </c>
      <c r="B191" s="107" t="s">
        <v>1432</v>
      </c>
      <c r="C191" s="108">
        <v>3242056</v>
      </c>
      <c r="D191" s="107" t="s">
        <v>1194</v>
      </c>
      <c r="E191" s="106">
        <v>604.29</v>
      </c>
      <c r="F191" s="102">
        <v>16.275460000000002</v>
      </c>
      <c r="G191" s="106"/>
      <c r="H191" s="106"/>
      <c r="I191" s="103">
        <f t="shared" si="4"/>
        <v>612.42773</v>
      </c>
      <c r="J191" s="103">
        <f t="shared" si="5"/>
        <v>596.15226999999993</v>
      </c>
      <c r="K191" s="103">
        <v>612.42773</v>
      </c>
      <c r="L191" s="103">
        <v>596.15226999999993</v>
      </c>
    </row>
    <row r="192" spans="1:12" x14ac:dyDescent="0.25">
      <c r="A192" s="100">
        <v>188</v>
      </c>
      <c r="B192" s="107" t="s">
        <v>1354</v>
      </c>
      <c r="C192" s="108">
        <v>3512103</v>
      </c>
      <c r="D192" s="107" t="s">
        <v>1174</v>
      </c>
      <c r="E192" s="106">
        <v>598.15</v>
      </c>
      <c r="F192" s="102">
        <v>16.275460000000002</v>
      </c>
      <c r="G192" s="106"/>
      <c r="H192" s="106"/>
      <c r="I192" s="103">
        <f t="shared" si="4"/>
        <v>606.28773000000001</v>
      </c>
      <c r="J192" s="103">
        <f t="shared" si="5"/>
        <v>590.01226999999994</v>
      </c>
      <c r="K192" s="103">
        <v>606.28773000000001</v>
      </c>
      <c r="L192" s="103">
        <v>590.01226999999994</v>
      </c>
    </row>
    <row r="193" spans="1:12" x14ac:dyDescent="0.25">
      <c r="A193" s="104">
        <v>189</v>
      </c>
      <c r="B193" s="107" t="s">
        <v>1394</v>
      </c>
      <c r="C193" s="108">
        <v>3622137</v>
      </c>
      <c r="D193" s="107" t="s">
        <v>1539</v>
      </c>
      <c r="E193" s="106">
        <v>604.48</v>
      </c>
      <c r="F193" s="102">
        <v>16.275460000000002</v>
      </c>
      <c r="G193" s="106"/>
      <c r="H193" s="106"/>
      <c r="I193" s="103">
        <f t="shared" si="4"/>
        <v>612.61773000000005</v>
      </c>
      <c r="J193" s="103">
        <f t="shared" si="5"/>
        <v>596.34226999999998</v>
      </c>
      <c r="K193" s="103">
        <v>612.61773000000005</v>
      </c>
      <c r="L193" s="103">
        <v>596.34226999999998</v>
      </c>
    </row>
    <row r="194" spans="1:12" x14ac:dyDescent="0.25">
      <c r="A194" s="100">
        <v>190</v>
      </c>
      <c r="B194" s="107" t="s">
        <v>1432</v>
      </c>
      <c r="C194" s="108">
        <v>3242041</v>
      </c>
      <c r="D194" s="107" t="s">
        <v>1149</v>
      </c>
      <c r="E194" s="106">
        <v>606.97</v>
      </c>
      <c r="F194" s="102">
        <v>16.275460000000002</v>
      </c>
      <c r="G194" s="106"/>
      <c r="H194" s="106"/>
      <c r="I194" s="103">
        <f t="shared" si="4"/>
        <v>615.10773000000006</v>
      </c>
      <c r="J194" s="103">
        <f t="shared" si="5"/>
        <v>598.83226999999999</v>
      </c>
      <c r="K194" s="103">
        <v>615.10773000000006</v>
      </c>
      <c r="L194" s="103">
        <v>598.83226999999999</v>
      </c>
    </row>
    <row r="195" spans="1:12" x14ac:dyDescent="0.25">
      <c r="A195" s="104">
        <v>191</v>
      </c>
      <c r="B195" s="107" t="s">
        <v>1429</v>
      </c>
      <c r="C195" s="108">
        <v>3562137</v>
      </c>
      <c r="D195" s="107" t="s">
        <v>1150</v>
      </c>
      <c r="E195" s="106">
        <v>602.32000000000005</v>
      </c>
      <c r="F195" s="102">
        <v>16.275460000000002</v>
      </c>
      <c r="G195" s="106"/>
      <c r="H195" s="106"/>
      <c r="I195" s="103">
        <f t="shared" si="4"/>
        <v>610.45773000000008</v>
      </c>
      <c r="J195" s="103">
        <f t="shared" si="5"/>
        <v>594.18227000000002</v>
      </c>
      <c r="K195" s="103">
        <v>610.45773000000008</v>
      </c>
      <c r="L195" s="103">
        <v>594.18227000000002</v>
      </c>
    </row>
    <row r="196" spans="1:12" x14ac:dyDescent="0.25">
      <c r="A196" s="100">
        <v>192</v>
      </c>
      <c r="B196" s="107" t="s">
        <v>1353</v>
      </c>
      <c r="C196" s="108">
        <v>3722177</v>
      </c>
      <c r="D196" s="107" t="s">
        <v>1526</v>
      </c>
      <c r="E196" s="106">
        <v>600.55999999999995</v>
      </c>
      <c r="F196" s="102">
        <v>16.275460000000002</v>
      </c>
      <c r="G196" s="106"/>
      <c r="H196" s="106"/>
      <c r="I196" s="103">
        <f t="shared" si="4"/>
        <v>608.69772999999998</v>
      </c>
      <c r="J196" s="103">
        <f t="shared" si="5"/>
        <v>592.42226999999991</v>
      </c>
      <c r="K196" s="103">
        <v>608.69772999999998</v>
      </c>
      <c r="L196" s="103">
        <v>592.42226999999991</v>
      </c>
    </row>
    <row r="197" spans="1:12" x14ac:dyDescent="0.25">
      <c r="A197" s="104">
        <v>193</v>
      </c>
      <c r="B197" s="107" t="s">
        <v>1520</v>
      </c>
      <c r="C197" s="108">
        <v>3642126</v>
      </c>
      <c r="D197" s="107" t="s">
        <v>1197</v>
      </c>
      <c r="E197" s="106">
        <v>621.24</v>
      </c>
      <c r="F197" s="102">
        <v>16.275460000000002</v>
      </c>
      <c r="G197" s="106"/>
      <c r="H197" s="106"/>
      <c r="I197" s="103">
        <f t="shared" si="4"/>
        <v>629.37773000000004</v>
      </c>
      <c r="J197" s="103">
        <f t="shared" si="5"/>
        <v>613.10226999999998</v>
      </c>
      <c r="K197" s="103">
        <v>629.37773000000004</v>
      </c>
      <c r="L197" s="103">
        <v>613.10226999999998</v>
      </c>
    </row>
    <row r="198" spans="1:12" x14ac:dyDescent="0.25">
      <c r="A198" s="100">
        <v>194</v>
      </c>
      <c r="B198" s="107" t="s">
        <v>1361</v>
      </c>
      <c r="C198" s="108">
        <v>3532146</v>
      </c>
      <c r="D198" s="107" t="s">
        <v>1236</v>
      </c>
      <c r="E198" s="106">
        <v>603.53</v>
      </c>
      <c r="F198" s="102">
        <v>16.275460000000002</v>
      </c>
      <c r="G198" s="106"/>
      <c r="H198" s="106"/>
      <c r="I198" s="103">
        <f t="shared" ref="I198:I261" si="6">E198+0.5*F198</f>
        <v>611.66773000000001</v>
      </c>
      <c r="J198" s="103">
        <f t="shared" ref="J198:J261" si="7">E198-0.5*F198</f>
        <v>595.39226999999994</v>
      </c>
      <c r="K198" s="103">
        <v>611.66773000000001</v>
      </c>
      <c r="L198" s="103">
        <v>595.39226999999994</v>
      </c>
    </row>
    <row r="199" spans="1:12" x14ac:dyDescent="0.25">
      <c r="A199" s="104">
        <v>195</v>
      </c>
      <c r="B199" s="107" t="s">
        <v>1311</v>
      </c>
      <c r="C199" s="108">
        <v>3332183</v>
      </c>
      <c r="D199" s="107" t="s">
        <v>1261</v>
      </c>
      <c r="E199" s="106">
        <v>607.21</v>
      </c>
      <c r="F199" s="102">
        <v>16.275460000000002</v>
      </c>
      <c r="G199" s="106"/>
      <c r="H199" s="106"/>
      <c r="I199" s="103">
        <f t="shared" si="6"/>
        <v>615.34773000000007</v>
      </c>
      <c r="J199" s="103">
        <f t="shared" si="7"/>
        <v>599.07227</v>
      </c>
      <c r="K199" s="103">
        <v>615.34773000000007</v>
      </c>
      <c r="L199" s="103">
        <v>599.07227</v>
      </c>
    </row>
    <row r="200" spans="1:12" x14ac:dyDescent="0.25">
      <c r="A200" s="100">
        <v>196</v>
      </c>
      <c r="B200" s="107" t="s">
        <v>1416</v>
      </c>
      <c r="C200" s="108">
        <v>3342556</v>
      </c>
      <c r="D200" s="107" t="s">
        <v>1540</v>
      </c>
      <c r="E200" s="106">
        <v>601.83000000000004</v>
      </c>
      <c r="F200" s="102">
        <v>16.275460000000002</v>
      </c>
      <c r="G200" s="106"/>
      <c r="H200" s="106"/>
      <c r="I200" s="103">
        <f t="shared" si="6"/>
        <v>609.96773000000007</v>
      </c>
      <c r="J200" s="103">
        <f t="shared" si="7"/>
        <v>593.69227000000001</v>
      </c>
      <c r="K200" s="103">
        <v>609.96773000000007</v>
      </c>
      <c r="L200" s="103">
        <v>593.69227000000001</v>
      </c>
    </row>
    <row r="201" spans="1:12" x14ac:dyDescent="0.25">
      <c r="A201" s="104">
        <v>197</v>
      </c>
      <c r="B201" s="107" t="s">
        <v>1394</v>
      </c>
      <c r="C201" s="108">
        <v>3622203</v>
      </c>
      <c r="D201" s="107" t="s">
        <v>1184</v>
      </c>
      <c r="E201" s="106">
        <v>606.70000000000005</v>
      </c>
      <c r="F201" s="102">
        <v>16.275460000000002</v>
      </c>
      <c r="G201" s="106"/>
      <c r="H201" s="106"/>
      <c r="I201" s="103">
        <f t="shared" si="6"/>
        <v>614.83773000000008</v>
      </c>
      <c r="J201" s="103">
        <f t="shared" si="7"/>
        <v>598.56227000000001</v>
      </c>
      <c r="K201" s="103">
        <v>614.83773000000008</v>
      </c>
      <c r="L201" s="103">
        <v>598.56227000000001</v>
      </c>
    </row>
    <row r="202" spans="1:12" x14ac:dyDescent="0.25">
      <c r="A202" s="100">
        <v>198</v>
      </c>
      <c r="B202" s="107" t="s">
        <v>1318</v>
      </c>
      <c r="C202" s="108">
        <v>3812072</v>
      </c>
      <c r="D202" s="107" t="s">
        <v>1250</v>
      </c>
      <c r="E202" s="106">
        <v>601.74</v>
      </c>
      <c r="F202" s="102">
        <v>16.275460000000002</v>
      </c>
      <c r="G202" s="106"/>
      <c r="H202" s="106"/>
      <c r="I202" s="103">
        <f t="shared" si="6"/>
        <v>609.87773000000004</v>
      </c>
      <c r="J202" s="103">
        <f t="shared" si="7"/>
        <v>593.60226999999998</v>
      </c>
      <c r="K202" s="103">
        <v>609.87773000000004</v>
      </c>
      <c r="L202" s="103">
        <v>593.60226999999998</v>
      </c>
    </row>
    <row r="203" spans="1:12" x14ac:dyDescent="0.25">
      <c r="A203" s="104">
        <v>199</v>
      </c>
      <c r="B203" s="107" t="s">
        <v>1353</v>
      </c>
      <c r="C203" s="108">
        <v>3722131</v>
      </c>
      <c r="D203" s="107" t="s">
        <v>1541</v>
      </c>
      <c r="E203" s="106">
        <v>598.25</v>
      </c>
      <c r="F203" s="102">
        <v>16.275460000000002</v>
      </c>
      <c r="G203" s="106"/>
      <c r="H203" s="106"/>
      <c r="I203" s="103">
        <f t="shared" si="6"/>
        <v>606.38773000000003</v>
      </c>
      <c r="J203" s="103">
        <f t="shared" si="7"/>
        <v>590.11226999999997</v>
      </c>
      <c r="K203" s="103">
        <v>606.38773000000003</v>
      </c>
      <c r="L203" s="103">
        <v>590.11226999999997</v>
      </c>
    </row>
    <row r="204" spans="1:12" x14ac:dyDescent="0.25">
      <c r="A204" s="100">
        <v>200</v>
      </c>
      <c r="B204" s="107" t="s">
        <v>1432</v>
      </c>
      <c r="C204" s="108">
        <v>3242017</v>
      </c>
      <c r="D204" s="107" t="s">
        <v>1150</v>
      </c>
      <c r="E204" s="106">
        <v>605.41</v>
      </c>
      <c r="F204" s="102">
        <v>16.275460000000002</v>
      </c>
      <c r="G204" s="106"/>
      <c r="H204" s="106"/>
      <c r="I204" s="103">
        <f t="shared" si="6"/>
        <v>613.54773</v>
      </c>
      <c r="J204" s="103">
        <f t="shared" si="7"/>
        <v>597.27226999999993</v>
      </c>
      <c r="K204" s="103">
        <v>613.54773</v>
      </c>
      <c r="L204" s="103">
        <v>597.27226999999993</v>
      </c>
    </row>
    <row r="205" spans="1:12" x14ac:dyDescent="0.25">
      <c r="A205" s="104">
        <v>201</v>
      </c>
      <c r="B205" s="107" t="s">
        <v>1351</v>
      </c>
      <c r="C205" s="108">
        <v>3712024</v>
      </c>
      <c r="D205" s="107" t="s">
        <v>1154</v>
      </c>
      <c r="E205" s="106">
        <v>608.33000000000004</v>
      </c>
      <c r="F205" s="102">
        <v>16.275460000000002</v>
      </c>
      <c r="G205" s="106"/>
      <c r="H205" s="106"/>
      <c r="I205" s="103">
        <f t="shared" si="6"/>
        <v>616.46773000000007</v>
      </c>
      <c r="J205" s="103">
        <f t="shared" si="7"/>
        <v>600.19227000000001</v>
      </c>
      <c r="K205" s="103">
        <v>616.46773000000007</v>
      </c>
      <c r="L205" s="103">
        <v>600.19227000000001</v>
      </c>
    </row>
    <row r="206" spans="1:12" x14ac:dyDescent="0.25">
      <c r="A206" s="100">
        <v>202</v>
      </c>
      <c r="B206" s="107" t="s">
        <v>1361</v>
      </c>
      <c r="C206" s="108">
        <v>3532266</v>
      </c>
      <c r="D206" s="107" t="s">
        <v>1226</v>
      </c>
      <c r="E206" s="106">
        <v>602.29999999999995</v>
      </c>
      <c r="F206" s="102">
        <v>16.275460000000002</v>
      </c>
      <c r="G206" s="106"/>
      <c r="H206" s="106"/>
      <c r="I206" s="103">
        <f t="shared" si="6"/>
        <v>610.43772999999999</v>
      </c>
      <c r="J206" s="103">
        <f t="shared" si="7"/>
        <v>594.16226999999992</v>
      </c>
      <c r="K206" s="103">
        <v>610.43772999999999</v>
      </c>
      <c r="L206" s="103">
        <v>594.16226999999992</v>
      </c>
    </row>
    <row r="207" spans="1:12" x14ac:dyDescent="0.25">
      <c r="A207" s="104">
        <v>203</v>
      </c>
      <c r="B207" s="107" t="s">
        <v>1354</v>
      </c>
      <c r="C207" s="108">
        <v>3512084</v>
      </c>
      <c r="D207" s="107" t="s">
        <v>1171</v>
      </c>
      <c r="E207" s="106">
        <v>601.83000000000004</v>
      </c>
      <c r="F207" s="102">
        <v>16.275460000000002</v>
      </c>
      <c r="G207" s="106"/>
      <c r="H207" s="106"/>
      <c r="I207" s="103">
        <f t="shared" si="6"/>
        <v>609.96773000000007</v>
      </c>
      <c r="J207" s="103">
        <f t="shared" si="7"/>
        <v>593.69227000000001</v>
      </c>
      <c r="K207" s="103">
        <v>609.96773000000007</v>
      </c>
      <c r="L207" s="103">
        <v>593.69227000000001</v>
      </c>
    </row>
    <row r="208" spans="1:12" x14ac:dyDescent="0.25">
      <c r="A208" s="100">
        <v>204</v>
      </c>
      <c r="B208" s="107" t="s">
        <v>1361</v>
      </c>
      <c r="C208" s="108">
        <v>3532347</v>
      </c>
      <c r="D208" s="107" t="s">
        <v>1214</v>
      </c>
      <c r="E208" s="106">
        <v>598.55999999999995</v>
      </c>
      <c r="F208" s="102">
        <v>16.275460000000002</v>
      </c>
      <c r="G208" s="106"/>
      <c r="H208" s="106"/>
      <c r="I208" s="103">
        <f t="shared" si="6"/>
        <v>606.69772999999998</v>
      </c>
      <c r="J208" s="103">
        <f t="shared" si="7"/>
        <v>590.42226999999991</v>
      </c>
      <c r="K208" s="103">
        <v>606.69772999999998</v>
      </c>
      <c r="L208" s="103">
        <v>590.42226999999991</v>
      </c>
    </row>
    <row r="209" spans="1:12" x14ac:dyDescent="0.25">
      <c r="A209" s="104">
        <v>205</v>
      </c>
      <c r="B209" s="107" t="s">
        <v>1432</v>
      </c>
      <c r="C209" s="108">
        <v>3242033</v>
      </c>
      <c r="D209" s="107" t="s">
        <v>1154</v>
      </c>
      <c r="E209" s="106">
        <v>608.46</v>
      </c>
      <c r="F209" s="102">
        <v>16.275460000000002</v>
      </c>
      <c r="G209" s="106"/>
      <c r="H209" s="106"/>
      <c r="I209" s="103">
        <f t="shared" si="6"/>
        <v>616.59773000000007</v>
      </c>
      <c r="J209" s="103">
        <f t="shared" si="7"/>
        <v>600.32227</v>
      </c>
      <c r="K209" s="103">
        <v>616.59773000000007</v>
      </c>
      <c r="L209" s="103">
        <v>600.32227</v>
      </c>
    </row>
    <row r="210" spans="1:12" x14ac:dyDescent="0.25">
      <c r="A210" s="100">
        <v>206</v>
      </c>
      <c r="B210" s="107" t="s">
        <v>1318</v>
      </c>
      <c r="C210" s="108">
        <v>3812161</v>
      </c>
      <c r="D210" s="107" t="s">
        <v>1246</v>
      </c>
      <c r="E210" s="106">
        <v>605.55999999999995</v>
      </c>
      <c r="F210" s="102">
        <v>16.275460000000002</v>
      </c>
      <c r="G210" s="106"/>
      <c r="H210" s="106"/>
      <c r="I210" s="103">
        <f t="shared" si="6"/>
        <v>613.69772999999998</v>
      </c>
      <c r="J210" s="103">
        <f t="shared" si="7"/>
        <v>597.42226999999991</v>
      </c>
      <c r="K210" s="103">
        <v>613.69772999999998</v>
      </c>
      <c r="L210" s="103">
        <v>597.42226999999991</v>
      </c>
    </row>
    <row r="211" spans="1:12" x14ac:dyDescent="0.25">
      <c r="A211" s="104">
        <v>207</v>
      </c>
      <c r="B211" s="107" t="s">
        <v>1432</v>
      </c>
      <c r="C211" s="108">
        <v>3242064</v>
      </c>
      <c r="D211" s="107" t="s">
        <v>1155</v>
      </c>
      <c r="E211" s="106">
        <v>606.5</v>
      </c>
      <c r="F211" s="102">
        <v>16.275460000000002</v>
      </c>
      <c r="G211" s="106"/>
      <c r="H211" s="106"/>
      <c r="I211" s="103">
        <f t="shared" si="6"/>
        <v>614.63773000000003</v>
      </c>
      <c r="J211" s="103">
        <f t="shared" si="7"/>
        <v>598.36226999999997</v>
      </c>
      <c r="K211" s="103">
        <v>614.63773000000003</v>
      </c>
      <c r="L211" s="103">
        <v>598.36226999999997</v>
      </c>
    </row>
    <row r="212" spans="1:12" x14ac:dyDescent="0.25">
      <c r="A212" s="100">
        <v>208</v>
      </c>
      <c r="B212" s="107" t="s">
        <v>1361</v>
      </c>
      <c r="C212" s="108">
        <v>3532363</v>
      </c>
      <c r="D212" s="107" t="s">
        <v>1186</v>
      </c>
      <c r="E212" s="106">
        <v>602.36</v>
      </c>
      <c r="F212" s="102">
        <v>16.275460000000002</v>
      </c>
      <c r="G212" s="106"/>
      <c r="H212" s="106"/>
      <c r="I212" s="103">
        <f t="shared" si="6"/>
        <v>610.49773000000005</v>
      </c>
      <c r="J212" s="103">
        <f t="shared" si="7"/>
        <v>594.22226999999998</v>
      </c>
      <c r="K212" s="103">
        <v>610.49773000000005</v>
      </c>
      <c r="L212" s="103">
        <v>594.22226999999998</v>
      </c>
    </row>
    <row r="213" spans="1:12" x14ac:dyDescent="0.25">
      <c r="A213" s="104">
        <v>209</v>
      </c>
      <c r="B213" s="107" t="s">
        <v>1361</v>
      </c>
      <c r="C213" s="108">
        <v>3532081</v>
      </c>
      <c r="D213" s="107" t="s">
        <v>1252</v>
      </c>
      <c r="E213" s="106">
        <v>602.02</v>
      </c>
      <c r="F213" s="102">
        <v>16.275460000000002</v>
      </c>
      <c r="G213" s="106"/>
      <c r="H213" s="106"/>
      <c r="I213" s="103">
        <f t="shared" si="6"/>
        <v>610.15773000000002</v>
      </c>
      <c r="J213" s="103">
        <f t="shared" si="7"/>
        <v>593.88226999999995</v>
      </c>
      <c r="K213" s="103">
        <v>610.15773000000002</v>
      </c>
      <c r="L213" s="103">
        <v>593.88226999999995</v>
      </c>
    </row>
    <row r="214" spans="1:12" x14ac:dyDescent="0.25">
      <c r="A214" s="100">
        <v>210</v>
      </c>
      <c r="B214" s="107" t="s">
        <v>1394</v>
      </c>
      <c r="C214" s="108">
        <v>3622025</v>
      </c>
      <c r="D214" s="107" t="s">
        <v>1175</v>
      </c>
      <c r="E214" s="106">
        <v>603.22</v>
      </c>
      <c r="F214" s="102">
        <v>16.275460000000002</v>
      </c>
      <c r="G214" s="106"/>
      <c r="H214" s="106"/>
      <c r="I214" s="103">
        <f t="shared" si="6"/>
        <v>611.35773000000006</v>
      </c>
      <c r="J214" s="103">
        <f t="shared" si="7"/>
        <v>595.08226999999999</v>
      </c>
      <c r="K214" s="103">
        <v>611.35773000000006</v>
      </c>
      <c r="L214" s="103">
        <v>595.08226999999999</v>
      </c>
    </row>
    <row r="215" spans="1:12" x14ac:dyDescent="0.25">
      <c r="A215" s="104">
        <v>211</v>
      </c>
      <c r="B215" s="107" t="s">
        <v>1396</v>
      </c>
      <c r="C215" s="108">
        <v>3232015</v>
      </c>
      <c r="D215" s="107" t="s">
        <v>1204</v>
      </c>
      <c r="E215" s="106">
        <v>599.52</v>
      </c>
      <c r="F215" s="102">
        <v>16.275460000000002</v>
      </c>
      <c r="G215" s="106"/>
      <c r="H215" s="106"/>
      <c r="I215" s="103">
        <f t="shared" si="6"/>
        <v>607.65773000000002</v>
      </c>
      <c r="J215" s="103">
        <f t="shared" si="7"/>
        <v>591.38226999999995</v>
      </c>
      <c r="K215" s="103">
        <v>607.65773000000002</v>
      </c>
      <c r="L215" s="103">
        <v>591.38226999999995</v>
      </c>
    </row>
    <row r="216" spans="1:12" x14ac:dyDescent="0.25">
      <c r="A216" s="100">
        <v>212</v>
      </c>
      <c r="B216" s="107" t="s">
        <v>1353</v>
      </c>
      <c r="C216" s="108">
        <v>3722073</v>
      </c>
      <c r="D216" s="107" t="s">
        <v>1173</v>
      </c>
      <c r="E216" s="106">
        <v>598.58000000000004</v>
      </c>
      <c r="F216" s="102">
        <v>16.275460000000002</v>
      </c>
      <c r="G216" s="106"/>
      <c r="H216" s="106"/>
      <c r="I216" s="103">
        <f t="shared" si="6"/>
        <v>606.71773000000007</v>
      </c>
      <c r="J216" s="103">
        <f t="shared" si="7"/>
        <v>590.44227000000001</v>
      </c>
      <c r="K216" s="103">
        <v>606.71773000000007</v>
      </c>
      <c r="L216" s="103">
        <v>590.44227000000001</v>
      </c>
    </row>
    <row r="217" spans="1:12" x14ac:dyDescent="0.25">
      <c r="A217" s="104">
        <v>213</v>
      </c>
      <c r="B217" s="107" t="s">
        <v>1394</v>
      </c>
      <c r="C217" s="108">
        <v>3622211</v>
      </c>
      <c r="D217" s="107" t="s">
        <v>1542</v>
      </c>
      <c r="E217" s="106">
        <v>595.94000000000005</v>
      </c>
      <c r="F217" s="102">
        <v>16.275460000000002</v>
      </c>
      <c r="G217" s="106"/>
      <c r="H217" s="106"/>
      <c r="I217" s="103">
        <f t="shared" si="6"/>
        <v>604.07773000000009</v>
      </c>
      <c r="J217" s="103">
        <f t="shared" si="7"/>
        <v>587.80227000000002</v>
      </c>
      <c r="K217" s="103">
        <v>604.07773000000009</v>
      </c>
      <c r="L217" s="103">
        <v>587.80227000000002</v>
      </c>
    </row>
    <row r="218" spans="1:12" x14ac:dyDescent="0.25">
      <c r="A218" s="100">
        <v>214</v>
      </c>
      <c r="B218" s="107" t="s">
        <v>1394</v>
      </c>
      <c r="C218" s="108">
        <v>3622087</v>
      </c>
      <c r="D218" s="107" t="s">
        <v>1206</v>
      </c>
      <c r="E218" s="106">
        <v>601.78</v>
      </c>
      <c r="F218" s="102">
        <v>16.275460000000002</v>
      </c>
      <c r="G218" s="106"/>
      <c r="H218" s="106"/>
      <c r="I218" s="103">
        <f t="shared" si="6"/>
        <v>609.91773000000001</v>
      </c>
      <c r="J218" s="103">
        <f t="shared" si="7"/>
        <v>593.64226999999994</v>
      </c>
      <c r="K218" s="103">
        <v>609.91773000000001</v>
      </c>
      <c r="L218" s="103">
        <v>593.64226999999994</v>
      </c>
    </row>
    <row r="219" spans="1:12" x14ac:dyDescent="0.25">
      <c r="A219" s="104">
        <v>215</v>
      </c>
      <c r="B219" s="107" t="s">
        <v>1359</v>
      </c>
      <c r="C219" s="108">
        <v>3552143</v>
      </c>
      <c r="D219" s="107" t="s">
        <v>1543</v>
      </c>
      <c r="E219" s="106">
        <v>596.95000000000005</v>
      </c>
      <c r="F219" s="102">
        <v>16.275460000000002</v>
      </c>
      <c r="G219" s="106"/>
      <c r="H219" s="106"/>
      <c r="I219" s="103">
        <f t="shared" si="6"/>
        <v>605.08773000000008</v>
      </c>
      <c r="J219" s="103">
        <f t="shared" si="7"/>
        <v>588.81227000000001</v>
      </c>
      <c r="K219" s="103">
        <v>605.08773000000008</v>
      </c>
      <c r="L219" s="103">
        <v>588.81227000000001</v>
      </c>
    </row>
    <row r="220" spans="1:12" x14ac:dyDescent="0.25">
      <c r="A220" s="100">
        <v>216</v>
      </c>
      <c r="B220" s="107" t="s">
        <v>1394</v>
      </c>
      <c r="C220" s="108">
        <v>3622145</v>
      </c>
      <c r="D220" s="107" t="s">
        <v>1192</v>
      </c>
      <c r="E220" s="106">
        <v>605.70000000000005</v>
      </c>
      <c r="F220" s="102">
        <v>16.275460000000002</v>
      </c>
      <c r="G220" s="106"/>
      <c r="H220" s="106"/>
      <c r="I220" s="103">
        <f t="shared" si="6"/>
        <v>613.83773000000008</v>
      </c>
      <c r="J220" s="103">
        <f t="shared" si="7"/>
        <v>597.56227000000001</v>
      </c>
      <c r="K220" s="103">
        <v>613.83773000000008</v>
      </c>
      <c r="L220" s="103">
        <v>597.56227000000001</v>
      </c>
    </row>
    <row r="221" spans="1:12" x14ac:dyDescent="0.25">
      <c r="A221" s="104">
        <v>217</v>
      </c>
      <c r="B221" s="107" t="s">
        <v>1394</v>
      </c>
      <c r="C221" s="108">
        <v>3622122</v>
      </c>
      <c r="D221" s="107" t="s">
        <v>1544</v>
      </c>
      <c r="E221" s="106">
        <v>599.79999999999995</v>
      </c>
      <c r="F221" s="102">
        <v>16.275460000000002</v>
      </c>
      <c r="G221" s="106"/>
      <c r="H221" s="106"/>
      <c r="I221" s="103">
        <f t="shared" si="6"/>
        <v>607.93772999999999</v>
      </c>
      <c r="J221" s="103">
        <f t="shared" si="7"/>
        <v>591.66226999999992</v>
      </c>
      <c r="K221" s="103">
        <v>607.93772999999999</v>
      </c>
      <c r="L221" s="103">
        <v>591.66226999999992</v>
      </c>
    </row>
    <row r="222" spans="1:12" x14ac:dyDescent="0.25">
      <c r="A222" s="100">
        <v>218</v>
      </c>
      <c r="B222" s="107" t="s">
        <v>1444</v>
      </c>
      <c r="C222" s="108">
        <v>3732276</v>
      </c>
      <c r="D222" s="107" t="s">
        <v>1148</v>
      </c>
      <c r="E222" s="106">
        <v>605.26</v>
      </c>
      <c r="F222" s="102">
        <v>16.275460000000002</v>
      </c>
      <c r="G222" s="106"/>
      <c r="H222" s="106"/>
      <c r="I222" s="103">
        <f t="shared" si="6"/>
        <v>613.39773000000002</v>
      </c>
      <c r="J222" s="103">
        <f t="shared" si="7"/>
        <v>597.12226999999996</v>
      </c>
      <c r="K222" s="103">
        <v>613.39773000000002</v>
      </c>
      <c r="L222" s="103">
        <v>597.12226999999996</v>
      </c>
    </row>
    <row r="223" spans="1:12" x14ac:dyDescent="0.25">
      <c r="A223" s="104">
        <v>219</v>
      </c>
      <c r="B223" s="107" t="s">
        <v>1421</v>
      </c>
      <c r="C223" s="108">
        <v>3632074</v>
      </c>
      <c r="D223" s="107" t="s">
        <v>1232</v>
      </c>
      <c r="E223" s="106">
        <v>597.36</v>
      </c>
      <c r="F223" s="102">
        <v>16.275460000000002</v>
      </c>
      <c r="G223" s="106"/>
      <c r="H223" s="106"/>
      <c r="I223" s="103">
        <f t="shared" si="6"/>
        <v>605.49773000000005</v>
      </c>
      <c r="J223" s="103">
        <f t="shared" si="7"/>
        <v>589.22226999999998</v>
      </c>
      <c r="K223" s="103">
        <v>605.49773000000005</v>
      </c>
      <c r="L223" s="103">
        <v>589.22226999999998</v>
      </c>
    </row>
    <row r="224" spans="1:12" x14ac:dyDescent="0.25">
      <c r="A224" s="100">
        <v>220</v>
      </c>
      <c r="B224" s="107" t="s">
        <v>1394</v>
      </c>
      <c r="C224" s="108">
        <v>3622033</v>
      </c>
      <c r="D224" s="107" t="s">
        <v>1204</v>
      </c>
      <c r="E224" s="106">
        <v>599.53</v>
      </c>
      <c r="F224" s="102">
        <v>16.275460000000002</v>
      </c>
      <c r="G224" s="106"/>
      <c r="H224" s="106"/>
      <c r="I224" s="103">
        <f t="shared" si="6"/>
        <v>607.66773000000001</v>
      </c>
      <c r="J224" s="103">
        <f t="shared" si="7"/>
        <v>591.39226999999994</v>
      </c>
      <c r="K224" s="103">
        <v>607.66773000000001</v>
      </c>
      <c r="L224" s="103">
        <v>591.39226999999994</v>
      </c>
    </row>
    <row r="225" spans="1:12" x14ac:dyDescent="0.25">
      <c r="A225" s="104">
        <v>221</v>
      </c>
      <c r="B225" s="107" t="s">
        <v>1449</v>
      </c>
      <c r="C225" s="108">
        <v>3852073</v>
      </c>
      <c r="D225" s="107" t="s">
        <v>1157</v>
      </c>
      <c r="E225" s="106">
        <v>596.16999999999996</v>
      </c>
      <c r="F225" s="102">
        <v>16.275460000000002</v>
      </c>
      <c r="G225" s="106"/>
      <c r="H225" s="106"/>
      <c r="I225" s="103">
        <f t="shared" si="6"/>
        <v>604.30772999999999</v>
      </c>
      <c r="J225" s="103">
        <f t="shared" si="7"/>
        <v>588.03226999999993</v>
      </c>
      <c r="K225" s="103">
        <v>604.30772999999999</v>
      </c>
      <c r="L225" s="103">
        <v>588.03226999999993</v>
      </c>
    </row>
    <row r="226" spans="1:12" x14ac:dyDescent="0.25">
      <c r="A226" s="100">
        <v>222</v>
      </c>
      <c r="B226" s="107" t="s">
        <v>1444</v>
      </c>
      <c r="C226" s="108">
        <v>3732222</v>
      </c>
      <c r="D226" s="107" t="s">
        <v>1153</v>
      </c>
      <c r="E226" s="106">
        <v>599.80999999999995</v>
      </c>
      <c r="F226" s="102">
        <v>16.275460000000002</v>
      </c>
      <c r="G226" s="106"/>
      <c r="H226" s="106"/>
      <c r="I226" s="103">
        <f t="shared" si="6"/>
        <v>607.94772999999998</v>
      </c>
      <c r="J226" s="103">
        <f t="shared" si="7"/>
        <v>591.67226999999991</v>
      </c>
      <c r="K226" s="103">
        <v>607.94772999999998</v>
      </c>
      <c r="L226" s="103">
        <v>591.67226999999991</v>
      </c>
    </row>
    <row r="227" spans="1:12" x14ac:dyDescent="0.25">
      <c r="A227" s="104">
        <v>223</v>
      </c>
      <c r="B227" s="107" t="s">
        <v>1394</v>
      </c>
      <c r="C227" s="108">
        <v>3622184</v>
      </c>
      <c r="D227" s="107" t="s">
        <v>1252</v>
      </c>
      <c r="E227" s="106">
        <v>598.41999999999996</v>
      </c>
      <c r="F227" s="102">
        <v>16.275460000000002</v>
      </c>
      <c r="G227" s="106"/>
      <c r="H227" s="106"/>
      <c r="I227" s="103">
        <f t="shared" si="6"/>
        <v>606.55772999999999</v>
      </c>
      <c r="J227" s="103">
        <f t="shared" si="7"/>
        <v>590.28226999999993</v>
      </c>
      <c r="K227" s="103">
        <v>606.55772999999999</v>
      </c>
      <c r="L227" s="103">
        <v>590.28226999999993</v>
      </c>
    </row>
    <row r="228" spans="1:12" x14ac:dyDescent="0.25">
      <c r="A228" s="100">
        <v>224</v>
      </c>
      <c r="B228" s="107" t="s">
        <v>1361</v>
      </c>
      <c r="C228" s="108">
        <v>3532096</v>
      </c>
      <c r="D228" s="107" t="s">
        <v>1260</v>
      </c>
      <c r="E228" s="106">
        <v>595.64</v>
      </c>
      <c r="F228" s="102">
        <v>16.275460000000002</v>
      </c>
      <c r="G228" s="106"/>
      <c r="H228" s="106"/>
      <c r="I228" s="103">
        <f t="shared" si="6"/>
        <v>603.77773000000002</v>
      </c>
      <c r="J228" s="103">
        <f t="shared" si="7"/>
        <v>587.50226999999995</v>
      </c>
      <c r="K228" s="103">
        <v>603.77773000000002</v>
      </c>
      <c r="L228" s="103">
        <v>587.50226999999995</v>
      </c>
    </row>
    <row r="229" spans="1:12" x14ac:dyDescent="0.25">
      <c r="A229" s="104">
        <v>225</v>
      </c>
      <c r="B229" s="107" t="s">
        <v>1306</v>
      </c>
      <c r="C229" s="108">
        <v>1212042</v>
      </c>
      <c r="D229" s="107" t="s">
        <v>1148</v>
      </c>
      <c r="E229" s="106">
        <v>604.04</v>
      </c>
      <c r="F229" s="102">
        <v>16.275460000000002</v>
      </c>
      <c r="G229" s="106"/>
      <c r="H229" s="106"/>
      <c r="I229" s="103">
        <f t="shared" si="6"/>
        <v>612.17773</v>
      </c>
      <c r="J229" s="103">
        <f t="shared" si="7"/>
        <v>595.90226999999993</v>
      </c>
      <c r="K229" s="103">
        <v>612.17773</v>
      </c>
      <c r="L229" s="103">
        <v>595.90226999999993</v>
      </c>
    </row>
    <row r="230" spans="1:12" x14ac:dyDescent="0.25">
      <c r="A230" s="100">
        <v>226</v>
      </c>
      <c r="B230" s="107" t="s">
        <v>1333</v>
      </c>
      <c r="C230" s="108">
        <v>3222214</v>
      </c>
      <c r="D230" s="107" t="s">
        <v>1153</v>
      </c>
      <c r="E230" s="106">
        <v>605.22</v>
      </c>
      <c r="F230" s="102">
        <v>16.275460000000002</v>
      </c>
      <c r="G230" s="106"/>
      <c r="H230" s="106"/>
      <c r="I230" s="103">
        <f t="shared" si="6"/>
        <v>613.35773000000006</v>
      </c>
      <c r="J230" s="103">
        <f t="shared" si="7"/>
        <v>597.08226999999999</v>
      </c>
      <c r="K230" s="103">
        <v>613.35773000000006</v>
      </c>
      <c r="L230" s="103">
        <v>597.08226999999999</v>
      </c>
    </row>
    <row r="231" spans="1:12" x14ac:dyDescent="0.25">
      <c r="A231" s="104">
        <v>227</v>
      </c>
      <c r="B231" s="107" t="s">
        <v>1354</v>
      </c>
      <c r="C231" s="108">
        <v>3512022</v>
      </c>
      <c r="D231" s="107" t="s">
        <v>1173</v>
      </c>
      <c r="E231" s="106">
        <v>596.73</v>
      </c>
      <c r="F231" s="102">
        <v>16.275460000000002</v>
      </c>
      <c r="G231" s="106"/>
      <c r="H231" s="106"/>
      <c r="I231" s="103">
        <f t="shared" si="6"/>
        <v>604.86773000000005</v>
      </c>
      <c r="J231" s="103">
        <f t="shared" si="7"/>
        <v>588.59226999999998</v>
      </c>
      <c r="K231" s="103">
        <v>604.86773000000005</v>
      </c>
      <c r="L231" s="103">
        <v>588.59226999999998</v>
      </c>
    </row>
    <row r="232" spans="1:12" x14ac:dyDescent="0.25">
      <c r="A232" s="100">
        <v>228</v>
      </c>
      <c r="B232" s="107" t="s">
        <v>1383</v>
      </c>
      <c r="C232" s="108">
        <v>6112211</v>
      </c>
      <c r="D232" s="107" t="s">
        <v>1149</v>
      </c>
      <c r="E232" s="106">
        <v>598.24</v>
      </c>
      <c r="F232" s="102">
        <v>16.275460000000002</v>
      </c>
      <c r="G232" s="106"/>
      <c r="H232" s="106"/>
      <c r="I232" s="103">
        <f t="shared" si="6"/>
        <v>606.37773000000004</v>
      </c>
      <c r="J232" s="103">
        <f t="shared" si="7"/>
        <v>590.10226999999998</v>
      </c>
      <c r="K232" s="103">
        <v>606.37773000000004</v>
      </c>
      <c r="L232" s="103">
        <v>590.10226999999998</v>
      </c>
    </row>
    <row r="233" spans="1:12" x14ac:dyDescent="0.25">
      <c r="A233" s="104">
        <v>229</v>
      </c>
      <c r="B233" s="107" t="s">
        <v>1429</v>
      </c>
      <c r="C233" s="108">
        <v>3562234</v>
      </c>
      <c r="D233" s="107" t="s">
        <v>1178</v>
      </c>
      <c r="E233" s="106">
        <v>599.73</v>
      </c>
      <c r="F233" s="102">
        <v>16.275460000000002</v>
      </c>
      <c r="G233" s="106"/>
      <c r="H233" s="106"/>
      <c r="I233" s="103">
        <f t="shared" si="6"/>
        <v>607.86773000000005</v>
      </c>
      <c r="J233" s="103">
        <f t="shared" si="7"/>
        <v>591.59226999999998</v>
      </c>
      <c r="K233" s="103">
        <v>607.86773000000005</v>
      </c>
      <c r="L233" s="103">
        <v>591.59226999999998</v>
      </c>
    </row>
    <row r="234" spans="1:12" x14ac:dyDescent="0.25">
      <c r="A234" s="100">
        <v>230</v>
      </c>
      <c r="B234" s="107" t="s">
        <v>1341</v>
      </c>
      <c r="C234" s="108">
        <v>1912065</v>
      </c>
      <c r="D234" s="107" t="s">
        <v>1148</v>
      </c>
      <c r="E234" s="106">
        <v>605.71</v>
      </c>
      <c r="F234" s="102">
        <v>16.275460000000002</v>
      </c>
      <c r="G234" s="106"/>
      <c r="H234" s="106"/>
      <c r="I234" s="103">
        <f t="shared" si="6"/>
        <v>613.84773000000007</v>
      </c>
      <c r="J234" s="103">
        <f t="shared" si="7"/>
        <v>597.57227</v>
      </c>
      <c r="K234" s="103">
        <v>613.84773000000007</v>
      </c>
      <c r="L234" s="103">
        <v>597.57227</v>
      </c>
    </row>
    <row r="235" spans="1:12" x14ac:dyDescent="0.25">
      <c r="A235" s="104">
        <v>231</v>
      </c>
      <c r="B235" s="107" t="s">
        <v>1383</v>
      </c>
      <c r="C235" s="108">
        <v>6112161</v>
      </c>
      <c r="D235" s="107" t="s">
        <v>1154</v>
      </c>
      <c r="E235" s="106">
        <v>604.97</v>
      </c>
      <c r="F235" s="102">
        <v>16.275460000000002</v>
      </c>
      <c r="G235" s="106"/>
      <c r="H235" s="106"/>
      <c r="I235" s="103">
        <f t="shared" si="6"/>
        <v>613.10773000000006</v>
      </c>
      <c r="J235" s="103">
        <f t="shared" si="7"/>
        <v>596.83226999999999</v>
      </c>
      <c r="K235" s="103">
        <v>613.10773000000006</v>
      </c>
      <c r="L235" s="103">
        <v>596.83226999999999</v>
      </c>
    </row>
    <row r="236" spans="1:12" x14ac:dyDescent="0.25">
      <c r="A236" s="100">
        <v>232</v>
      </c>
      <c r="B236" s="107" t="s">
        <v>1333</v>
      </c>
      <c r="C236" s="108">
        <v>3222021</v>
      </c>
      <c r="D236" s="107" t="s">
        <v>1148</v>
      </c>
      <c r="E236" s="106">
        <v>604.89</v>
      </c>
      <c r="F236" s="102">
        <v>16.275460000000002</v>
      </c>
      <c r="G236" s="106"/>
      <c r="H236" s="106"/>
      <c r="I236" s="103">
        <f t="shared" si="6"/>
        <v>613.02773000000002</v>
      </c>
      <c r="J236" s="103">
        <f t="shared" si="7"/>
        <v>596.75226999999995</v>
      </c>
      <c r="K236" s="103">
        <v>613.02773000000002</v>
      </c>
      <c r="L236" s="103">
        <v>596.75226999999995</v>
      </c>
    </row>
    <row r="237" spans="1:12" x14ac:dyDescent="0.25">
      <c r="A237" s="104">
        <v>233</v>
      </c>
      <c r="B237" s="107" t="s">
        <v>1394</v>
      </c>
      <c r="C237" s="108">
        <v>3622354</v>
      </c>
      <c r="D237" s="107" t="s">
        <v>1223</v>
      </c>
      <c r="E237" s="106">
        <v>597.19000000000005</v>
      </c>
      <c r="F237" s="102">
        <v>16.275460000000002</v>
      </c>
      <c r="G237" s="106"/>
      <c r="H237" s="106"/>
      <c r="I237" s="103">
        <f t="shared" si="6"/>
        <v>605.32773000000009</v>
      </c>
      <c r="J237" s="103">
        <f t="shared" si="7"/>
        <v>589.05227000000002</v>
      </c>
      <c r="K237" s="103">
        <v>605.32773000000009</v>
      </c>
      <c r="L237" s="103">
        <v>589.05227000000002</v>
      </c>
    </row>
    <row r="238" spans="1:12" x14ac:dyDescent="0.25">
      <c r="A238" s="100">
        <v>234</v>
      </c>
      <c r="B238" s="107" t="s">
        <v>1429</v>
      </c>
      <c r="C238" s="108">
        <v>3562153</v>
      </c>
      <c r="D238" s="107" t="s">
        <v>1254</v>
      </c>
      <c r="E238" s="106">
        <v>595.27</v>
      </c>
      <c r="F238" s="102">
        <v>16.275460000000002</v>
      </c>
      <c r="G238" s="106"/>
      <c r="H238" s="106"/>
      <c r="I238" s="103">
        <f t="shared" si="6"/>
        <v>603.40773000000002</v>
      </c>
      <c r="J238" s="103">
        <f t="shared" si="7"/>
        <v>587.13226999999995</v>
      </c>
      <c r="K238" s="103">
        <v>603.40773000000002</v>
      </c>
      <c r="L238" s="103">
        <v>587.13226999999995</v>
      </c>
    </row>
    <row r="239" spans="1:12" x14ac:dyDescent="0.25">
      <c r="A239" s="104">
        <v>235</v>
      </c>
      <c r="B239" s="107" t="s">
        <v>1416</v>
      </c>
      <c r="C239" s="108">
        <v>3342185</v>
      </c>
      <c r="D239" s="107" t="s">
        <v>1181</v>
      </c>
      <c r="E239" s="106">
        <v>596.09</v>
      </c>
      <c r="F239" s="102">
        <v>16.275460000000002</v>
      </c>
      <c r="G239" s="106"/>
      <c r="H239" s="106"/>
      <c r="I239" s="103">
        <f t="shared" si="6"/>
        <v>604.22773000000007</v>
      </c>
      <c r="J239" s="103">
        <f t="shared" si="7"/>
        <v>587.95227</v>
      </c>
      <c r="K239" s="103">
        <v>604.22773000000007</v>
      </c>
      <c r="L239" s="103">
        <v>587.95227</v>
      </c>
    </row>
    <row r="240" spans="1:12" x14ac:dyDescent="0.25">
      <c r="A240" s="100">
        <v>236</v>
      </c>
      <c r="B240" s="107" t="s">
        <v>1311</v>
      </c>
      <c r="C240" s="108">
        <v>3332113</v>
      </c>
      <c r="D240" s="107" t="s">
        <v>1260</v>
      </c>
      <c r="E240" s="106">
        <v>600.48</v>
      </c>
      <c r="F240" s="102">
        <v>16.275460000000002</v>
      </c>
      <c r="G240" s="106"/>
      <c r="H240" s="106"/>
      <c r="I240" s="103">
        <f t="shared" si="6"/>
        <v>608.61773000000005</v>
      </c>
      <c r="J240" s="103">
        <f t="shared" si="7"/>
        <v>592.34226999999998</v>
      </c>
      <c r="K240" s="103">
        <v>608.61773000000005</v>
      </c>
      <c r="L240" s="103">
        <v>592.34226999999998</v>
      </c>
    </row>
    <row r="241" spans="1:12" x14ac:dyDescent="0.25">
      <c r="A241" s="104">
        <v>237</v>
      </c>
      <c r="B241" s="107" t="s">
        <v>1359</v>
      </c>
      <c r="C241" s="108">
        <v>3552031</v>
      </c>
      <c r="D241" s="107" t="s">
        <v>1511</v>
      </c>
      <c r="E241" s="106">
        <v>602.08000000000004</v>
      </c>
      <c r="F241" s="102">
        <v>16.275460000000002</v>
      </c>
      <c r="G241" s="106"/>
      <c r="H241" s="106"/>
      <c r="I241" s="103">
        <f t="shared" si="6"/>
        <v>610.21773000000007</v>
      </c>
      <c r="J241" s="103">
        <f t="shared" si="7"/>
        <v>593.94227000000001</v>
      </c>
      <c r="K241" s="103">
        <v>610.21773000000007</v>
      </c>
      <c r="L241" s="103">
        <v>593.94227000000001</v>
      </c>
    </row>
    <row r="242" spans="1:12" x14ac:dyDescent="0.25">
      <c r="A242" s="100">
        <v>238</v>
      </c>
      <c r="B242" s="107" t="s">
        <v>1396</v>
      </c>
      <c r="C242" s="108">
        <v>3232294</v>
      </c>
      <c r="D242" s="107" t="s">
        <v>1186</v>
      </c>
      <c r="E242" s="106">
        <v>595.52</v>
      </c>
      <c r="F242" s="102">
        <v>16.275460000000002</v>
      </c>
      <c r="G242" s="106"/>
      <c r="H242" s="106"/>
      <c r="I242" s="103">
        <f t="shared" si="6"/>
        <v>603.65773000000002</v>
      </c>
      <c r="J242" s="103">
        <f t="shared" si="7"/>
        <v>587.38226999999995</v>
      </c>
      <c r="K242" s="103">
        <v>603.65773000000002</v>
      </c>
      <c r="L242" s="103">
        <v>587.38226999999995</v>
      </c>
    </row>
    <row r="243" spans="1:12" x14ac:dyDescent="0.25">
      <c r="A243" s="104">
        <v>239</v>
      </c>
      <c r="B243" s="107" t="s">
        <v>1359</v>
      </c>
      <c r="C243" s="108">
        <v>3552046</v>
      </c>
      <c r="D243" s="107" t="s">
        <v>1169</v>
      </c>
      <c r="E243" s="106">
        <v>599.34</v>
      </c>
      <c r="F243" s="102">
        <v>16.275460000000002</v>
      </c>
      <c r="G243" s="106"/>
      <c r="H243" s="106"/>
      <c r="I243" s="103">
        <f t="shared" si="6"/>
        <v>607.47773000000007</v>
      </c>
      <c r="J243" s="103">
        <f t="shared" si="7"/>
        <v>591.20227</v>
      </c>
      <c r="K243" s="103">
        <v>607.47773000000007</v>
      </c>
      <c r="L243" s="103">
        <v>591.20227</v>
      </c>
    </row>
    <row r="244" spans="1:12" x14ac:dyDescent="0.25">
      <c r="A244" s="100">
        <v>240</v>
      </c>
      <c r="B244" s="107" t="s">
        <v>1416</v>
      </c>
      <c r="C244" s="108">
        <v>3342525</v>
      </c>
      <c r="D244" s="107" t="s">
        <v>1217</v>
      </c>
      <c r="E244" s="106">
        <v>593.79999999999995</v>
      </c>
      <c r="F244" s="102">
        <v>16.275460000000002</v>
      </c>
      <c r="G244" s="106"/>
      <c r="H244" s="106"/>
      <c r="I244" s="103">
        <f t="shared" si="6"/>
        <v>601.93772999999999</v>
      </c>
      <c r="J244" s="103">
        <f t="shared" si="7"/>
        <v>585.66226999999992</v>
      </c>
      <c r="K244" s="103">
        <v>601.93772999999999</v>
      </c>
      <c r="L244" s="103">
        <v>585.66226999999992</v>
      </c>
    </row>
    <row r="245" spans="1:12" x14ac:dyDescent="0.25">
      <c r="A245" s="104">
        <v>241</v>
      </c>
      <c r="B245" s="107" t="s">
        <v>1361</v>
      </c>
      <c r="C245" s="108">
        <v>3532274</v>
      </c>
      <c r="D245" s="107" t="s">
        <v>1545</v>
      </c>
      <c r="E245" s="106">
        <v>596.95000000000005</v>
      </c>
      <c r="F245" s="102">
        <v>16.275460000000002</v>
      </c>
      <c r="G245" s="106"/>
      <c r="H245" s="106"/>
      <c r="I245" s="103">
        <f t="shared" si="6"/>
        <v>605.08773000000008</v>
      </c>
      <c r="J245" s="103">
        <f t="shared" si="7"/>
        <v>588.81227000000001</v>
      </c>
      <c r="K245" s="103">
        <v>605.08773000000008</v>
      </c>
      <c r="L245" s="103">
        <v>588.81227000000001</v>
      </c>
    </row>
    <row r="246" spans="1:12" x14ac:dyDescent="0.25">
      <c r="A246" s="100">
        <v>242</v>
      </c>
      <c r="B246" s="107" t="s">
        <v>1394</v>
      </c>
      <c r="C246" s="108">
        <v>3622234</v>
      </c>
      <c r="D246" s="107" t="s">
        <v>1230</v>
      </c>
      <c r="E246" s="106">
        <v>597.67999999999995</v>
      </c>
      <c r="F246" s="102">
        <v>16.275460000000002</v>
      </c>
      <c r="G246" s="106"/>
      <c r="H246" s="106"/>
      <c r="I246" s="103">
        <f t="shared" si="6"/>
        <v>605.81772999999998</v>
      </c>
      <c r="J246" s="103">
        <f t="shared" si="7"/>
        <v>589.54226999999992</v>
      </c>
      <c r="K246" s="103">
        <v>605.81772999999998</v>
      </c>
      <c r="L246" s="103">
        <v>589.54226999999992</v>
      </c>
    </row>
    <row r="247" spans="1:12" x14ac:dyDescent="0.25">
      <c r="A247" s="104">
        <v>243</v>
      </c>
      <c r="B247" s="107" t="s">
        <v>1432</v>
      </c>
      <c r="C247" s="108">
        <v>3242072</v>
      </c>
      <c r="D247" s="107" t="s">
        <v>1195</v>
      </c>
      <c r="E247" s="106">
        <v>596.76</v>
      </c>
      <c r="F247" s="102">
        <v>16.275460000000002</v>
      </c>
      <c r="G247" s="106"/>
      <c r="H247" s="106"/>
      <c r="I247" s="103">
        <f t="shared" si="6"/>
        <v>604.89773000000002</v>
      </c>
      <c r="J247" s="103">
        <f t="shared" si="7"/>
        <v>588.62226999999996</v>
      </c>
      <c r="K247" s="103">
        <v>604.89773000000002</v>
      </c>
      <c r="L247" s="103">
        <v>588.62226999999996</v>
      </c>
    </row>
    <row r="248" spans="1:12" x14ac:dyDescent="0.25">
      <c r="A248" s="100">
        <v>244</v>
      </c>
      <c r="B248" s="107" t="s">
        <v>1546</v>
      </c>
      <c r="C248" s="108">
        <v>3542075</v>
      </c>
      <c r="D248" s="107" t="s">
        <v>1227</v>
      </c>
      <c r="E248" s="106">
        <v>595.20000000000005</v>
      </c>
      <c r="F248" s="102">
        <v>16.275460000000002</v>
      </c>
      <c r="G248" s="106"/>
      <c r="H248" s="106"/>
      <c r="I248" s="103">
        <f t="shared" si="6"/>
        <v>603.33773000000008</v>
      </c>
      <c r="J248" s="103">
        <f t="shared" si="7"/>
        <v>587.06227000000001</v>
      </c>
      <c r="K248" s="103">
        <v>603.33773000000008</v>
      </c>
      <c r="L248" s="103">
        <v>587.06227000000001</v>
      </c>
    </row>
    <row r="249" spans="1:12" x14ac:dyDescent="0.25">
      <c r="A249" s="104">
        <v>245</v>
      </c>
      <c r="B249" s="107" t="s">
        <v>1354</v>
      </c>
      <c r="C249" s="108">
        <v>3512157</v>
      </c>
      <c r="D249" s="107" t="s">
        <v>1178</v>
      </c>
      <c r="E249" s="106">
        <v>592.02</v>
      </c>
      <c r="F249" s="102">
        <v>16.275460000000002</v>
      </c>
      <c r="G249" s="106"/>
      <c r="H249" s="106"/>
      <c r="I249" s="103">
        <f t="shared" si="6"/>
        <v>600.15773000000002</v>
      </c>
      <c r="J249" s="103">
        <f t="shared" si="7"/>
        <v>583.88226999999995</v>
      </c>
      <c r="K249" s="103">
        <v>600.15773000000002</v>
      </c>
      <c r="L249" s="103">
        <v>583.88226999999995</v>
      </c>
    </row>
    <row r="250" spans="1:12" x14ac:dyDescent="0.25">
      <c r="A250" s="100">
        <v>246</v>
      </c>
      <c r="B250" s="107" t="s">
        <v>1353</v>
      </c>
      <c r="C250" s="108">
        <v>3722355</v>
      </c>
      <c r="D250" s="107" t="s">
        <v>1250</v>
      </c>
      <c r="E250" s="106">
        <v>596.24</v>
      </c>
      <c r="F250" s="102">
        <v>16.275460000000002</v>
      </c>
      <c r="G250" s="106"/>
      <c r="H250" s="106"/>
      <c r="I250" s="103">
        <f t="shared" si="6"/>
        <v>604.37773000000004</v>
      </c>
      <c r="J250" s="103">
        <f t="shared" si="7"/>
        <v>588.10226999999998</v>
      </c>
      <c r="K250" s="103">
        <v>604.37773000000004</v>
      </c>
      <c r="L250" s="103">
        <v>588.10226999999998</v>
      </c>
    </row>
    <row r="251" spans="1:12" x14ac:dyDescent="0.25">
      <c r="A251" s="104">
        <v>247</v>
      </c>
      <c r="B251" s="107" t="s">
        <v>1427</v>
      </c>
      <c r="C251" s="108">
        <v>3652225</v>
      </c>
      <c r="D251" s="107" t="s">
        <v>1149</v>
      </c>
      <c r="E251" s="106">
        <v>593.54</v>
      </c>
      <c r="F251" s="102">
        <v>16.275460000000002</v>
      </c>
      <c r="G251" s="106"/>
      <c r="H251" s="106"/>
      <c r="I251" s="103">
        <f t="shared" si="6"/>
        <v>601.67773</v>
      </c>
      <c r="J251" s="103">
        <f t="shared" si="7"/>
        <v>585.40226999999993</v>
      </c>
      <c r="K251" s="103">
        <v>601.67773</v>
      </c>
      <c r="L251" s="103">
        <v>585.40226999999993</v>
      </c>
    </row>
    <row r="252" spans="1:12" x14ac:dyDescent="0.25">
      <c r="A252" s="100">
        <v>248</v>
      </c>
      <c r="B252" s="107" t="s">
        <v>1353</v>
      </c>
      <c r="C252" s="108">
        <v>3722251</v>
      </c>
      <c r="D252" s="107" t="s">
        <v>1509</v>
      </c>
      <c r="E252" s="106">
        <v>598.33000000000004</v>
      </c>
      <c r="F252" s="102">
        <v>16.275460000000002</v>
      </c>
      <c r="G252" s="106"/>
      <c r="H252" s="106"/>
      <c r="I252" s="103">
        <f t="shared" si="6"/>
        <v>606.46773000000007</v>
      </c>
      <c r="J252" s="103">
        <f t="shared" si="7"/>
        <v>590.19227000000001</v>
      </c>
      <c r="K252" s="103">
        <v>606.46773000000007</v>
      </c>
      <c r="L252" s="103">
        <v>590.19227000000001</v>
      </c>
    </row>
    <row r="253" spans="1:12" x14ac:dyDescent="0.25">
      <c r="A253" s="104">
        <v>249</v>
      </c>
      <c r="B253" s="107" t="s">
        <v>1394</v>
      </c>
      <c r="C253" s="108">
        <v>3622072</v>
      </c>
      <c r="D253" s="107" t="s">
        <v>1547</v>
      </c>
      <c r="E253" s="106">
        <v>590.57000000000005</v>
      </c>
      <c r="F253" s="102">
        <v>16.275460000000002</v>
      </c>
      <c r="G253" s="106"/>
      <c r="H253" s="106"/>
      <c r="I253" s="103">
        <f t="shared" si="6"/>
        <v>598.70773000000008</v>
      </c>
      <c r="J253" s="103">
        <f t="shared" si="7"/>
        <v>582.43227000000002</v>
      </c>
      <c r="K253" s="103">
        <v>598.70773000000008</v>
      </c>
      <c r="L253" s="103">
        <v>582.43227000000002</v>
      </c>
    </row>
    <row r="254" spans="1:12" x14ac:dyDescent="0.25">
      <c r="A254" s="100">
        <v>250</v>
      </c>
      <c r="B254" s="107" t="s">
        <v>1353</v>
      </c>
      <c r="C254" s="108">
        <v>3722347</v>
      </c>
      <c r="D254" s="107" t="s">
        <v>1249</v>
      </c>
      <c r="E254" s="106">
        <v>597.07000000000005</v>
      </c>
      <c r="F254" s="102">
        <v>16.275460000000002</v>
      </c>
      <c r="G254" s="106"/>
      <c r="H254" s="106"/>
      <c r="I254" s="103">
        <f t="shared" si="6"/>
        <v>605.20773000000008</v>
      </c>
      <c r="J254" s="103">
        <f t="shared" si="7"/>
        <v>588.93227000000002</v>
      </c>
      <c r="K254" s="103">
        <v>605.20773000000008</v>
      </c>
      <c r="L254" s="103">
        <v>588.93227000000002</v>
      </c>
    </row>
    <row r="255" spans="1:12" x14ac:dyDescent="0.25">
      <c r="A255" s="104">
        <v>251</v>
      </c>
      <c r="B255" s="107" t="s">
        <v>1396</v>
      </c>
      <c r="C255" s="108">
        <v>3232224</v>
      </c>
      <c r="D255" s="107" t="s">
        <v>1206</v>
      </c>
      <c r="E255" s="106">
        <v>598.05999999999995</v>
      </c>
      <c r="F255" s="102">
        <v>16.275460000000002</v>
      </c>
      <c r="G255" s="106"/>
      <c r="H255" s="106"/>
      <c r="I255" s="103">
        <f t="shared" si="6"/>
        <v>606.19772999999998</v>
      </c>
      <c r="J255" s="103">
        <f t="shared" si="7"/>
        <v>589.92226999999991</v>
      </c>
      <c r="K255" s="103">
        <v>606.19772999999998</v>
      </c>
      <c r="L255" s="103">
        <v>589.92226999999991</v>
      </c>
    </row>
    <row r="256" spans="1:12" x14ac:dyDescent="0.25">
      <c r="A256" s="100">
        <v>252</v>
      </c>
      <c r="B256" s="107" t="s">
        <v>1416</v>
      </c>
      <c r="C256" s="108">
        <v>3342572</v>
      </c>
      <c r="D256" s="107" t="s">
        <v>1218</v>
      </c>
      <c r="E256" s="106">
        <v>596.19000000000005</v>
      </c>
      <c r="F256" s="102">
        <v>16.275460000000002</v>
      </c>
      <c r="G256" s="106"/>
      <c r="H256" s="106"/>
      <c r="I256" s="103">
        <f t="shared" si="6"/>
        <v>604.32773000000009</v>
      </c>
      <c r="J256" s="103">
        <f t="shared" si="7"/>
        <v>588.05227000000002</v>
      </c>
      <c r="K256" s="103">
        <v>604.32773000000009</v>
      </c>
      <c r="L256" s="103">
        <v>588.05227000000002</v>
      </c>
    </row>
    <row r="257" spans="1:12" x14ac:dyDescent="0.25">
      <c r="A257" s="104">
        <v>253</v>
      </c>
      <c r="B257" s="107" t="s">
        <v>1354</v>
      </c>
      <c r="C257" s="108">
        <v>3512126</v>
      </c>
      <c r="D257" s="107" t="s">
        <v>1548</v>
      </c>
      <c r="E257" s="106">
        <v>591.86</v>
      </c>
      <c r="F257" s="102">
        <v>16.275460000000002</v>
      </c>
      <c r="G257" s="106"/>
      <c r="H257" s="106"/>
      <c r="I257" s="103">
        <f t="shared" si="6"/>
        <v>599.99773000000005</v>
      </c>
      <c r="J257" s="103">
        <f t="shared" si="7"/>
        <v>583.72226999999998</v>
      </c>
      <c r="K257" s="103">
        <v>599.99773000000005</v>
      </c>
      <c r="L257" s="103">
        <v>583.72226999999998</v>
      </c>
    </row>
    <row r="258" spans="1:12" x14ac:dyDescent="0.25">
      <c r="A258" s="100">
        <v>254</v>
      </c>
      <c r="B258" s="107" t="s">
        <v>1394</v>
      </c>
      <c r="C258" s="108">
        <v>3622315</v>
      </c>
      <c r="D258" s="107" t="s">
        <v>1549</v>
      </c>
      <c r="E258" s="106">
        <v>596.19000000000005</v>
      </c>
      <c r="F258" s="102">
        <v>16.275460000000002</v>
      </c>
      <c r="G258" s="106"/>
      <c r="H258" s="106"/>
      <c r="I258" s="103">
        <f t="shared" si="6"/>
        <v>604.32773000000009</v>
      </c>
      <c r="J258" s="103">
        <f t="shared" si="7"/>
        <v>588.05227000000002</v>
      </c>
      <c r="K258" s="103">
        <v>604.32773000000009</v>
      </c>
      <c r="L258" s="103">
        <v>588.05227000000002</v>
      </c>
    </row>
    <row r="259" spans="1:12" x14ac:dyDescent="0.25">
      <c r="A259" s="104">
        <v>255</v>
      </c>
      <c r="B259" s="107" t="s">
        <v>1416</v>
      </c>
      <c r="C259" s="108">
        <v>3342115</v>
      </c>
      <c r="D259" s="107" t="s">
        <v>1208</v>
      </c>
      <c r="E259" s="106">
        <v>597.96</v>
      </c>
      <c r="F259" s="102">
        <v>16.275460000000002</v>
      </c>
      <c r="G259" s="106"/>
      <c r="H259" s="106"/>
      <c r="I259" s="103">
        <f t="shared" si="6"/>
        <v>606.09773000000007</v>
      </c>
      <c r="J259" s="103">
        <f t="shared" si="7"/>
        <v>589.82227</v>
      </c>
      <c r="K259" s="103">
        <v>606.09773000000007</v>
      </c>
      <c r="L259" s="103">
        <v>589.82227</v>
      </c>
    </row>
    <row r="260" spans="1:12" x14ac:dyDescent="0.25">
      <c r="A260" s="100">
        <v>256</v>
      </c>
      <c r="B260" s="107" t="s">
        <v>1444</v>
      </c>
      <c r="C260" s="108">
        <v>3732357</v>
      </c>
      <c r="D260" s="107" t="s">
        <v>1254</v>
      </c>
      <c r="E260" s="106">
        <v>596.29999999999995</v>
      </c>
      <c r="F260" s="102">
        <v>16.275460000000002</v>
      </c>
      <c r="G260" s="106"/>
      <c r="H260" s="106"/>
      <c r="I260" s="103">
        <f t="shared" si="6"/>
        <v>604.43772999999999</v>
      </c>
      <c r="J260" s="103">
        <f t="shared" si="7"/>
        <v>588.16226999999992</v>
      </c>
      <c r="K260" s="103">
        <v>604.43772999999999</v>
      </c>
      <c r="L260" s="103">
        <v>588.16226999999992</v>
      </c>
    </row>
    <row r="261" spans="1:12" x14ac:dyDescent="0.25">
      <c r="A261" s="104">
        <v>257</v>
      </c>
      <c r="B261" s="107" t="s">
        <v>1318</v>
      </c>
      <c r="C261" s="108">
        <v>3812122</v>
      </c>
      <c r="D261" s="107" t="s">
        <v>1252</v>
      </c>
      <c r="E261" s="106">
        <v>595.92999999999995</v>
      </c>
      <c r="F261" s="102">
        <v>16.275460000000002</v>
      </c>
      <c r="G261" s="106"/>
      <c r="H261" s="106"/>
      <c r="I261" s="103">
        <f t="shared" si="6"/>
        <v>604.06772999999998</v>
      </c>
      <c r="J261" s="103">
        <f t="shared" si="7"/>
        <v>587.79226999999992</v>
      </c>
      <c r="K261" s="103">
        <v>604.06772999999998</v>
      </c>
      <c r="L261" s="103">
        <v>587.79226999999992</v>
      </c>
    </row>
    <row r="262" spans="1:12" x14ac:dyDescent="0.25">
      <c r="A262" s="100">
        <v>258</v>
      </c>
      <c r="B262" s="107" t="s">
        <v>1311</v>
      </c>
      <c r="C262" s="108">
        <v>3332136</v>
      </c>
      <c r="D262" s="107" t="s">
        <v>1252</v>
      </c>
      <c r="E262" s="106">
        <v>594.79</v>
      </c>
      <c r="F262" s="102">
        <v>16.275460000000002</v>
      </c>
      <c r="G262" s="106"/>
      <c r="H262" s="106"/>
      <c r="I262" s="103">
        <f t="shared" ref="I262:I325" si="8">E262+0.5*F262</f>
        <v>602.92773</v>
      </c>
      <c r="J262" s="103">
        <f t="shared" ref="J262:J325" si="9">E262-0.5*F262</f>
        <v>586.65226999999993</v>
      </c>
      <c r="K262" s="103">
        <v>602.92773</v>
      </c>
      <c r="L262" s="103">
        <v>586.65226999999993</v>
      </c>
    </row>
    <row r="263" spans="1:12" x14ac:dyDescent="0.25">
      <c r="A263" s="104">
        <v>259</v>
      </c>
      <c r="B263" s="107" t="s">
        <v>1520</v>
      </c>
      <c r="C263" s="108">
        <v>3642092</v>
      </c>
      <c r="D263" s="107" t="s">
        <v>1236</v>
      </c>
      <c r="E263" s="106">
        <v>602.13</v>
      </c>
      <c r="F263" s="102">
        <v>16.275460000000002</v>
      </c>
      <c r="G263" s="106"/>
      <c r="H263" s="106"/>
      <c r="I263" s="103">
        <f t="shared" si="8"/>
        <v>610.26773000000003</v>
      </c>
      <c r="J263" s="103">
        <f t="shared" si="9"/>
        <v>593.99226999999996</v>
      </c>
      <c r="K263" s="103">
        <v>610.26773000000003</v>
      </c>
      <c r="L263" s="103">
        <v>593.99226999999996</v>
      </c>
    </row>
    <row r="264" spans="1:12" x14ac:dyDescent="0.25">
      <c r="A264" s="100">
        <v>260</v>
      </c>
      <c r="B264" s="107" t="s">
        <v>1308</v>
      </c>
      <c r="C264" s="108">
        <v>1412156</v>
      </c>
      <c r="D264" s="107" t="s">
        <v>1149</v>
      </c>
      <c r="E264" s="106">
        <v>593.44000000000005</v>
      </c>
      <c r="F264" s="102">
        <v>16.275460000000002</v>
      </c>
      <c r="G264" s="106"/>
      <c r="H264" s="106"/>
      <c r="I264" s="103">
        <f t="shared" si="8"/>
        <v>601.57773000000009</v>
      </c>
      <c r="J264" s="103">
        <f t="shared" si="9"/>
        <v>585.30227000000002</v>
      </c>
      <c r="K264" s="103">
        <v>601.57773000000009</v>
      </c>
      <c r="L264" s="103">
        <v>585.30227000000002</v>
      </c>
    </row>
    <row r="265" spans="1:12" x14ac:dyDescent="0.25">
      <c r="A265" s="104">
        <v>261</v>
      </c>
      <c r="B265" s="107" t="s">
        <v>1361</v>
      </c>
      <c r="C265" s="108">
        <v>3532162</v>
      </c>
      <c r="D265" s="107" t="s">
        <v>1206</v>
      </c>
      <c r="E265" s="106">
        <v>592.85</v>
      </c>
      <c r="F265" s="102">
        <v>16.275460000000002</v>
      </c>
      <c r="G265" s="106"/>
      <c r="H265" s="106"/>
      <c r="I265" s="103">
        <f t="shared" si="8"/>
        <v>600.98773000000006</v>
      </c>
      <c r="J265" s="103">
        <f t="shared" si="9"/>
        <v>584.71226999999999</v>
      </c>
      <c r="K265" s="103">
        <v>600.98773000000006</v>
      </c>
      <c r="L265" s="103">
        <v>584.71226999999999</v>
      </c>
    </row>
    <row r="266" spans="1:12" x14ac:dyDescent="0.25">
      <c r="A266" s="100">
        <v>262</v>
      </c>
      <c r="B266" s="107" t="s">
        <v>1462</v>
      </c>
      <c r="C266" s="108">
        <v>3832285</v>
      </c>
      <c r="D266" s="107" t="s">
        <v>1148</v>
      </c>
      <c r="E266" s="106">
        <v>595.74</v>
      </c>
      <c r="F266" s="102">
        <v>16.275460000000002</v>
      </c>
      <c r="G266" s="106"/>
      <c r="H266" s="106"/>
      <c r="I266" s="103">
        <f t="shared" si="8"/>
        <v>603.87773000000004</v>
      </c>
      <c r="J266" s="103">
        <f t="shared" si="9"/>
        <v>587.60226999999998</v>
      </c>
      <c r="K266" s="103">
        <v>603.87773000000004</v>
      </c>
      <c r="L266" s="103">
        <v>587.60226999999998</v>
      </c>
    </row>
    <row r="267" spans="1:12" x14ac:dyDescent="0.25">
      <c r="A267" s="104">
        <v>263</v>
      </c>
      <c r="B267" s="107" t="s">
        <v>1361</v>
      </c>
      <c r="C267" s="108">
        <v>3532177</v>
      </c>
      <c r="D267" s="107" t="s">
        <v>1182</v>
      </c>
      <c r="E267" s="106">
        <v>589.29</v>
      </c>
      <c r="F267" s="102">
        <v>16.275460000000002</v>
      </c>
      <c r="G267" s="106"/>
      <c r="H267" s="106"/>
      <c r="I267" s="103">
        <f t="shared" si="8"/>
        <v>597.42773</v>
      </c>
      <c r="J267" s="103">
        <f t="shared" si="9"/>
        <v>581.15226999999993</v>
      </c>
      <c r="K267" s="103">
        <v>597.42773</v>
      </c>
      <c r="L267" s="103">
        <v>581.15226999999993</v>
      </c>
    </row>
    <row r="268" spans="1:12" x14ac:dyDescent="0.25">
      <c r="A268" s="100">
        <v>264</v>
      </c>
      <c r="B268" s="107" t="s">
        <v>1429</v>
      </c>
      <c r="C268" s="108">
        <v>3562192</v>
      </c>
      <c r="D268" s="107" t="s">
        <v>1550</v>
      </c>
      <c r="E268" s="106">
        <v>591.47</v>
      </c>
      <c r="F268" s="102">
        <v>16.275460000000002</v>
      </c>
      <c r="G268" s="106"/>
      <c r="H268" s="106"/>
      <c r="I268" s="103">
        <f t="shared" si="8"/>
        <v>599.60773000000006</v>
      </c>
      <c r="J268" s="103">
        <f t="shared" si="9"/>
        <v>583.33226999999999</v>
      </c>
      <c r="K268" s="103">
        <v>599.60773000000006</v>
      </c>
      <c r="L268" s="103">
        <v>583.33226999999999</v>
      </c>
    </row>
    <row r="269" spans="1:12" x14ac:dyDescent="0.25">
      <c r="A269" s="104">
        <v>265</v>
      </c>
      <c r="B269" s="107" t="s">
        <v>1361</v>
      </c>
      <c r="C269" s="108">
        <v>3532355</v>
      </c>
      <c r="D269" s="107" t="s">
        <v>1192</v>
      </c>
      <c r="E269" s="106">
        <v>591.14</v>
      </c>
      <c r="F269" s="102">
        <v>16.275460000000002</v>
      </c>
      <c r="G269" s="106"/>
      <c r="H269" s="106"/>
      <c r="I269" s="103">
        <f t="shared" si="8"/>
        <v>599.27773000000002</v>
      </c>
      <c r="J269" s="103">
        <f t="shared" si="9"/>
        <v>583.00226999999995</v>
      </c>
      <c r="K269" s="103">
        <v>599.27773000000002</v>
      </c>
      <c r="L269" s="103">
        <v>583.00226999999995</v>
      </c>
    </row>
    <row r="270" spans="1:12" x14ac:dyDescent="0.25">
      <c r="A270" s="100">
        <v>266</v>
      </c>
      <c r="B270" s="107" t="s">
        <v>1427</v>
      </c>
      <c r="C270" s="108">
        <v>3652202</v>
      </c>
      <c r="D270" s="107" t="s">
        <v>1153</v>
      </c>
      <c r="E270" s="106">
        <v>594.12</v>
      </c>
      <c r="F270" s="102">
        <v>16.275460000000002</v>
      </c>
      <c r="G270" s="106"/>
      <c r="H270" s="106"/>
      <c r="I270" s="103">
        <f t="shared" si="8"/>
        <v>602.25773000000004</v>
      </c>
      <c r="J270" s="103">
        <f t="shared" si="9"/>
        <v>585.98226999999997</v>
      </c>
      <c r="K270" s="103">
        <v>602.25773000000004</v>
      </c>
      <c r="L270" s="103">
        <v>585.98226999999997</v>
      </c>
    </row>
    <row r="271" spans="1:12" x14ac:dyDescent="0.25">
      <c r="A271" s="104">
        <v>267</v>
      </c>
      <c r="B271" s="107" t="s">
        <v>1396</v>
      </c>
      <c r="C271" s="108">
        <v>3232031</v>
      </c>
      <c r="D271" s="107" t="s">
        <v>1537</v>
      </c>
      <c r="E271" s="106">
        <v>595.04999999999995</v>
      </c>
      <c r="F271" s="102">
        <v>16.275460000000002</v>
      </c>
      <c r="G271" s="106"/>
      <c r="H271" s="106"/>
      <c r="I271" s="103">
        <f t="shared" si="8"/>
        <v>603.18772999999999</v>
      </c>
      <c r="J271" s="103">
        <f t="shared" si="9"/>
        <v>586.91226999999992</v>
      </c>
      <c r="K271" s="103">
        <v>603.18772999999999</v>
      </c>
      <c r="L271" s="103">
        <v>586.91226999999992</v>
      </c>
    </row>
    <row r="272" spans="1:12" x14ac:dyDescent="0.25">
      <c r="A272" s="100">
        <v>268</v>
      </c>
      <c r="B272" s="107" t="s">
        <v>1462</v>
      </c>
      <c r="C272" s="108">
        <v>3832165</v>
      </c>
      <c r="D272" s="107" t="s">
        <v>1151</v>
      </c>
      <c r="E272" s="106">
        <v>588.9</v>
      </c>
      <c r="F272" s="102">
        <v>16.275460000000002</v>
      </c>
      <c r="G272" s="106"/>
      <c r="H272" s="106"/>
      <c r="I272" s="103">
        <f t="shared" si="8"/>
        <v>597.03773000000001</v>
      </c>
      <c r="J272" s="103">
        <f t="shared" si="9"/>
        <v>580.76226999999994</v>
      </c>
      <c r="K272" s="103">
        <v>597.03773000000001</v>
      </c>
      <c r="L272" s="103">
        <v>580.76226999999994</v>
      </c>
    </row>
    <row r="273" spans="1:12" x14ac:dyDescent="0.25">
      <c r="A273" s="104">
        <v>269</v>
      </c>
      <c r="B273" s="107" t="s">
        <v>1353</v>
      </c>
      <c r="C273" s="108">
        <v>3722243</v>
      </c>
      <c r="D273" s="107" t="s">
        <v>1169</v>
      </c>
      <c r="E273" s="106">
        <v>591.67999999999995</v>
      </c>
      <c r="F273" s="102">
        <v>16.275460000000002</v>
      </c>
      <c r="G273" s="106"/>
      <c r="H273" s="106"/>
      <c r="I273" s="103">
        <f t="shared" si="8"/>
        <v>599.81772999999998</v>
      </c>
      <c r="J273" s="103">
        <f t="shared" si="9"/>
        <v>583.54226999999992</v>
      </c>
      <c r="K273" s="103">
        <v>599.81772999999998</v>
      </c>
      <c r="L273" s="103">
        <v>583.54226999999992</v>
      </c>
    </row>
    <row r="274" spans="1:12" x14ac:dyDescent="0.25">
      <c r="A274" s="100">
        <v>270</v>
      </c>
      <c r="B274" s="107" t="s">
        <v>1383</v>
      </c>
      <c r="C274" s="108">
        <v>6112184</v>
      </c>
      <c r="D274" s="107" t="s">
        <v>1153</v>
      </c>
      <c r="E274" s="106">
        <v>596.65</v>
      </c>
      <c r="F274" s="102">
        <v>16.275460000000002</v>
      </c>
      <c r="G274" s="106"/>
      <c r="H274" s="106"/>
      <c r="I274" s="103">
        <f t="shared" si="8"/>
        <v>604.78773000000001</v>
      </c>
      <c r="J274" s="103">
        <f t="shared" si="9"/>
        <v>588.51226999999994</v>
      </c>
      <c r="K274" s="103">
        <v>604.78773000000001</v>
      </c>
      <c r="L274" s="103">
        <v>588.51226999999994</v>
      </c>
    </row>
    <row r="275" spans="1:12" x14ac:dyDescent="0.25">
      <c r="A275" s="104">
        <v>271</v>
      </c>
      <c r="B275" s="107" t="s">
        <v>1333</v>
      </c>
      <c r="C275" s="108">
        <v>3222075</v>
      </c>
      <c r="D275" s="107" t="s">
        <v>1168</v>
      </c>
      <c r="E275" s="106">
        <v>588.12</v>
      </c>
      <c r="F275" s="102">
        <v>16.275460000000002</v>
      </c>
      <c r="G275" s="106"/>
      <c r="H275" s="106"/>
      <c r="I275" s="103">
        <f t="shared" si="8"/>
        <v>596.25773000000004</v>
      </c>
      <c r="J275" s="103">
        <f t="shared" si="9"/>
        <v>579.98226999999997</v>
      </c>
      <c r="K275" s="103">
        <v>596.25773000000004</v>
      </c>
      <c r="L275" s="103">
        <v>579.98226999999997</v>
      </c>
    </row>
    <row r="276" spans="1:12" x14ac:dyDescent="0.25">
      <c r="A276" s="100">
        <v>272</v>
      </c>
      <c r="B276" s="107" t="s">
        <v>1361</v>
      </c>
      <c r="C276" s="108">
        <v>3532282</v>
      </c>
      <c r="D276" s="107" t="s">
        <v>1201</v>
      </c>
      <c r="E276" s="106">
        <v>593.07000000000005</v>
      </c>
      <c r="F276" s="102">
        <v>16.275460000000002</v>
      </c>
      <c r="G276" s="106"/>
      <c r="H276" s="106"/>
      <c r="I276" s="103">
        <f t="shared" si="8"/>
        <v>601.20773000000008</v>
      </c>
      <c r="J276" s="103">
        <f t="shared" si="9"/>
        <v>584.93227000000002</v>
      </c>
      <c r="K276" s="103">
        <v>601.20773000000008</v>
      </c>
      <c r="L276" s="103">
        <v>584.93227000000002</v>
      </c>
    </row>
    <row r="277" spans="1:12" x14ac:dyDescent="0.25">
      <c r="A277" s="104">
        <v>273</v>
      </c>
      <c r="B277" s="107" t="s">
        <v>1396</v>
      </c>
      <c r="C277" s="108">
        <v>3232255</v>
      </c>
      <c r="D277" s="107" t="s">
        <v>1184</v>
      </c>
      <c r="E277" s="106">
        <v>596.87</v>
      </c>
      <c r="F277" s="102">
        <v>16.275460000000002</v>
      </c>
      <c r="G277" s="106"/>
      <c r="H277" s="106"/>
      <c r="I277" s="103">
        <f t="shared" si="8"/>
        <v>605.00773000000004</v>
      </c>
      <c r="J277" s="103">
        <f t="shared" si="9"/>
        <v>588.73226999999997</v>
      </c>
      <c r="K277" s="103">
        <v>605.00773000000004</v>
      </c>
      <c r="L277" s="103">
        <v>588.73226999999997</v>
      </c>
    </row>
    <row r="278" spans="1:12" x14ac:dyDescent="0.25">
      <c r="A278" s="100">
        <v>274</v>
      </c>
      <c r="B278" s="107" t="s">
        <v>1444</v>
      </c>
      <c r="C278" s="108">
        <v>3732284</v>
      </c>
      <c r="D278" s="107" t="s">
        <v>1253</v>
      </c>
      <c r="E278" s="106">
        <v>588.92999999999995</v>
      </c>
      <c r="F278" s="102">
        <v>16.275460000000002</v>
      </c>
      <c r="G278" s="106"/>
      <c r="H278" s="106"/>
      <c r="I278" s="103">
        <f t="shared" si="8"/>
        <v>597.06772999999998</v>
      </c>
      <c r="J278" s="103">
        <f t="shared" si="9"/>
        <v>580.79226999999992</v>
      </c>
      <c r="K278" s="103">
        <v>597.06772999999998</v>
      </c>
      <c r="L278" s="103">
        <v>580.79226999999992</v>
      </c>
    </row>
    <row r="279" spans="1:12" x14ac:dyDescent="0.25">
      <c r="A279" s="104">
        <v>275</v>
      </c>
      <c r="B279" s="107" t="s">
        <v>1396</v>
      </c>
      <c r="C279" s="108">
        <v>3232135</v>
      </c>
      <c r="D279" s="107" t="s">
        <v>1551</v>
      </c>
      <c r="E279" s="106">
        <v>588.38</v>
      </c>
      <c r="F279" s="102">
        <v>16.275460000000002</v>
      </c>
      <c r="G279" s="106"/>
      <c r="H279" s="106"/>
      <c r="I279" s="103">
        <f t="shared" si="8"/>
        <v>596.51773000000003</v>
      </c>
      <c r="J279" s="103">
        <f t="shared" si="9"/>
        <v>580.24226999999996</v>
      </c>
      <c r="K279" s="103">
        <v>596.51773000000003</v>
      </c>
      <c r="L279" s="103">
        <v>580.24226999999996</v>
      </c>
    </row>
    <row r="280" spans="1:12" x14ac:dyDescent="0.25">
      <c r="A280" s="100">
        <v>276</v>
      </c>
      <c r="B280" s="107" t="s">
        <v>1333</v>
      </c>
      <c r="C280" s="108">
        <v>3222102</v>
      </c>
      <c r="D280" s="107" t="s">
        <v>1147</v>
      </c>
      <c r="E280" s="106">
        <v>592.09</v>
      </c>
      <c r="F280" s="102">
        <v>16.275460000000002</v>
      </c>
      <c r="G280" s="106"/>
      <c r="H280" s="106"/>
      <c r="I280" s="103">
        <f t="shared" si="8"/>
        <v>600.22773000000007</v>
      </c>
      <c r="J280" s="103">
        <f t="shared" si="9"/>
        <v>583.95227</v>
      </c>
      <c r="K280" s="103">
        <v>600.22773000000007</v>
      </c>
      <c r="L280" s="103">
        <v>583.95227</v>
      </c>
    </row>
    <row r="281" spans="1:12" x14ac:dyDescent="0.25">
      <c r="A281" s="104">
        <v>277</v>
      </c>
      <c r="B281" s="107" t="s">
        <v>1311</v>
      </c>
      <c r="C281" s="108">
        <v>3332191</v>
      </c>
      <c r="D281" s="107" t="s">
        <v>1519</v>
      </c>
      <c r="E281" s="106">
        <v>593.28</v>
      </c>
      <c r="F281" s="102">
        <v>16.275460000000002</v>
      </c>
      <c r="G281" s="106"/>
      <c r="H281" s="106"/>
      <c r="I281" s="103">
        <f t="shared" si="8"/>
        <v>601.41773000000001</v>
      </c>
      <c r="J281" s="103">
        <f t="shared" si="9"/>
        <v>585.14226999999994</v>
      </c>
      <c r="K281" s="103">
        <v>601.41773000000001</v>
      </c>
      <c r="L281" s="103">
        <v>585.14226999999994</v>
      </c>
    </row>
    <row r="282" spans="1:12" x14ac:dyDescent="0.25">
      <c r="A282" s="100">
        <v>278</v>
      </c>
      <c r="B282" s="107" t="s">
        <v>1449</v>
      </c>
      <c r="C282" s="108">
        <v>3852034</v>
      </c>
      <c r="D282" s="107" t="s">
        <v>1148</v>
      </c>
      <c r="E282" s="106">
        <v>592.05999999999995</v>
      </c>
      <c r="F282" s="102">
        <v>16.275460000000002</v>
      </c>
      <c r="G282" s="106"/>
      <c r="H282" s="106"/>
      <c r="I282" s="103">
        <f t="shared" si="8"/>
        <v>600.19772999999998</v>
      </c>
      <c r="J282" s="103">
        <f t="shared" si="9"/>
        <v>583.92226999999991</v>
      </c>
      <c r="K282" s="103">
        <v>600.19772999999998</v>
      </c>
      <c r="L282" s="103">
        <v>583.92226999999991</v>
      </c>
    </row>
    <row r="283" spans="1:12" x14ac:dyDescent="0.25">
      <c r="A283" s="104">
        <v>279</v>
      </c>
      <c r="B283" s="107" t="s">
        <v>1308</v>
      </c>
      <c r="C283" s="108">
        <v>1412067</v>
      </c>
      <c r="D283" s="107" t="s">
        <v>1150</v>
      </c>
      <c r="E283" s="106">
        <v>599.28</v>
      </c>
      <c r="F283" s="102">
        <v>16.275460000000002</v>
      </c>
      <c r="G283" s="106"/>
      <c r="H283" s="106"/>
      <c r="I283" s="103">
        <f t="shared" si="8"/>
        <v>607.41773000000001</v>
      </c>
      <c r="J283" s="103">
        <f t="shared" si="9"/>
        <v>591.14226999999994</v>
      </c>
      <c r="K283" s="103">
        <v>607.41773000000001</v>
      </c>
      <c r="L283" s="103">
        <v>591.14226999999994</v>
      </c>
    </row>
    <row r="284" spans="1:12" x14ac:dyDescent="0.25">
      <c r="A284" s="100">
        <v>280</v>
      </c>
      <c r="B284" s="107" t="s">
        <v>1351</v>
      </c>
      <c r="C284" s="108">
        <v>3712094</v>
      </c>
      <c r="D284" s="107" t="s">
        <v>1148</v>
      </c>
      <c r="E284" s="106">
        <v>594.34</v>
      </c>
      <c r="F284" s="102">
        <v>16.275460000000002</v>
      </c>
      <c r="G284" s="106"/>
      <c r="H284" s="106"/>
      <c r="I284" s="103">
        <f t="shared" si="8"/>
        <v>602.47773000000007</v>
      </c>
      <c r="J284" s="103">
        <f t="shared" si="9"/>
        <v>586.20227</v>
      </c>
      <c r="K284" s="103">
        <v>602.47773000000007</v>
      </c>
      <c r="L284" s="103">
        <v>586.20227</v>
      </c>
    </row>
    <row r="285" spans="1:12" x14ac:dyDescent="0.25">
      <c r="A285" s="104">
        <v>281</v>
      </c>
      <c r="B285" s="107" t="s">
        <v>1416</v>
      </c>
      <c r="C285" s="108">
        <v>3342123</v>
      </c>
      <c r="D285" s="107" t="s">
        <v>1209</v>
      </c>
      <c r="E285" s="106">
        <v>587.42999999999995</v>
      </c>
      <c r="F285" s="102">
        <v>16.275460000000002</v>
      </c>
      <c r="G285" s="106"/>
      <c r="H285" s="106"/>
      <c r="I285" s="103">
        <f t="shared" si="8"/>
        <v>595.56772999999998</v>
      </c>
      <c r="J285" s="103">
        <f t="shared" si="9"/>
        <v>579.29226999999992</v>
      </c>
      <c r="K285" s="103">
        <v>595.56772999999998</v>
      </c>
      <c r="L285" s="103">
        <v>579.29226999999992</v>
      </c>
    </row>
    <row r="286" spans="1:12" x14ac:dyDescent="0.25">
      <c r="A286" s="100">
        <v>282</v>
      </c>
      <c r="B286" s="107" t="s">
        <v>1333</v>
      </c>
      <c r="C286" s="108">
        <v>3222141</v>
      </c>
      <c r="D286" s="107" t="s">
        <v>1150</v>
      </c>
      <c r="E286" s="106">
        <v>594.02</v>
      </c>
      <c r="F286" s="102">
        <v>16.275460000000002</v>
      </c>
      <c r="G286" s="106"/>
      <c r="H286" s="106"/>
      <c r="I286" s="103">
        <f t="shared" si="8"/>
        <v>602.15773000000002</v>
      </c>
      <c r="J286" s="103">
        <f t="shared" si="9"/>
        <v>585.88226999999995</v>
      </c>
      <c r="K286" s="103">
        <v>602.15773000000002</v>
      </c>
      <c r="L286" s="103">
        <v>585.88226999999995</v>
      </c>
    </row>
    <row r="287" spans="1:12" x14ac:dyDescent="0.25">
      <c r="A287" s="104">
        <v>283</v>
      </c>
      <c r="B287" s="107" t="s">
        <v>1449</v>
      </c>
      <c r="C287" s="108">
        <v>3852065</v>
      </c>
      <c r="D287" s="107" t="s">
        <v>1149</v>
      </c>
      <c r="E287" s="106">
        <v>591.14</v>
      </c>
      <c r="F287" s="102">
        <v>16.275460000000002</v>
      </c>
      <c r="G287" s="106"/>
      <c r="H287" s="106"/>
      <c r="I287" s="103">
        <f t="shared" si="8"/>
        <v>599.27773000000002</v>
      </c>
      <c r="J287" s="103">
        <f t="shared" si="9"/>
        <v>583.00226999999995</v>
      </c>
      <c r="K287" s="103">
        <v>599.27773000000002</v>
      </c>
      <c r="L287" s="103">
        <v>583.00226999999995</v>
      </c>
    </row>
    <row r="288" spans="1:12" x14ac:dyDescent="0.25">
      <c r="A288" s="100">
        <v>284</v>
      </c>
      <c r="B288" s="107" t="s">
        <v>1396</v>
      </c>
      <c r="C288" s="108">
        <v>3232216</v>
      </c>
      <c r="D288" s="107" t="s">
        <v>1182</v>
      </c>
      <c r="E288" s="106">
        <v>595.1</v>
      </c>
      <c r="F288" s="102">
        <v>16.275460000000002</v>
      </c>
      <c r="G288" s="106"/>
      <c r="H288" s="106"/>
      <c r="I288" s="103">
        <f t="shared" si="8"/>
        <v>603.23773000000006</v>
      </c>
      <c r="J288" s="103">
        <f t="shared" si="9"/>
        <v>586.96226999999999</v>
      </c>
      <c r="K288" s="103">
        <v>603.23773000000006</v>
      </c>
      <c r="L288" s="103">
        <v>586.96226999999999</v>
      </c>
    </row>
    <row r="289" spans="1:12" x14ac:dyDescent="0.25">
      <c r="A289" s="104">
        <v>285</v>
      </c>
      <c r="B289" s="107" t="s">
        <v>1383</v>
      </c>
      <c r="C289" s="108">
        <v>6112064</v>
      </c>
      <c r="D289" s="107" t="s">
        <v>1148</v>
      </c>
      <c r="E289" s="106">
        <v>604.5</v>
      </c>
      <c r="F289" s="102">
        <v>16.275460000000002</v>
      </c>
      <c r="G289" s="106"/>
      <c r="H289" s="106"/>
      <c r="I289" s="103">
        <f t="shared" si="8"/>
        <v>612.63773000000003</v>
      </c>
      <c r="J289" s="103">
        <f t="shared" si="9"/>
        <v>596.36226999999997</v>
      </c>
      <c r="K289" s="103">
        <v>612.63773000000003</v>
      </c>
      <c r="L289" s="103">
        <v>596.36226999999997</v>
      </c>
    </row>
    <row r="290" spans="1:12" x14ac:dyDescent="0.25">
      <c r="A290" s="100">
        <v>286</v>
      </c>
      <c r="B290" s="107" t="s">
        <v>1396</v>
      </c>
      <c r="C290" s="108">
        <v>3232062</v>
      </c>
      <c r="D290" s="107" t="s">
        <v>1175</v>
      </c>
      <c r="E290" s="106">
        <v>593.03</v>
      </c>
      <c r="F290" s="102">
        <v>16.275460000000002</v>
      </c>
      <c r="G290" s="106"/>
      <c r="H290" s="106"/>
      <c r="I290" s="103">
        <f t="shared" si="8"/>
        <v>601.16773000000001</v>
      </c>
      <c r="J290" s="103">
        <f t="shared" si="9"/>
        <v>584.89226999999994</v>
      </c>
      <c r="K290" s="103">
        <v>601.16773000000001</v>
      </c>
      <c r="L290" s="103">
        <v>584.89226999999994</v>
      </c>
    </row>
    <row r="291" spans="1:12" x14ac:dyDescent="0.25">
      <c r="A291" s="104">
        <v>287</v>
      </c>
      <c r="B291" s="107" t="s">
        <v>1394</v>
      </c>
      <c r="C291" s="108">
        <v>3622056</v>
      </c>
      <c r="D291" s="107" t="s">
        <v>1552</v>
      </c>
      <c r="E291" s="106">
        <v>585.23</v>
      </c>
      <c r="F291" s="102">
        <v>16.275460000000002</v>
      </c>
      <c r="G291" s="106"/>
      <c r="H291" s="106"/>
      <c r="I291" s="103">
        <f t="shared" si="8"/>
        <v>593.36773000000005</v>
      </c>
      <c r="J291" s="103">
        <f t="shared" si="9"/>
        <v>577.09226999999998</v>
      </c>
      <c r="K291" s="103">
        <v>593.36773000000005</v>
      </c>
      <c r="L291" s="103">
        <v>577.09226999999998</v>
      </c>
    </row>
    <row r="292" spans="1:12" x14ac:dyDescent="0.25">
      <c r="A292" s="100">
        <v>288</v>
      </c>
      <c r="B292" s="107" t="s">
        <v>1462</v>
      </c>
      <c r="C292" s="108">
        <v>3832061</v>
      </c>
      <c r="D292" s="107" t="s">
        <v>1153</v>
      </c>
      <c r="E292" s="106">
        <v>593.1</v>
      </c>
      <c r="F292" s="102">
        <v>16.275460000000002</v>
      </c>
      <c r="G292" s="106"/>
      <c r="H292" s="106"/>
      <c r="I292" s="103">
        <f t="shared" si="8"/>
        <v>601.23773000000006</v>
      </c>
      <c r="J292" s="103">
        <f t="shared" si="9"/>
        <v>584.96226999999999</v>
      </c>
      <c r="K292" s="103">
        <v>601.23773000000006</v>
      </c>
      <c r="L292" s="103">
        <v>584.96226999999999</v>
      </c>
    </row>
    <row r="293" spans="1:12" x14ac:dyDescent="0.25">
      <c r="A293" s="104">
        <v>289</v>
      </c>
      <c r="B293" s="107" t="s">
        <v>1396</v>
      </c>
      <c r="C293" s="108">
        <v>3232104</v>
      </c>
      <c r="D293" s="107" t="s">
        <v>1260</v>
      </c>
      <c r="E293" s="106">
        <v>587.38</v>
      </c>
      <c r="F293" s="102">
        <v>16.275460000000002</v>
      </c>
      <c r="G293" s="106"/>
      <c r="H293" s="106"/>
      <c r="I293" s="103">
        <f t="shared" si="8"/>
        <v>595.51773000000003</v>
      </c>
      <c r="J293" s="103">
        <f t="shared" si="9"/>
        <v>579.24226999999996</v>
      </c>
      <c r="K293" s="103">
        <v>595.51773000000003</v>
      </c>
      <c r="L293" s="103">
        <v>579.24226999999996</v>
      </c>
    </row>
    <row r="294" spans="1:12" x14ac:dyDescent="0.25">
      <c r="A294" s="100">
        <v>290</v>
      </c>
      <c r="B294" s="107" t="s">
        <v>1429</v>
      </c>
      <c r="C294" s="108">
        <v>3562281</v>
      </c>
      <c r="D294" s="107" t="s">
        <v>1525</v>
      </c>
      <c r="E294" s="106">
        <v>588.71</v>
      </c>
      <c r="F294" s="102">
        <v>16.275460000000002</v>
      </c>
      <c r="G294" s="106"/>
      <c r="H294" s="106"/>
      <c r="I294" s="103">
        <f t="shared" si="8"/>
        <v>596.84773000000007</v>
      </c>
      <c r="J294" s="103">
        <f t="shared" si="9"/>
        <v>580.57227</v>
      </c>
      <c r="K294" s="103">
        <v>596.84773000000007</v>
      </c>
      <c r="L294" s="103">
        <v>580.57227</v>
      </c>
    </row>
    <row r="295" spans="1:12" x14ac:dyDescent="0.25">
      <c r="A295" s="104">
        <v>291</v>
      </c>
      <c r="B295" s="107" t="s">
        <v>1444</v>
      </c>
      <c r="C295" s="108">
        <v>3732292</v>
      </c>
      <c r="D295" s="107" t="s">
        <v>1150</v>
      </c>
      <c r="E295" s="106">
        <v>593.16999999999996</v>
      </c>
      <c r="F295" s="102">
        <v>16.275460000000002</v>
      </c>
      <c r="G295" s="106"/>
      <c r="H295" s="106"/>
      <c r="I295" s="103">
        <f t="shared" si="8"/>
        <v>601.30772999999999</v>
      </c>
      <c r="J295" s="103">
        <f t="shared" si="9"/>
        <v>585.03226999999993</v>
      </c>
      <c r="K295" s="103">
        <v>601.30772999999999</v>
      </c>
      <c r="L295" s="103">
        <v>585.03226999999993</v>
      </c>
    </row>
    <row r="296" spans="1:12" x14ac:dyDescent="0.25">
      <c r="A296" s="100">
        <v>292</v>
      </c>
      <c r="B296" s="107" t="s">
        <v>1311</v>
      </c>
      <c r="C296" s="108">
        <v>3332175</v>
      </c>
      <c r="D296" s="107" t="s">
        <v>1524</v>
      </c>
      <c r="E296" s="106">
        <v>591.82000000000005</v>
      </c>
      <c r="F296" s="102">
        <v>16.275460000000002</v>
      </c>
      <c r="G296" s="106"/>
      <c r="H296" s="106"/>
      <c r="I296" s="103">
        <f t="shared" si="8"/>
        <v>599.95773000000008</v>
      </c>
      <c r="J296" s="103">
        <f t="shared" si="9"/>
        <v>583.68227000000002</v>
      </c>
      <c r="K296" s="103">
        <v>599.95773000000008</v>
      </c>
      <c r="L296" s="103">
        <v>583.68227000000002</v>
      </c>
    </row>
    <row r="297" spans="1:12" x14ac:dyDescent="0.25">
      <c r="A297" s="104">
        <v>293</v>
      </c>
      <c r="B297" s="107" t="s">
        <v>1396</v>
      </c>
      <c r="C297" s="108">
        <v>3232143</v>
      </c>
      <c r="D297" s="107" t="s">
        <v>1179</v>
      </c>
      <c r="E297" s="106">
        <v>586.77</v>
      </c>
      <c r="F297" s="102">
        <v>16.275460000000002</v>
      </c>
      <c r="G297" s="106"/>
      <c r="H297" s="106"/>
      <c r="I297" s="103">
        <f t="shared" si="8"/>
        <v>594.90773000000002</v>
      </c>
      <c r="J297" s="103">
        <f t="shared" si="9"/>
        <v>578.63226999999995</v>
      </c>
      <c r="K297" s="103">
        <v>594.90773000000002</v>
      </c>
      <c r="L297" s="103">
        <v>578.63226999999995</v>
      </c>
    </row>
    <row r="298" spans="1:12" x14ac:dyDescent="0.25">
      <c r="A298" s="100">
        <v>294</v>
      </c>
      <c r="B298" s="107" t="s">
        <v>1361</v>
      </c>
      <c r="C298" s="108">
        <v>3532235</v>
      </c>
      <c r="D298" s="107" t="s">
        <v>1225</v>
      </c>
      <c r="E298" s="106">
        <v>592.25</v>
      </c>
      <c r="F298" s="102">
        <v>16.275460000000002</v>
      </c>
      <c r="G298" s="106"/>
      <c r="H298" s="106"/>
      <c r="I298" s="103">
        <f t="shared" si="8"/>
        <v>600.38773000000003</v>
      </c>
      <c r="J298" s="103">
        <f t="shared" si="9"/>
        <v>584.11226999999997</v>
      </c>
      <c r="K298" s="103">
        <v>600.38773000000003</v>
      </c>
      <c r="L298" s="103">
        <v>584.11226999999997</v>
      </c>
    </row>
    <row r="299" spans="1:12" x14ac:dyDescent="0.25">
      <c r="A299" s="104">
        <v>295</v>
      </c>
      <c r="B299" s="107" t="s">
        <v>1333</v>
      </c>
      <c r="C299" s="108">
        <v>3222454</v>
      </c>
      <c r="D299" s="107" t="s">
        <v>1174</v>
      </c>
      <c r="E299" s="106">
        <v>589.71</v>
      </c>
      <c r="F299" s="102">
        <v>16.275460000000002</v>
      </c>
      <c r="G299" s="106"/>
      <c r="H299" s="106"/>
      <c r="I299" s="103">
        <f t="shared" si="8"/>
        <v>597.84773000000007</v>
      </c>
      <c r="J299" s="103">
        <f t="shared" si="9"/>
        <v>581.57227</v>
      </c>
      <c r="K299" s="103">
        <v>597.84773000000007</v>
      </c>
      <c r="L299" s="103">
        <v>581.57227</v>
      </c>
    </row>
    <row r="300" spans="1:12" x14ac:dyDescent="0.25">
      <c r="A300" s="100">
        <v>296</v>
      </c>
      <c r="B300" s="107" t="s">
        <v>1396</v>
      </c>
      <c r="C300" s="108">
        <v>3232375</v>
      </c>
      <c r="D300" s="107" t="s">
        <v>1553</v>
      </c>
      <c r="E300" s="106">
        <v>587.54</v>
      </c>
      <c r="F300" s="102">
        <v>16.275460000000002</v>
      </c>
      <c r="G300" s="106"/>
      <c r="H300" s="106"/>
      <c r="I300" s="103">
        <f t="shared" si="8"/>
        <v>595.67773</v>
      </c>
      <c r="J300" s="103">
        <f t="shared" si="9"/>
        <v>579.40226999999993</v>
      </c>
      <c r="K300" s="103">
        <v>595.67773</v>
      </c>
      <c r="L300" s="103">
        <v>579.40226999999993</v>
      </c>
    </row>
    <row r="301" spans="1:12" x14ac:dyDescent="0.25">
      <c r="A301" s="104">
        <v>297</v>
      </c>
      <c r="B301" s="107" t="s">
        <v>1359</v>
      </c>
      <c r="C301" s="108">
        <v>3552015</v>
      </c>
      <c r="D301" s="107" t="s">
        <v>1260</v>
      </c>
      <c r="E301" s="106">
        <v>588.19000000000005</v>
      </c>
      <c r="F301" s="102">
        <v>16.275460000000002</v>
      </c>
      <c r="G301" s="106"/>
      <c r="H301" s="106"/>
      <c r="I301" s="103">
        <f t="shared" si="8"/>
        <v>596.32773000000009</v>
      </c>
      <c r="J301" s="103">
        <f t="shared" si="9"/>
        <v>580.05227000000002</v>
      </c>
      <c r="K301" s="103">
        <v>596.32773000000009</v>
      </c>
      <c r="L301" s="103">
        <v>580.05227000000002</v>
      </c>
    </row>
    <row r="302" spans="1:12" x14ac:dyDescent="0.25">
      <c r="A302" s="100">
        <v>298</v>
      </c>
      <c r="B302" s="107" t="s">
        <v>1361</v>
      </c>
      <c r="C302" s="108">
        <v>3532185</v>
      </c>
      <c r="D302" s="107" t="s">
        <v>1224</v>
      </c>
      <c r="E302" s="106">
        <v>589.33000000000004</v>
      </c>
      <c r="F302" s="102">
        <v>16.275460000000002</v>
      </c>
      <c r="G302" s="106"/>
      <c r="H302" s="106"/>
      <c r="I302" s="103">
        <f t="shared" si="8"/>
        <v>597.46773000000007</v>
      </c>
      <c r="J302" s="103">
        <f t="shared" si="9"/>
        <v>581.19227000000001</v>
      </c>
      <c r="K302" s="103">
        <v>597.46773000000007</v>
      </c>
      <c r="L302" s="103">
        <v>581.19227000000001</v>
      </c>
    </row>
    <row r="303" spans="1:12" x14ac:dyDescent="0.25">
      <c r="A303" s="104">
        <v>299</v>
      </c>
      <c r="B303" s="107" t="s">
        <v>1429</v>
      </c>
      <c r="C303" s="108">
        <v>3562114</v>
      </c>
      <c r="D303" s="107" t="s">
        <v>1554</v>
      </c>
      <c r="E303" s="106">
        <v>590.34</v>
      </c>
      <c r="F303" s="102">
        <v>16.275460000000002</v>
      </c>
      <c r="G303" s="106"/>
      <c r="H303" s="106"/>
      <c r="I303" s="103">
        <f t="shared" si="8"/>
        <v>598.47773000000007</v>
      </c>
      <c r="J303" s="103">
        <f t="shared" si="9"/>
        <v>582.20227</v>
      </c>
      <c r="K303" s="103">
        <v>598.47773000000007</v>
      </c>
      <c r="L303" s="103">
        <v>582.20227</v>
      </c>
    </row>
    <row r="304" spans="1:12" x14ac:dyDescent="0.25">
      <c r="A304" s="100">
        <v>300</v>
      </c>
      <c r="B304" s="107" t="s">
        <v>1416</v>
      </c>
      <c r="C304" s="108">
        <v>3342057</v>
      </c>
      <c r="D304" s="107" t="s">
        <v>1204</v>
      </c>
      <c r="E304" s="106">
        <v>593.91999999999996</v>
      </c>
      <c r="F304" s="102">
        <v>16.275460000000002</v>
      </c>
      <c r="G304" s="106"/>
      <c r="H304" s="106"/>
      <c r="I304" s="103">
        <f t="shared" si="8"/>
        <v>602.05772999999999</v>
      </c>
      <c r="J304" s="103">
        <f t="shared" si="9"/>
        <v>585.78226999999993</v>
      </c>
      <c r="K304" s="103">
        <v>602.05772999999999</v>
      </c>
      <c r="L304" s="103">
        <v>585.78226999999993</v>
      </c>
    </row>
    <row r="305" spans="1:12" x14ac:dyDescent="0.25">
      <c r="A305" s="104">
        <v>301</v>
      </c>
      <c r="B305" s="107" t="s">
        <v>1394</v>
      </c>
      <c r="C305" s="108">
        <v>3622281</v>
      </c>
      <c r="D305" s="107" t="s">
        <v>1179</v>
      </c>
      <c r="E305" s="106">
        <v>590.38</v>
      </c>
      <c r="F305" s="102">
        <v>16.275460000000002</v>
      </c>
      <c r="G305" s="106"/>
      <c r="H305" s="106"/>
      <c r="I305" s="103">
        <f t="shared" si="8"/>
        <v>598.51773000000003</v>
      </c>
      <c r="J305" s="103">
        <f t="shared" si="9"/>
        <v>582.24226999999996</v>
      </c>
      <c r="K305" s="103">
        <v>598.51773000000003</v>
      </c>
      <c r="L305" s="103">
        <v>582.24226999999996</v>
      </c>
    </row>
    <row r="306" spans="1:12" x14ac:dyDescent="0.25">
      <c r="A306" s="100">
        <v>302</v>
      </c>
      <c r="B306" s="107" t="s">
        <v>1311</v>
      </c>
      <c r="C306" s="108">
        <v>3332345</v>
      </c>
      <c r="D306" s="107" t="s">
        <v>1200</v>
      </c>
      <c r="E306" s="106">
        <v>585.64</v>
      </c>
      <c r="F306" s="102">
        <v>16.275460000000002</v>
      </c>
      <c r="G306" s="106"/>
      <c r="H306" s="106"/>
      <c r="I306" s="103">
        <f t="shared" si="8"/>
        <v>593.77773000000002</v>
      </c>
      <c r="J306" s="103">
        <f t="shared" si="9"/>
        <v>577.50226999999995</v>
      </c>
      <c r="K306" s="103">
        <v>593.77773000000002</v>
      </c>
      <c r="L306" s="103">
        <v>577.50226999999995</v>
      </c>
    </row>
    <row r="307" spans="1:12" x14ac:dyDescent="0.25">
      <c r="A307" s="104">
        <v>303</v>
      </c>
      <c r="B307" s="107" t="s">
        <v>1484</v>
      </c>
      <c r="C307" s="108">
        <v>3522016</v>
      </c>
      <c r="D307" s="107" t="s">
        <v>1155</v>
      </c>
      <c r="E307" s="106">
        <v>588.65</v>
      </c>
      <c r="F307" s="102">
        <v>16.275460000000002</v>
      </c>
      <c r="G307" s="106"/>
      <c r="H307" s="106"/>
      <c r="I307" s="103">
        <f t="shared" si="8"/>
        <v>596.78773000000001</v>
      </c>
      <c r="J307" s="103">
        <f t="shared" si="9"/>
        <v>580.51226999999994</v>
      </c>
      <c r="K307" s="103">
        <v>596.78773000000001</v>
      </c>
      <c r="L307" s="103">
        <v>580.51226999999994</v>
      </c>
    </row>
    <row r="308" spans="1:12" x14ac:dyDescent="0.25">
      <c r="A308" s="100">
        <v>304</v>
      </c>
      <c r="B308" s="107" t="s">
        <v>1311</v>
      </c>
      <c r="C308" s="108">
        <v>3332337</v>
      </c>
      <c r="D308" s="107" t="s">
        <v>1555</v>
      </c>
      <c r="E308" s="106">
        <v>590.66999999999996</v>
      </c>
      <c r="F308" s="102">
        <v>16.275460000000002</v>
      </c>
      <c r="G308" s="106"/>
      <c r="H308" s="106"/>
      <c r="I308" s="103">
        <f t="shared" si="8"/>
        <v>598.80772999999999</v>
      </c>
      <c r="J308" s="103">
        <f t="shared" si="9"/>
        <v>582.53226999999993</v>
      </c>
      <c r="K308" s="103">
        <v>598.80772999999999</v>
      </c>
      <c r="L308" s="103">
        <v>582.53226999999993</v>
      </c>
    </row>
    <row r="309" spans="1:12" x14ac:dyDescent="0.25">
      <c r="A309" s="104">
        <v>305</v>
      </c>
      <c r="B309" s="107" t="s">
        <v>1318</v>
      </c>
      <c r="C309" s="108">
        <v>3812056</v>
      </c>
      <c r="D309" s="107" t="s">
        <v>1171</v>
      </c>
      <c r="E309" s="106">
        <v>594.64</v>
      </c>
      <c r="F309" s="102">
        <v>16.275460000000002</v>
      </c>
      <c r="G309" s="106"/>
      <c r="H309" s="106"/>
      <c r="I309" s="103">
        <f t="shared" si="8"/>
        <v>602.77773000000002</v>
      </c>
      <c r="J309" s="103">
        <f t="shared" si="9"/>
        <v>586.50226999999995</v>
      </c>
      <c r="K309" s="103">
        <v>602.77773000000002</v>
      </c>
      <c r="L309" s="103">
        <v>586.50226999999995</v>
      </c>
    </row>
    <row r="310" spans="1:12" x14ac:dyDescent="0.25">
      <c r="A310" s="100">
        <v>306</v>
      </c>
      <c r="B310" s="107" t="s">
        <v>1416</v>
      </c>
      <c r="C310" s="108">
        <v>3342371</v>
      </c>
      <c r="D310" s="107" t="s">
        <v>1216</v>
      </c>
      <c r="E310" s="106">
        <v>587.13</v>
      </c>
      <c r="F310" s="102">
        <v>16.275460000000002</v>
      </c>
      <c r="G310" s="106"/>
      <c r="H310" s="106"/>
      <c r="I310" s="103">
        <f t="shared" si="8"/>
        <v>595.26773000000003</v>
      </c>
      <c r="J310" s="103">
        <f t="shared" si="9"/>
        <v>578.99226999999996</v>
      </c>
      <c r="K310" s="103">
        <v>595.26773000000003</v>
      </c>
      <c r="L310" s="103">
        <v>578.99226999999996</v>
      </c>
    </row>
    <row r="311" spans="1:12" x14ac:dyDescent="0.25">
      <c r="A311" s="104">
        <v>307</v>
      </c>
      <c r="B311" s="107" t="s">
        <v>1429</v>
      </c>
      <c r="C311" s="108">
        <v>3562404</v>
      </c>
      <c r="D311" s="107" t="s">
        <v>1171</v>
      </c>
      <c r="E311" s="106">
        <v>586.76</v>
      </c>
      <c r="F311" s="102">
        <v>16.275460000000002</v>
      </c>
      <c r="G311" s="106"/>
      <c r="H311" s="106"/>
      <c r="I311" s="103">
        <f t="shared" si="8"/>
        <v>594.89773000000002</v>
      </c>
      <c r="J311" s="103">
        <f t="shared" si="9"/>
        <v>578.62226999999996</v>
      </c>
      <c r="K311" s="103">
        <v>594.89773000000002</v>
      </c>
      <c r="L311" s="103">
        <v>578.62226999999996</v>
      </c>
    </row>
    <row r="312" spans="1:12" x14ac:dyDescent="0.25">
      <c r="A312" s="100">
        <v>308</v>
      </c>
      <c r="B312" s="107" t="s">
        <v>1361</v>
      </c>
      <c r="C312" s="108">
        <v>3532301</v>
      </c>
      <c r="D312" s="107" t="s">
        <v>1519</v>
      </c>
      <c r="E312" s="106">
        <v>581.99</v>
      </c>
      <c r="F312" s="102">
        <v>16.275460000000002</v>
      </c>
      <c r="G312" s="106"/>
      <c r="H312" s="106"/>
      <c r="I312" s="103">
        <f t="shared" si="8"/>
        <v>590.12773000000004</v>
      </c>
      <c r="J312" s="103">
        <f t="shared" si="9"/>
        <v>573.85226999999998</v>
      </c>
      <c r="K312" s="103">
        <v>590.12773000000004</v>
      </c>
      <c r="L312" s="103">
        <v>573.85226999999998</v>
      </c>
    </row>
    <row r="313" spans="1:12" x14ac:dyDescent="0.25">
      <c r="A313" s="104">
        <v>309</v>
      </c>
      <c r="B313" s="107" t="s">
        <v>1462</v>
      </c>
      <c r="C313" s="108">
        <v>3832312</v>
      </c>
      <c r="D313" s="107" t="s">
        <v>1147</v>
      </c>
      <c r="E313" s="106">
        <v>587.98</v>
      </c>
      <c r="F313" s="102">
        <v>16.275460000000002</v>
      </c>
      <c r="G313" s="106"/>
      <c r="H313" s="106"/>
      <c r="I313" s="103">
        <f t="shared" si="8"/>
        <v>596.11773000000005</v>
      </c>
      <c r="J313" s="103">
        <f t="shared" si="9"/>
        <v>579.84226999999998</v>
      </c>
      <c r="K313" s="103">
        <v>596.11773000000005</v>
      </c>
      <c r="L313" s="103">
        <v>579.84226999999998</v>
      </c>
    </row>
    <row r="314" spans="1:12" x14ac:dyDescent="0.25">
      <c r="A314" s="100">
        <v>310</v>
      </c>
      <c r="B314" s="107" t="s">
        <v>1333</v>
      </c>
      <c r="C314" s="108">
        <v>3222187</v>
      </c>
      <c r="D314" s="107" t="s">
        <v>1171</v>
      </c>
      <c r="E314" s="106">
        <v>588.33000000000004</v>
      </c>
      <c r="F314" s="102">
        <v>16.275460000000002</v>
      </c>
      <c r="G314" s="106"/>
      <c r="H314" s="106"/>
      <c r="I314" s="103">
        <f t="shared" si="8"/>
        <v>596.46773000000007</v>
      </c>
      <c r="J314" s="103">
        <f t="shared" si="9"/>
        <v>580.19227000000001</v>
      </c>
      <c r="K314" s="103">
        <v>596.46773000000007</v>
      </c>
      <c r="L314" s="103">
        <v>580.19227000000001</v>
      </c>
    </row>
    <row r="315" spans="1:12" x14ac:dyDescent="0.25">
      <c r="A315" s="104">
        <v>311</v>
      </c>
      <c r="B315" s="107" t="s">
        <v>1416</v>
      </c>
      <c r="C315" s="108">
        <v>3342347</v>
      </c>
      <c r="D315" s="107" t="s">
        <v>1186</v>
      </c>
      <c r="E315" s="106">
        <v>584.99</v>
      </c>
      <c r="F315" s="102">
        <v>16.275460000000002</v>
      </c>
      <c r="G315" s="106"/>
      <c r="H315" s="106"/>
      <c r="I315" s="103">
        <f t="shared" si="8"/>
        <v>593.12773000000004</v>
      </c>
      <c r="J315" s="103">
        <f t="shared" si="9"/>
        <v>576.85226999999998</v>
      </c>
      <c r="K315" s="103">
        <v>593.12773000000004</v>
      </c>
      <c r="L315" s="103">
        <v>576.85226999999998</v>
      </c>
    </row>
    <row r="316" spans="1:12" x14ac:dyDescent="0.25">
      <c r="A316" s="100">
        <v>312</v>
      </c>
      <c r="B316" s="107" t="s">
        <v>1354</v>
      </c>
      <c r="C316" s="108">
        <v>3512134</v>
      </c>
      <c r="D316" s="107" t="s">
        <v>1186</v>
      </c>
      <c r="E316" s="106">
        <v>580.42999999999995</v>
      </c>
      <c r="F316" s="102">
        <v>16.275460000000002</v>
      </c>
      <c r="G316" s="106"/>
      <c r="H316" s="106"/>
      <c r="I316" s="103">
        <f t="shared" si="8"/>
        <v>588.56772999999998</v>
      </c>
      <c r="J316" s="103">
        <f t="shared" si="9"/>
        <v>572.29226999999992</v>
      </c>
      <c r="K316" s="103">
        <v>588.56772999999998</v>
      </c>
      <c r="L316" s="103">
        <v>572.29226999999992</v>
      </c>
    </row>
    <row r="317" spans="1:12" x14ac:dyDescent="0.25">
      <c r="A317" s="104">
        <v>313</v>
      </c>
      <c r="B317" s="107" t="s">
        <v>1353</v>
      </c>
      <c r="C317" s="108">
        <v>3722274</v>
      </c>
      <c r="D317" s="107" t="s">
        <v>1556</v>
      </c>
      <c r="E317" s="106">
        <v>587.89</v>
      </c>
      <c r="F317" s="102">
        <v>16.275460000000002</v>
      </c>
      <c r="G317" s="106"/>
      <c r="H317" s="106"/>
      <c r="I317" s="103">
        <f t="shared" si="8"/>
        <v>596.02773000000002</v>
      </c>
      <c r="J317" s="103">
        <f t="shared" si="9"/>
        <v>579.75226999999995</v>
      </c>
      <c r="K317" s="103">
        <v>596.02773000000002</v>
      </c>
      <c r="L317" s="103">
        <v>579.75226999999995</v>
      </c>
    </row>
    <row r="318" spans="1:12" x14ac:dyDescent="0.25">
      <c r="A318" s="100">
        <v>314</v>
      </c>
      <c r="B318" s="107" t="s">
        <v>1312</v>
      </c>
      <c r="C318" s="108">
        <v>7112114</v>
      </c>
      <c r="D318" s="107" t="s">
        <v>1157</v>
      </c>
      <c r="E318" s="106">
        <v>590.97</v>
      </c>
      <c r="F318" s="102">
        <v>16.275460000000002</v>
      </c>
      <c r="G318" s="106"/>
      <c r="H318" s="106"/>
      <c r="I318" s="103">
        <f t="shared" si="8"/>
        <v>599.10773000000006</v>
      </c>
      <c r="J318" s="103">
        <f t="shared" si="9"/>
        <v>582.83226999999999</v>
      </c>
      <c r="K318" s="103">
        <v>599.10773000000006</v>
      </c>
      <c r="L318" s="103">
        <v>582.83226999999999</v>
      </c>
    </row>
    <row r="319" spans="1:12" x14ac:dyDescent="0.25">
      <c r="A319" s="104">
        <v>315</v>
      </c>
      <c r="B319" s="107" t="s">
        <v>1444</v>
      </c>
      <c r="C319" s="108">
        <v>3732261</v>
      </c>
      <c r="D319" s="107" t="s">
        <v>1227</v>
      </c>
      <c r="E319" s="106">
        <v>591.29999999999995</v>
      </c>
      <c r="F319" s="102">
        <v>16.275460000000002</v>
      </c>
      <c r="G319" s="106"/>
      <c r="H319" s="106"/>
      <c r="I319" s="103">
        <f t="shared" si="8"/>
        <v>599.43772999999999</v>
      </c>
      <c r="J319" s="103">
        <f t="shared" si="9"/>
        <v>583.16226999999992</v>
      </c>
      <c r="K319" s="103">
        <v>599.43772999999999</v>
      </c>
      <c r="L319" s="103">
        <v>583.16226999999992</v>
      </c>
    </row>
    <row r="320" spans="1:12" x14ac:dyDescent="0.25">
      <c r="A320" s="100">
        <v>316</v>
      </c>
      <c r="B320" s="107" t="s">
        <v>1432</v>
      </c>
      <c r="C320" s="108">
        <v>3242087</v>
      </c>
      <c r="D320" s="107" t="s">
        <v>1171</v>
      </c>
      <c r="E320" s="106">
        <v>586.89</v>
      </c>
      <c r="F320" s="102">
        <v>16.275460000000002</v>
      </c>
      <c r="G320" s="106"/>
      <c r="H320" s="106"/>
      <c r="I320" s="103">
        <f t="shared" si="8"/>
        <v>595.02773000000002</v>
      </c>
      <c r="J320" s="103">
        <f t="shared" si="9"/>
        <v>578.75226999999995</v>
      </c>
      <c r="K320" s="103">
        <v>595.02773000000002</v>
      </c>
      <c r="L320" s="103">
        <v>578.75226999999995</v>
      </c>
    </row>
    <row r="321" spans="1:12" x14ac:dyDescent="0.25">
      <c r="A321" s="104">
        <v>317</v>
      </c>
      <c r="B321" s="107" t="s">
        <v>1462</v>
      </c>
      <c r="C321" s="108">
        <v>3832382</v>
      </c>
      <c r="D321" s="107" t="s">
        <v>1149</v>
      </c>
      <c r="E321" s="106">
        <v>587.84</v>
      </c>
      <c r="F321" s="102">
        <v>16.275460000000002</v>
      </c>
      <c r="G321" s="106"/>
      <c r="H321" s="106"/>
      <c r="I321" s="103">
        <f t="shared" si="8"/>
        <v>595.97773000000007</v>
      </c>
      <c r="J321" s="103">
        <f t="shared" si="9"/>
        <v>579.70227</v>
      </c>
      <c r="K321" s="103">
        <v>595.97773000000007</v>
      </c>
      <c r="L321" s="103">
        <v>579.70227</v>
      </c>
    </row>
    <row r="322" spans="1:12" x14ac:dyDescent="0.25">
      <c r="A322" s="100">
        <v>318</v>
      </c>
      <c r="B322" s="107" t="s">
        <v>1462</v>
      </c>
      <c r="C322" s="108">
        <v>3832277</v>
      </c>
      <c r="D322" s="107" t="s">
        <v>1150</v>
      </c>
      <c r="E322" s="106">
        <v>591.37</v>
      </c>
      <c r="F322" s="102">
        <v>16.275460000000002</v>
      </c>
      <c r="G322" s="106"/>
      <c r="H322" s="106"/>
      <c r="I322" s="103">
        <f t="shared" si="8"/>
        <v>599.50773000000004</v>
      </c>
      <c r="J322" s="103">
        <f t="shared" si="9"/>
        <v>583.23226999999997</v>
      </c>
      <c r="K322" s="103">
        <v>599.50773000000004</v>
      </c>
      <c r="L322" s="103">
        <v>583.23226999999997</v>
      </c>
    </row>
    <row r="323" spans="1:12" x14ac:dyDescent="0.25">
      <c r="A323" s="104">
        <v>319</v>
      </c>
      <c r="B323" s="107" t="s">
        <v>1427</v>
      </c>
      <c r="C323" s="108">
        <v>3652272</v>
      </c>
      <c r="D323" s="107" t="s">
        <v>1241</v>
      </c>
      <c r="E323" s="106">
        <v>588.16999999999996</v>
      </c>
      <c r="F323" s="102">
        <v>16.275460000000002</v>
      </c>
      <c r="G323" s="106"/>
      <c r="H323" s="106"/>
      <c r="I323" s="103">
        <f t="shared" si="8"/>
        <v>596.30772999999999</v>
      </c>
      <c r="J323" s="103">
        <f t="shared" si="9"/>
        <v>580.03226999999993</v>
      </c>
      <c r="K323" s="103">
        <v>596.30772999999999</v>
      </c>
      <c r="L323" s="103">
        <v>580.03226999999993</v>
      </c>
    </row>
    <row r="324" spans="1:12" x14ac:dyDescent="0.25">
      <c r="A324" s="100">
        <v>320</v>
      </c>
      <c r="B324" s="107" t="s">
        <v>1353</v>
      </c>
      <c r="C324" s="108">
        <v>3722282</v>
      </c>
      <c r="D324" s="107" t="s">
        <v>1557</v>
      </c>
      <c r="E324" s="106">
        <v>587.82000000000005</v>
      </c>
      <c r="F324" s="102">
        <v>16.275460000000002</v>
      </c>
      <c r="G324" s="106"/>
      <c r="H324" s="106"/>
      <c r="I324" s="103">
        <f t="shared" si="8"/>
        <v>595.95773000000008</v>
      </c>
      <c r="J324" s="103">
        <f t="shared" si="9"/>
        <v>579.68227000000002</v>
      </c>
      <c r="K324" s="103">
        <v>595.95773000000008</v>
      </c>
      <c r="L324" s="103">
        <v>579.68227000000002</v>
      </c>
    </row>
    <row r="325" spans="1:12" x14ac:dyDescent="0.25">
      <c r="A325" s="104">
        <v>321</v>
      </c>
      <c r="B325" s="107" t="s">
        <v>1396</v>
      </c>
      <c r="C325" s="108">
        <v>3232352</v>
      </c>
      <c r="D325" s="107" t="s">
        <v>1190</v>
      </c>
      <c r="E325" s="106">
        <v>587.4</v>
      </c>
      <c r="F325" s="102">
        <v>16.275460000000002</v>
      </c>
      <c r="G325" s="106"/>
      <c r="H325" s="106"/>
      <c r="I325" s="103">
        <f t="shared" si="8"/>
        <v>595.53773000000001</v>
      </c>
      <c r="J325" s="103">
        <f t="shared" si="9"/>
        <v>579.26226999999994</v>
      </c>
      <c r="K325" s="103">
        <v>595.53773000000001</v>
      </c>
      <c r="L325" s="103">
        <v>579.26226999999994</v>
      </c>
    </row>
    <row r="326" spans="1:12" x14ac:dyDescent="0.25">
      <c r="A326" s="100">
        <v>322</v>
      </c>
      <c r="B326" s="107" t="s">
        <v>1429</v>
      </c>
      <c r="C326" s="108">
        <v>3562025</v>
      </c>
      <c r="D326" s="107" t="s">
        <v>1204</v>
      </c>
      <c r="E326" s="106">
        <v>580.66999999999996</v>
      </c>
      <c r="F326" s="102">
        <v>16.275460000000002</v>
      </c>
      <c r="G326" s="106"/>
      <c r="H326" s="106"/>
      <c r="I326" s="103">
        <f t="shared" ref="I326:I389" si="10">E326+0.5*F326</f>
        <v>588.80772999999999</v>
      </c>
      <c r="J326" s="103">
        <f t="shared" ref="J326:J389" si="11">E326-0.5*F326</f>
        <v>572.53226999999993</v>
      </c>
      <c r="K326" s="103">
        <v>588.80772999999999</v>
      </c>
      <c r="L326" s="103">
        <v>572.53226999999993</v>
      </c>
    </row>
    <row r="327" spans="1:12" x14ac:dyDescent="0.25">
      <c r="A327" s="104">
        <v>323</v>
      </c>
      <c r="B327" s="107" t="s">
        <v>1333</v>
      </c>
      <c r="C327" s="108">
        <v>3222431</v>
      </c>
      <c r="D327" s="107" t="s">
        <v>1173</v>
      </c>
      <c r="E327" s="106">
        <v>581.33000000000004</v>
      </c>
      <c r="F327" s="102">
        <v>16.275460000000002</v>
      </c>
      <c r="G327" s="106"/>
      <c r="H327" s="106"/>
      <c r="I327" s="103">
        <f t="shared" si="10"/>
        <v>589.46773000000007</v>
      </c>
      <c r="J327" s="103">
        <f t="shared" si="11"/>
        <v>573.19227000000001</v>
      </c>
      <c r="K327" s="103">
        <v>589.46773000000007</v>
      </c>
      <c r="L327" s="103">
        <v>573.19227000000001</v>
      </c>
    </row>
    <row r="328" spans="1:12" x14ac:dyDescent="0.25">
      <c r="A328" s="100">
        <v>324</v>
      </c>
      <c r="B328" s="107" t="s">
        <v>1429</v>
      </c>
      <c r="C328" s="108">
        <v>3562064</v>
      </c>
      <c r="D328" s="107" t="s">
        <v>1206</v>
      </c>
      <c r="E328" s="106">
        <v>589.41</v>
      </c>
      <c r="F328" s="102">
        <v>16.275460000000002</v>
      </c>
      <c r="G328" s="106"/>
      <c r="H328" s="106"/>
      <c r="I328" s="103">
        <f t="shared" si="10"/>
        <v>597.54773</v>
      </c>
      <c r="J328" s="103">
        <f t="shared" si="11"/>
        <v>581.27226999999993</v>
      </c>
      <c r="K328" s="103">
        <v>597.54773</v>
      </c>
      <c r="L328" s="103">
        <v>581.27226999999993</v>
      </c>
    </row>
    <row r="329" spans="1:12" x14ac:dyDescent="0.25">
      <c r="A329" s="104">
        <v>325</v>
      </c>
      <c r="B329" s="107" t="s">
        <v>1416</v>
      </c>
      <c r="C329" s="108">
        <v>3342081</v>
      </c>
      <c r="D329" s="107" t="s">
        <v>1206</v>
      </c>
      <c r="E329" s="106">
        <v>589.80999999999995</v>
      </c>
      <c r="F329" s="102">
        <v>16.275460000000002</v>
      </c>
      <c r="G329" s="106"/>
      <c r="H329" s="106"/>
      <c r="I329" s="103">
        <f t="shared" si="10"/>
        <v>597.94772999999998</v>
      </c>
      <c r="J329" s="103">
        <f t="shared" si="11"/>
        <v>581.67226999999991</v>
      </c>
      <c r="K329" s="103">
        <v>597.94772999999998</v>
      </c>
      <c r="L329" s="103">
        <v>581.67226999999991</v>
      </c>
    </row>
    <row r="330" spans="1:12" x14ac:dyDescent="0.25">
      <c r="A330" s="100">
        <v>326</v>
      </c>
      <c r="B330" s="107" t="s">
        <v>1429</v>
      </c>
      <c r="C330" s="108">
        <v>3562296</v>
      </c>
      <c r="D330" s="107" t="s">
        <v>1252</v>
      </c>
      <c r="E330" s="106">
        <v>583.55999999999995</v>
      </c>
      <c r="F330" s="102">
        <v>16.275460000000002</v>
      </c>
      <c r="G330" s="106"/>
      <c r="H330" s="106"/>
      <c r="I330" s="103">
        <f t="shared" si="10"/>
        <v>591.69772999999998</v>
      </c>
      <c r="J330" s="103">
        <f t="shared" si="11"/>
        <v>575.42226999999991</v>
      </c>
      <c r="K330" s="103">
        <v>591.69772999999998</v>
      </c>
      <c r="L330" s="103">
        <v>575.42226999999991</v>
      </c>
    </row>
    <row r="331" spans="1:12" x14ac:dyDescent="0.25">
      <c r="A331" s="104">
        <v>327</v>
      </c>
      <c r="B331" s="107" t="s">
        <v>1558</v>
      </c>
      <c r="C331" s="108">
        <v>3112033</v>
      </c>
      <c r="D331" s="107" t="s">
        <v>1148</v>
      </c>
      <c r="E331" s="106">
        <v>587.02</v>
      </c>
      <c r="F331" s="102">
        <v>16.275460000000002</v>
      </c>
      <c r="G331" s="106"/>
      <c r="H331" s="106"/>
      <c r="I331" s="103">
        <f t="shared" si="10"/>
        <v>595.15773000000002</v>
      </c>
      <c r="J331" s="103">
        <f t="shared" si="11"/>
        <v>578.88226999999995</v>
      </c>
      <c r="K331" s="103">
        <v>595.15773000000002</v>
      </c>
      <c r="L331" s="103">
        <v>578.88226999999995</v>
      </c>
    </row>
    <row r="332" spans="1:12" x14ac:dyDescent="0.25">
      <c r="A332" s="100">
        <v>328</v>
      </c>
      <c r="B332" s="107" t="s">
        <v>1444</v>
      </c>
      <c r="C332" s="108">
        <v>3732102</v>
      </c>
      <c r="D332" s="107" t="s">
        <v>1178</v>
      </c>
      <c r="E332" s="106">
        <v>596.22</v>
      </c>
      <c r="F332" s="102">
        <v>16.275460000000002</v>
      </c>
      <c r="G332" s="106"/>
      <c r="H332" s="106"/>
      <c r="I332" s="103">
        <f t="shared" si="10"/>
        <v>604.35773000000006</v>
      </c>
      <c r="J332" s="103">
        <f t="shared" si="11"/>
        <v>588.08226999999999</v>
      </c>
      <c r="K332" s="103">
        <v>604.35773000000006</v>
      </c>
      <c r="L332" s="103">
        <v>588.08226999999999</v>
      </c>
    </row>
    <row r="333" spans="1:12" x14ac:dyDescent="0.25">
      <c r="A333" s="104">
        <v>329</v>
      </c>
      <c r="B333" s="107" t="s">
        <v>1462</v>
      </c>
      <c r="C333" s="108">
        <v>3832092</v>
      </c>
      <c r="D333" s="107" t="s">
        <v>1259</v>
      </c>
      <c r="E333" s="106">
        <v>589.12</v>
      </c>
      <c r="F333" s="102">
        <v>16.275460000000002</v>
      </c>
      <c r="G333" s="106"/>
      <c r="H333" s="106"/>
      <c r="I333" s="103">
        <f t="shared" si="10"/>
        <v>597.25773000000004</v>
      </c>
      <c r="J333" s="103">
        <f t="shared" si="11"/>
        <v>580.98226999999997</v>
      </c>
      <c r="K333" s="103">
        <v>597.25773000000004</v>
      </c>
      <c r="L333" s="103">
        <v>580.98226999999997</v>
      </c>
    </row>
    <row r="334" spans="1:12" x14ac:dyDescent="0.25">
      <c r="A334" s="100">
        <v>330</v>
      </c>
      <c r="B334" s="107" t="s">
        <v>1416</v>
      </c>
      <c r="C334" s="108">
        <v>3342026</v>
      </c>
      <c r="D334" s="107" t="s">
        <v>1201</v>
      </c>
      <c r="E334" s="106">
        <v>581.04</v>
      </c>
      <c r="F334" s="102">
        <v>16.275460000000002</v>
      </c>
      <c r="G334" s="106"/>
      <c r="H334" s="106"/>
      <c r="I334" s="103">
        <f t="shared" si="10"/>
        <v>589.17773</v>
      </c>
      <c r="J334" s="103">
        <f t="shared" si="11"/>
        <v>572.90226999999993</v>
      </c>
      <c r="K334" s="103">
        <v>589.17773</v>
      </c>
      <c r="L334" s="103">
        <v>572.90226999999993</v>
      </c>
    </row>
    <row r="335" spans="1:12" x14ac:dyDescent="0.25">
      <c r="A335" s="104">
        <v>331</v>
      </c>
      <c r="B335" s="107" t="s">
        <v>1484</v>
      </c>
      <c r="C335" s="108">
        <v>3522024</v>
      </c>
      <c r="D335" s="107" t="s">
        <v>1156</v>
      </c>
      <c r="E335" s="106">
        <v>582.66999999999996</v>
      </c>
      <c r="F335" s="102">
        <v>16.275460000000002</v>
      </c>
      <c r="G335" s="106"/>
      <c r="H335" s="106"/>
      <c r="I335" s="103">
        <f t="shared" si="10"/>
        <v>590.80772999999999</v>
      </c>
      <c r="J335" s="103">
        <f t="shared" si="11"/>
        <v>574.53226999999993</v>
      </c>
      <c r="K335" s="103">
        <v>590.80772999999999</v>
      </c>
      <c r="L335" s="103">
        <v>574.53226999999993</v>
      </c>
    </row>
    <row r="336" spans="1:12" x14ac:dyDescent="0.25">
      <c r="A336" s="100">
        <v>332</v>
      </c>
      <c r="B336" s="107" t="s">
        <v>1520</v>
      </c>
      <c r="C336" s="108">
        <v>3642111</v>
      </c>
      <c r="D336" s="107" t="s">
        <v>1237</v>
      </c>
      <c r="E336" s="106">
        <v>585.28</v>
      </c>
      <c r="F336" s="102">
        <v>16.275460000000002</v>
      </c>
      <c r="G336" s="106"/>
      <c r="H336" s="106"/>
      <c r="I336" s="103">
        <f t="shared" si="10"/>
        <v>593.41773000000001</v>
      </c>
      <c r="J336" s="103">
        <f t="shared" si="11"/>
        <v>577.14226999999994</v>
      </c>
      <c r="K336" s="103">
        <v>593.41773000000001</v>
      </c>
      <c r="L336" s="103">
        <v>577.14226999999994</v>
      </c>
    </row>
    <row r="337" spans="1:12" x14ac:dyDescent="0.25">
      <c r="A337" s="104">
        <v>333</v>
      </c>
      <c r="B337" s="107" t="s">
        <v>1396</v>
      </c>
      <c r="C337" s="108">
        <v>3232367</v>
      </c>
      <c r="D337" s="107" t="s">
        <v>1191</v>
      </c>
      <c r="E337" s="106">
        <v>584.29</v>
      </c>
      <c r="F337" s="102">
        <v>16.275460000000002</v>
      </c>
      <c r="G337" s="106"/>
      <c r="H337" s="106"/>
      <c r="I337" s="103">
        <f t="shared" si="10"/>
        <v>592.42773</v>
      </c>
      <c r="J337" s="103">
        <f t="shared" si="11"/>
        <v>576.15226999999993</v>
      </c>
      <c r="K337" s="103">
        <v>592.42773</v>
      </c>
      <c r="L337" s="103">
        <v>576.15226999999993</v>
      </c>
    </row>
    <row r="338" spans="1:12" x14ac:dyDescent="0.25">
      <c r="A338" s="100">
        <v>334</v>
      </c>
      <c r="B338" s="107" t="s">
        <v>1308</v>
      </c>
      <c r="C338" s="108">
        <v>1412117</v>
      </c>
      <c r="D338" s="107" t="s">
        <v>1151</v>
      </c>
      <c r="E338" s="106">
        <v>586.83000000000004</v>
      </c>
      <c r="F338" s="102">
        <v>16.275460000000002</v>
      </c>
      <c r="G338" s="106"/>
      <c r="H338" s="106"/>
      <c r="I338" s="103">
        <f t="shared" si="10"/>
        <v>594.96773000000007</v>
      </c>
      <c r="J338" s="103">
        <f t="shared" si="11"/>
        <v>578.69227000000001</v>
      </c>
      <c r="K338" s="103">
        <v>594.96773000000007</v>
      </c>
      <c r="L338" s="103">
        <v>578.69227000000001</v>
      </c>
    </row>
    <row r="339" spans="1:12" x14ac:dyDescent="0.25">
      <c r="A339" s="104">
        <v>335</v>
      </c>
      <c r="B339" s="107" t="s">
        <v>1308</v>
      </c>
      <c r="C339" s="108">
        <v>1412013</v>
      </c>
      <c r="D339" s="107" t="s">
        <v>1155</v>
      </c>
      <c r="E339" s="106">
        <v>584.66</v>
      </c>
      <c r="F339" s="102">
        <v>16.275460000000002</v>
      </c>
      <c r="G339" s="106"/>
      <c r="H339" s="106"/>
      <c r="I339" s="103">
        <f t="shared" si="10"/>
        <v>592.79773</v>
      </c>
      <c r="J339" s="103">
        <f t="shared" si="11"/>
        <v>576.52226999999993</v>
      </c>
      <c r="K339" s="103">
        <v>592.79773</v>
      </c>
      <c r="L339" s="103">
        <v>576.52226999999993</v>
      </c>
    </row>
    <row r="340" spans="1:12" x14ac:dyDescent="0.25">
      <c r="A340" s="100">
        <v>336</v>
      </c>
      <c r="B340" s="107" t="s">
        <v>1416</v>
      </c>
      <c r="C340" s="108">
        <v>3342394</v>
      </c>
      <c r="D340" s="107" t="s">
        <v>1184</v>
      </c>
      <c r="E340" s="106">
        <v>578.35</v>
      </c>
      <c r="F340" s="102">
        <v>16.275460000000002</v>
      </c>
      <c r="G340" s="106"/>
      <c r="H340" s="106"/>
      <c r="I340" s="103">
        <f t="shared" si="10"/>
        <v>586.48773000000006</v>
      </c>
      <c r="J340" s="103">
        <f t="shared" si="11"/>
        <v>570.21226999999999</v>
      </c>
      <c r="K340" s="103">
        <v>586.48773000000006</v>
      </c>
      <c r="L340" s="103">
        <v>570.21226999999999</v>
      </c>
    </row>
    <row r="341" spans="1:12" x14ac:dyDescent="0.25">
      <c r="A341" s="104">
        <v>337</v>
      </c>
      <c r="B341" s="107" t="s">
        <v>1394</v>
      </c>
      <c r="C341" s="108">
        <v>3622362</v>
      </c>
      <c r="D341" s="107" t="s">
        <v>1559</v>
      </c>
      <c r="E341" s="106">
        <v>580.11</v>
      </c>
      <c r="F341" s="102">
        <v>16.275460000000002</v>
      </c>
      <c r="G341" s="106"/>
      <c r="H341" s="106"/>
      <c r="I341" s="103">
        <f t="shared" si="10"/>
        <v>588.24773000000005</v>
      </c>
      <c r="J341" s="103">
        <f t="shared" si="11"/>
        <v>571.97226999999998</v>
      </c>
      <c r="K341" s="103">
        <v>588.24773000000005</v>
      </c>
      <c r="L341" s="103">
        <v>571.97226999999998</v>
      </c>
    </row>
    <row r="342" spans="1:12" x14ac:dyDescent="0.25">
      <c r="A342" s="100">
        <v>338</v>
      </c>
      <c r="B342" s="107" t="s">
        <v>1354</v>
      </c>
      <c r="C342" s="108">
        <v>3512142</v>
      </c>
      <c r="D342" s="107" t="s">
        <v>1223</v>
      </c>
      <c r="E342" s="106">
        <v>582.32000000000005</v>
      </c>
      <c r="F342" s="102">
        <v>16.275460000000002</v>
      </c>
      <c r="G342" s="106"/>
      <c r="H342" s="106"/>
      <c r="I342" s="103">
        <f t="shared" si="10"/>
        <v>590.45773000000008</v>
      </c>
      <c r="J342" s="103">
        <f t="shared" si="11"/>
        <v>574.18227000000002</v>
      </c>
      <c r="K342" s="103">
        <v>590.45773000000008</v>
      </c>
      <c r="L342" s="103">
        <v>574.18227000000002</v>
      </c>
    </row>
    <row r="343" spans="1:12" x14ac:dyDescent="0.25">
      <c r="A343" s="104">
        <v>339</v>
      </c>
      <c r="B343" s="107" t="s">
        <v>1353</v>
      </c>
      <c r="C343" s="108">
        <v>3722324</v>
      </c>
      <c r="D343" s="107" t="s">
        <v>1560</v>
      </c>
      <c r="E343" s="106">
        <v>578.15</v>
      </c>
      <c r="F343" s="102">
        <v>16.275460000000002</v>
      </c>
      <c r="G343" s="106"/>
      <c r="H343" s="106"/>
      <c r="I343" s="103">
        <f t="shared" si="10"/>
        <v>586.28773000000001</v>
      </c>
      <c r="J343" s="103">
        <f t="shared" si="11"/>
        <v>570.01226999999994</v>
      </c>
      <c r="K343" s="103">
        <v>586.28773000000001</v>
      </c>
      <c r="L343" s="103">
        <v>570.01226999999994</v>
      </c>
    </row>
    <row r="344" spans="1:12" x14ac:dyDescent="0.25">
      <c r="A344" s="100">
        <v>340</v>
      </c>
      <c r="B344" s="107" t="s">
        <v>1462</v>
      </c>
      <c r="C344" s="108">
        <v>3832215</v>
      </c>
      <c r="D344" s="107" t="s">
        <v>1173</v>
      </c>
      <c r="E344" s="106">
        <v>582.05999999999995</v>
      </c>
      <c r="F344" s="102">
        <v>16.275460000000002</v>
      </c>
      <c r="G344" s="106"/>
      <c r="H344" s="106"/>
      <c r="I344" s="103">
        <f t="shared" si="10"/>
        <v>590.19772999999998</v>
      </c>
      <c r="J344" s="103">
        <f t="shared" si="11"/>
        <v>573.92226999999991</v>
      </c>
      <c r="K344" s="103">
        <v>590.19772999999998</v>
      </c>
      <c r="L344" s="103">
        <v>573.92226999999991</v>
      </c>
    </row>
    <row r="345" spans="1:12" x14ac:dyDescent="0.25">
      <c r="A345" s="104">
        <v>341</v>
      </c>
      <c r="B345" s="107" t="s">
        <v>1416</v>
      </c>
      <c r="C345" s="108">
        <v>3342316</v>
      </c>
      <c r="D345" s="107" t="s">
        <v>1214</v>
      </c>
      <c r="E345" s="106">
        <v>584.47</v>
      </c>
      <c r="F345" s="102">
        <v>16.275460000000002</v>
      </c>
      <c r="G345" s="106"/>
      <c r="H345" s="106"/>
      <c r="I345" s="103">
        <f t="shared" si="10"/>
        <v>592.60773000000006</v>
      </c>
      <c r="J345" s="103">
        <f t="shared" si="11"/>
        <v>576.33226999999999</v>
      </c>
      <c r="K345" s="103">
        <v>592.60773000000006</v>
      </c>
      <c r="L345" s="103">
        <v>576.33226999999999</v>
      </c>
    </row>
    <row r="346" spans="1:12" x14ac:dyDescent="0.25">
      <c r="A346" s="100">
        <v>342</v>
      </c>
      <c r="B346" s="107" t="s">
        <v>1354</v>
      </c>
      <c r="C346" s="108">
        <v>3512092</v>
      </c>
      <c r="D346" s="107" t="s">
        <v>1212</v>
      </c>
      <c r="E346" s="106">
        <v>583.92999999999995</v>
      </c>
      <c r="F346" s="102">
        <v>16.275460000000002</v>
      </c>
      <c r="G346" s="106"/>
      <c r="H346" s="106"/>
      <c r="I346" s="103">
        <f t="shared" si="10"/>
        <v>592.06772999999998</v>
      </c>
      <c r="J346" s="103">
        <f t="shared" si="11"/>
        <v>575.79226999999992</v>
      </c>
      <c r="K346" s="103">
        <v>592.06772999999998</v>
      </c>
      <c r="L346" s="103">
        <v>575.79226999999992</v>
      </c>
    </row>
    <row r="347" spans="1:12" x14ac:dyDescent="0.25">
      <c r="A347" s="104">
        <v>343</v>
      </c>
      <c r="B347" s="107" t="s">
        <v>1462</v>
      </c>
      <c r="C347" s="108">
        <v>3832173</v>
      </c>
      <c r="D347" s="107" t="s">
        <v>1261</v>
      </c>
      <c r="E347" s="106">
        <v>578.29</v>
      </c>
      <c r="F347" s="102">
        <v>16.275460000000002</v>
      </c>
      <c r="G347" s="106"/>
      <c r="H347" s="106"/>
      <c r="I347" s="103">
        <f t="shared" si="10"/>
        <v>586.42773</v>
      </c>
      <c r="J347" s="103">
        <f t="shared" si="11"/>
        <v>570.15226999999993</v>
      </c>
      <c r="K347" s="103">
        <v>586.42773</v>
      </c>
      <c r="L347" s="103">
        <v>570.15226999999993</v>
      </c>
    </row>
    <row r="348" spans="1:12" x14ac:dyDescent="0.25">
      <c r="A348" s="100">
        <v>344</v>
      </c>
      <c r="B348" s="107" t="s">
        <v>1520</v>
      </c>
      <c r="C348" s="108">
        <v>3642076</v>
      </c>
      <c r="D348" s="107" t="s">
        <v>1235</v>
      </c>
      <c r="E348" s="106">
        <v>591.16</v>
      </c>
      <c r="F348" s="102">
        <v>16.275460000000002</v>
      </c>
      <c r="G348" s="106"/>
      <c r="H348" s="106"/>
      <c r="I348" s="103">
        <f t="shared" si="10"/>
        <v>599.29773</v>
      </c>
      <c r="J348" s="103">
        <f t="shared" si="11"/>
        <v>583.02226999999993</v>
      </c>
      <c r="K348" s="103">
        <v>599.29773</v>
      </c>
      <c r="L348" s="103">
        <v>583.02226999999993</v>
      </c>
    </row>
    <row r="349" spans="1:12" x14ac:dyDescent="0.25">
      <c r="A349" s="104">
        <v>345</v>
      </c>
      <c r="B349" s="107" t="s">
        <v>1318</v>
      </c>
      <c r="C349" s="108">
        <v>3812153</v>
      </c>
      <c r="D349" s="107" t="s">
        <v>1260</v>
      </c>
      <c r="E349" s="106">
        <v>582.02</v>
      </c>
      <c r="F349" s="102">
        <v>16.275460000000002</v>
      </c>
      <c r="G349" s="106"/>
      <c r="H349" s="106"/>
      <c r="I349" s="103">
        <f t="shared" si="10"/>
        <v>590.15773000000002</v>
      </c>
      <c r="J349" s="103">
        <f t="shared" si="11"/>
        <v>573.88226999999995</v>
      </c>
      <c r="K349" s="103">
        <v>590.15773000000002</v>
      </c>
      <c r="L349" s="103">
        <v>573.88226999999995</v>
      </c>
    </row>
    <row r="350" spans="1:12" x14ac:dyDescent="0.25">
      <c r="A350" s="100">
        <v>346</v>
      </c>
      <c r="B350" s="107" t="s">
        <v>1449</v>
      </c>
      <c r="C350" s="108">
        <v>3852026</v>
      </c>
      <c r="D350" s="107" t="s">
        <v>1150</v>
      </c>
      <c r="E350" s="106">
        <v>583.42999999999995</v>
      </c>
      <c r="F350" s="102">
        <v>16.275460000000002</v>
      </c>
      <c r="G350" s="106"/>
      <c r="H350" s="106"/>
      <c r="I350" s="103">
        <f t="shared" si="10"/>
        <v>591.56772999999998</v>
      </c>
      <c r="J350" s="103">
        <f t="shared" si="11"/>
        <v>575.29226999999992</v>
      </c>
      <c r="K350" s="103">
        <v>591.56772999999998</v>
      </c>
      <c r="L350" s="103">
        <v>575.29226999999992</v>
      </c>
    </row>
    <row r="351" spans="1:12" x14ac:dyDescent="0.25">
      <c r="A351" s="104">
        <v>347</v>
      </c>
      <c r="B351" s="107" t="s">
        <v>1427</v>
      </c>
      <c r="C351" s="108">
        <v>3652287</v>
      </c>
      <c r="D351" s="107" t="s">
        <v>1242</v>
      </c>
      <c r="E351" s="106">
        <v>584.12</v>
      </c>
      <c r="F351" s="102">
        <v>16.275460000000002</v>
      </c>
      <c r="G351" s="106"/>
      <c r="H351" s="106"/>
      <c r="I351" s="103">
        <f t="shared" si="10"/>
        <v>592.25773000000004</v>
      </c>
      <c r="J351" s="103">
        <f t="shared" si="11"/>
        <v>575.98226999999997</v>
      </c>
      <c r="K351" s="103">
        <v>592.25773000000004</v>
      </c>
      <c r="L351" s="103">
        <v>575.98226999999997</v>
      </c>
    </row>
    <row r="352" spans="1:12" x14ac:dyDescent="0.25">
      <c r="A352" s="100">
        <v>348</v>
      </c>
      <c r="B352" s="107" t="s">
        <v>1429</v>
      </c>
      <c r="C352" s="108">
        <v>3562211</v>
      </c>
      <c r="D352" s="107" t="s">
        <v>1561</v>
      </c>
      <c r="E352" s="106">
        <v>583.03</v>
      </c>
      <c r="F352" s="102">
        <v>16.275460000000002</v>
      </c>
      <c r="G352" s="106"/>
      <c r="H352" s="106"/>
      <c r="I352" s="103">
        <f t="shared" si="10"/>
        <v>591.16773000000001</v>
      </c>
      <c r="J352" s="103">
        <f t="shared" si="11"/>
        <v>574.89226999999994</v>
      </c>
      <c r="K352" s="103">
        <v>591.16773000000001</v>
      </c>
      <c r="L352" s="103">
        <v>574.89226999999994</v>
      </c>
    </row>
    <row r="353" spans="1:12" x14ac:dyDescent="0.25">
      <c r="A353" s="104">
        <v>349</v>
      </c>
      <c r="B353" s="107" t="s">
        <v>1396</v>
      </c>
      <c r="C353" s="108">
        <v>3232093</v>
      </c>
      <c r="D353" s="107" t="s">
        <v>1177</v>
      </c>
      <c r="E353" s="106">
        <v>581.63</v>
      </c>
      <c r="F353" s="102">
        <v>16.275460000000002</v>
      </c>
      <c r="G353" s="106"/>
      <c r="H353" s="106"/>
      <c r="I353" s="103">
        <f t="shared" si="10"/>
        <v>589.76773000000003</v>
      </c>
      <c r="J353" s="103">
        <f t="shared" si="11"/>
        <v>573.49226999999996</v>
      </c>
      <c r="K353" s="103">
        <v>589.76773000000003</v>
      </c>
      <c r="L353" s="103">
        <v>573.49226999999996</v>
      </c>
    </row>
    <row r="354" spans="1:12" x14ac:dyDescent="0.25">
      <c r="A354" s="100">
        <v>350</v>
      </c>
      <c r="B354" s="107" t="s">
        <v>1394</v>
      </c>
      <c r="C354" s="108">
        <v>3622296</v>
      </c>
      <c r="D354" s="107" t="s">
        <v>1551</v>
      </c>
      <c r="E354" s="106">
        <v>580.58000000000004</v>
      </c>
      <c r="F354" s="102">
        <v>16.275460000000002</v>
      </c>
      <c r="G354" s="106"/>
      <c r="H354" s="106"/>
      <c r="I354" s="103">
        <f t="shared" si="10"/>
        <v>588.71773000000007</v>
      </c>
      <c r="J354" s="103">
        <f t="shared" si="11"/>
        <v>572.44227000000001</v>
      </c>
      <c r="K354" s="103">
        <v>588.71773000000007</v>
      </c>
      <c r="L354" s="103">
        <v>572.44227000000001</v>
      </c>
    </row>
    <row r="355" spans="1:12" x14ac:dyDescent="0.25">
      <c r="A355" s="104">
        <v>351</v>
      </c>
      <c r="B355" s="107" t="s">
        <v>1449</v>
      </c>
      <c r="C355" s="108">
        <v>3852081</v>
      </c>
      <c r="D355" s="107" t="s">
        <v>1147</v>
      </c>
      <c r="E355" s="106">
        <v>583.21</v>
      </c>
      <c r="F355" s="102">
        <v>16.275460000000002</v>
      </c>
      <c r="G355" s="106"/>
      <c r="H355" s="106"/>
      <c r="I355" s="103">
        <f t="shared" si="10"/>
        <v>591.34773000000007</v>
      </c>
      <c r="J355" s="103">
        <f t="shared" si="11"/>
        <v>575.07227</v>
      </c>
      <c r="K355" s="103">
        <v>591.34773000000007</v>
      </c>
      <c r="L355" s="103">
        <v>575.07227</v>
      </c>
    </row>
    <row r="356" spans="1:12" x14ac:dyDescent="0.25">
      <c r="A356" s="100">
        <v>352</v>
      </c>
      <c r="B356" s="107" t="s">
        <v>1376</v>
      </c>
      <c r="C356" s="108">
        <v>5412195</v>
      </c>
      <c r="D356" s="107" t="s">
        <v>1153</v>
      </c>
      <c r="E356" s="106">
        <v>587.66</v>
      </c>
      <c r="F356" s="102">
        <v>16.275460000000002</v>
      </c>
      <c r="G356" s="106"/>
      <c r="H356" s="106"/>
      <c r="I356" s="103">
        <f t="shared" si="10"/>
        <v>595.79773</v>
      </c>
      <c r="J356" s="103">
        <f t="shared" si="11"/>
        <v>579.52226999999993</v>
      </c>
      <c r="K356" s="103">
        <v>595.79773</v>
      </c>
      <c r="L356" s="103">
        <v>579.52226999999993</v>
      </c>
    </row>
    <row r="357" spans="1:12" x14ac:dyDescent="0.25">
      <c r="A357" s="104">
        <v>353</v>
      </c>
      <c r="B357" s="107" t="s">
        <v>1429</v>
      </c>
      <c r="C357" s="108">
        <v>3562265</v>
      </c>
      <c r="D357" s="107" t="s">
        <v>1260</v>
      </c>
      <c r="E357" s="106">
        <v>577.61</v>
      </c>
      <c r="F357" s="102">
        <v>16.275460000000002</v>
      </c>
      <c r="G357" s="106"/>
      <c r="H357" s="106"/>
      <c r="I357" s="103">
        <f t="shared" si="10"/>
        <v>585.74773000000005</v>
      </c>
      <c r="J357" s="103">
        <f t="shared" si="11"/>
        <v>569.47226999999998</v>
      </c>
      <c r="K357" s="103">
        <v>585.74773000000005</v>
      </c>
      <c r="L357" s="103">
        <v>569.47226999999998</v>
      </c>
    </row>
    <row r="358" spans="1:12" x14ac:dyDescent="0.25">
      <c r="A358" s="100">
        <v>354</v>
      </c>
      <c r="B358" s="107" t="s">
        <v>1462</v>
      </c>
      <c r="C358" s="108">
        <v>3832447</v>
      </c>
      <c r="D358" s="107" t="s">
        <v>1266</v>
      </c>
      <c r="E358" s="106">
        <v>576.71</v>
      </c>
      <c r="F358" s="102">
        <v>16.275460000000002</v>
      </c>
      <c r="G358" s="106"/>
      <c r="H358" s="106"/>
      <c r="I358" s="103">
        <f t="shared" si="10"/>
        <v>584.84773000000007</v>
      </c>
      <c r="J358" s="103">
        <f t="shared" si="11"/>
        <v>568.57227</v>
      </c>
      <c r="K358" s="103">
        <v>584.84773000000007</v>
      </c>
      <c r="L358" s="103">
        <v>568.57227</v>
      </c>
    </row>
    <row r="359" spans="1:12" x14ac:dyDescent="0.25">
      <c r="A359" s="104">
        <v>355</v>
      </c>
      <c r="B359" s="107" t="s">
        <v>1462</v>
      </c>
      <c r="C359" s="108">
        <v>3832262</v>
      </c>
      <c r="D359" s="107" t="s">
        <v>1263</v>
      </c>
      <c r="E359" s="106">
        <v>577.26</v>
      </c>
      <c r="F359" s="102">
        <v>16.275460000000002</v>
      </c>
      <c r="G359" s="106"/>
      <c r="H359" s="106"/>
      <c r="I359" s="103">
        <f t="shared" si="10"/>
        <v>585.39773000000002</v>
      </c>
      <c r="J359" s="103">
        <f t="shared" si="11"/>
        <v>569.12226999999996</v>
      </c>
      <c r="K359" s="103">
        <v>585.39773000000002</v>
      </c>
      <c r="L359" s="103">
        <v>569.12226999999996</v>
      </c>
    </row>
    <row r="360" spans="1:12" x14ac:dyDescent="0.25">
      <c r="A360" s="100">
        <v>356</v>
      </c>
      <c r="B360" s="107" t="s">
        <v>1396</v>
      </c>
      <c r="C360" s="108">
        <v>3232344</v>
      </c>
      <c r="D360" s="107" t="s">
        <v>1189</v>
      </c>
      <c r="E360" s="106">
        <v>585.92999999999995</v>
      </c>
      <c r="F360" s="102">
        <v>16.275460000000002</v>
      </c>
      <c r="G360" s="106"/>
      <c r="H360" s="106"/>
      <c r="I360" s="103">
        <f t="shared" si="10"/>
        <v>594.06772999999998</v>
      </c>
      <c r="J360" s="103">
        <f t="shared" si="11"/>
        <v>577.79226999999992</v>
      </c>
      <c r="K360" s="103">
        <v>594.06772999999998</v>
      </c>
      <c r="L360" s="103">
        <v>577.79226999999992</v>
      </c>
    </row>
    <row r="361" spans="1:12" x14ac:dyDescent="0.25">
      <c r="A361" s="104">
        <v>357</v>
      </c>
      <c r="B361" s="107" t="s">
        <v>1429</v>
      </c>
      <c r="C361" s="108">
        <v>3562017</v>
      </c>
      <c r="D361" s="107" t="s">
        <v>1201</v>
      </c>
      <c r="E361" s="106">
        <v>580.11</v>
      </c>
      <c r="F361" s="102">
        <v>16.275460000000002</v>
      </c>
      <c r="G361" s="106"/>
      <c r="H361" s="106"/>
      <c r="I361" s="103">
        <f t="shared" si="10"/>
        <v>588.24773000000005</v>
      </c>
      <c r="J361" s="103">
        <f t="shared" si="11"/>
        <v>571.97226999999998</v>
      </c>
      <c r="K361" s="103">
        <v>588.24773000000005</v>
      </c>
      <c r="L361" s="103">
        <v>571.97226999999998</v>
      </c>
    </row>
    <row r="362" spans="1:12" x14ac:dyDescent="0.25">
      <c r="A362" s="100">
        <v>358</v>
      </c>
      <c r="B362" s="107" t="s">
        <v>1318</v>
      </c>
      <c r="C362" s="108">
        <v>3812137</v>
      </c>
      <c r="D362" s="107" t="s">
        <v>1562</v>
      </c>
      <c r="E362" s="106">
        <v>588.91</v>
      </c>
      <c r="F362" s="102">
        <v>16.275460000000002</v>
      </c>
      <c r="G362" s="106"/>
      <c r="H362" s="106"/>
      <c r="I362" s="103">
        <f t="shared" si="10"/>
        <v>597.04773</v>
      </c>
      <c r="J362" s="103">
        <f t="shared" si="11"/>
        <v>580.77226999999993</v>
      </c>
      <c r="K362" s="103">
        <v>597.04773</v>
      </c>
      <c r="L362" s="103">
        <v>580.77226999999993</v>
      </c>
    </row>
    <row r="363" spans="1:12" x14ac:dyDescent="0.25">
      <c r="A363" s="104">
        <v>359</v>
      </c>
      <c r="B363" s="107" t="s">
        <v>1462</v>
      </c>
      <c r="C363" s="108">
        <v>3832111</v>
      </c>
      <c r="D363" s="107" t="s">
        <v>1563</v>
      </c>
      <c r="E363" s="106">
        <v>580.71</v>
      </c>
      <c r="F363" s="102">
        <v>16.275460000000002</v>
      </c>
      <c r="G363" s="106"/>
      <c r="H363" s="106"/>
      <c r="I363" s="103">
        <f t="shared" si="10"/>
        <v>588.84773000000007</v>
      </c>
      <c r="J363" s="103">
        <f t="shared" si="11"/>
        <v>572.57227</v>
      </c>
      <c r="K363" s="103">
        <v>588.84773000000007</v>
      </c>
      <c r="L363" s="103">
        <v>572.57227</v>
      </c>
    </row>
    <row r="364" spans="1:12" x14ac:dyDescent="0.25">
      <c r="A364" s="100">
        <v>360</v>
      </c>
      <c r="B364" s="107" t="s">
        <v>1394</v>
      </c>
      <c r="C364" s="108">
        <v>3622041</v>
      </c>
      <c r="D364" s="107" t="s">
        <v>1564</v>
      </c>
      <c r="E364" s="106">
        <v>580.78</v>
      </c>
      <c r="F364" s="102">
        <v>16.275460000000002</v>
      </c>
      <c r="G364" s="106"/>
      <c r="H364" s="106"/>
      <c r="I364" s="103">
        <f t="shared" si="10"/>
        <v>588.91773000000001</v>
      </c>
      <c r="J364" s="103">
        <f t="shared" si="11"/>
        <v>572.64226999999994</v>
      </c>
      <c r="K364" s="103">
        <v>588.91773000000001</v>
      </c>
      <c r="L364" s="103">
        <v>572.64226999999994</v>
      </c>
    </row>
    <row r="365" spans="1:12" x14ac:dyDescent="0.25">
      <c r="A365" s="104">
        <v>361</v>
      </c>
      <c r="B365" s="107" t="s">
        <v>1444</v>
      </c>
      <c r="C365" s="108">
        <v>3732253</v>
      </c>
      <c r="D365" s="107" t="s">
        <v>1252</v>
      </c>
      <c r="E365" s="106">
        <v>582.12</v>
      </c>
      <c r="F365" s="102">
        <v>16.275460000000002</v>
      </c>
      <c r="G365" s="106"/>
      <c r="H365" s="106"/>
      <c r="I365" s="103">
        <f t="shared" si="10"/>
        <v>590.25773000000004</v>
      </c>
      <c r="J365" s="103">
        <f t="shared" si="11"/>
        <v>573.98226999999997</v>
      </c>
      <c r="K365" s="103">
        <v>590.25773000000004</v>
      </c>
      <c r="L365" s="103">
        <v>573.98226999999997</v>
      </c>
    </row>
    <row r="366" spans="1:12" x14ac:dyDescent="0.25">
      <c r="A366" s="100">
        <v>362</v>
      </c>
      <c r="B366" s="107" t="s">
        <v>1429</v>
      </c>
      <c r="C366" s="108">
        <v>3562056</v>
      </c>
      <c r="D366" s="107" t="s">
        <v>1182</v>
      </c>
      <c r="E366" s="106">
        <v>579.09</v>
      </c>
      <c r="F366" s="102">
        <v>16.275460000000002</v>
      </c>
      <c r="G366" s="106"/>
      <c r="H366" s="106"/>
      <c r="I366" s="103">
        <f t="shared" si="10"/>
        <v>587.22773000000007</v>
      </c>
      <c r="J366" s="103">
        <f t="shared" si="11"/>
        <v>570.95227</v>
      </c>
      <c r="K366" s="103">
        <v>587.22773000000007</v>
      </c>
      <c r="L366" s="103">
        <v>570.95227</v>
      </c>
    </row>
    <row r="367" spans="1:12" x14ac:dyDescent="0.25">
      <c r="A367" s="104">
        <v>363</v>
      </c>
      <c r="B367" s="107" t="s">
        <v>1427</v>
      </c>
      <c r="C367" s="108">
        <v>3652217</v>
      </c>
      <c r="D367" s="107" t="s">
        <v>1173</v>
      </c>
      <c r="E367" s="106">
        <v>576.71</v>
      </c>
      <c r="F367" s="102">
        <v>16.275460000000002</v>
      </c>
      <c r="G367" s="106"/>
      <c r="H367" s="106"/>
      <c r="I367" s="103">
        <f t="shared" si="10"/>
        <v>584.84773000000007</v>
      </c>
      <c r="J367" s="103">
        <f t="shared" si="11"/>
        <v>568.57227</v>
      </c>
      <c r="K367" s="103">
        <v>584.84773000000007</v>
      </c>
      <c r="L367" s="103">
        <v>568.57227</v>
      </c>
    </row>
    <row r="368" spans="1:12" x14ac:dyDescent="0.25">
      <c r="A368" s="100">
        <v>364</v>
      </c>
      <c r="B368" s="107" t="s">
        <v>1429</v>
      </c>
      <c r="C368" s="108">
        <v>3562435</v>
      </c>
      <c r="D368" s="107" t="s">
        <v>1187</v>
      </c>
      <c r="E368" s="106">
        <v>573.80999999999995</v>
      </c>
      <c r="F368" s="102">
        <v>16.275460000000002</v>
      </c>
      <c r="G368" s="106"/>
      <c r="H368" s="106"/>
      <c r="I368" s="103">
        <f t="shared" si="10"/>
        <v>581.94772999999998</v>
      </c>
      <c r="J368" s="103">
        <f t="shared" si="11"/>
        <v>565.67226999999991</v>
      </c>
      <c r="K368" s="103">
        <v>581.94772999999998</v>
      </c>
      <c r="L368" s="103">
        <v>565.67226999999991</v>
      </c>
    </row>
    <row r="369" spans="1:12" x14ac:dyDescent="0.25">
      <c r="A369" s="104">
        <v>365</v>
      </c>
      <c r="B369" s="107" t="s">
        <v>1396</v>
      </c>
      <c r="C369" s="108">
        <v>3232336</v>
      </c>
      <c r="D369" s="107" t="s">
        <v>1188</v>
      </c>
      <c r="E369" s="106">
        <v>583.27</v>
      </c>
      <c r="F369" s="102">
        <v>16.275460000000002</v>
      </c>
      <c r="G369" s="106"/>
      <c r="H369" s="106"/>
      <c r="I369" s="103">
        <f t="shared" si="10"/>
        <v>591.40773000000002</v>
      </c>
      <c r="J369" s="103">
        <f t="shared" si="11"/>
        <v>575.13226999999995</v>
      </c>
      <c r="K369" s="103">
        <v>591.40773000000002</v>
      </c>
      <c r="L369" s="103">
        <v>575.13226999999995</v>
      </c>
    </row>
    <row r="370" spans="1:12" x14ac:dyDescent="0.25">
      <c r="A370" s="100">
        <v>366</v>
      </c>
      <c r="B370" s="107" t="s">
        <v>1429</v>
      </c>
      <c r="C370" s="108">
        <v>3562346</v>
      </c>
      <c r="D370" s="107" t="s">
        <v>1181</v>
      </c>
      <c r="E370" s="106">
        <v>577.5</v>
      </c>
      <c r="F370" s="102">
        <v>16.275460000000002</v>
      </c>
      <c r="G370" s="106"/>
      <c r="H370" s="106"/>
      <c r="I370" s="103">
        <f t="shared" si="10"/>
        <v>585.63773000000003</v>
      </c>
      <c r="J370" s="103">
        <f t="shared" si="11"/>
        <v>569.36226999999997</v>
      </c>
      <c r="K370" s="103">
        <v>585.63773000000003</v>
      </c>
      <c r="L370" s="103">
        <v>569.36226999999997</v>
      </c>
    </row>
    <row r="371" spans="1:12" x14ac:dyDescent="0.25">
      <c r="A371" s="104">
        <v>367</v>
      </c>
      <c r="B371" s="107" t="s">
        <v>1306</v>
      </c>
      <c r="C371" s="108">
        <v>1212107</v>
      </c>
      <c r="D371" s="107" t="s">
        <v>1155</v>
      </c>
      <c r="E371" s="106">
        <v>586.20000000000005</v>
      </c>
      <c r="F371" s="102">
        <v>16.275460000000002</v>
      </c>
      <c r="G371" s="106"/>
      <c r="H371" s="106"/>
      <c r="I371" s="103">
        <f t="shared" si="10"/>
        <v>594.33773000000008</v>
      </c>
      <c r="J371" s="103">
        <f t="shared" si="11"/>
        <v>578.06227000000001</v>
      </c>
      <c r="K371" s="103">
        <v>594.33773000000008</v>
      </c>
      <c r="L371" s="103">
        <v>578.06227000000001</v>
      </c>
    </row>
    <row r="372" spans="1:12" x14ac:dyDescent="0.25">
      <c r="A372" s="100">
        <v>368</v>
      </c>
      <c r="B372" s="107" t="s">
        <v>1396</v>
      </c>
      <c r="C372" s="108">
        <v>3232321</v>
      </c>
      <c r="D372" s="107" t="s">
        <v>1187</v>
      </c>
      <c r="E372" s="106">
        <v>581.5</v>
      </c>
      <c r="F372" s="102">
        <v>16.275460000000002</v>
      </c>
      <c r="G372" s="106"/>
      <c r="H372" s="106"/>
      <c r="I372" s="103">
        <f t="shared" si="10"/>
        <v>589.63773000000003</v>
      </c>
      <c r="J372" s="103">
        <f t="shared" si="11"/>
        <v>573.36226999999997</v>
      </c>
      <c r="K372" s="103">
        <v>589.63773000000003</v>
      </c>
      <c r="L372" s="103">
        <v>573.36226999999997</v>
      </c>
    </row>
    <row r="373" spans="1:12" x14ac:dyDescent="0.25">
      <c r="A373" s="104">
        <v>369</v>
      </c>
      <c r="B373" s="107" t="s">
        <v>1361</v>
      </c>
      <c r="C373" s="108">
        <v>3532193</v>
      </c>
      <c r="D373" s="107" t="s">
        <v>1565</v>
      </c>
      <c r="E373" s="106">
        <v>578.80999999999995</v>
      </c>
      <c r="F373" s="102">
        <v>16.275460000000002</v>
      </c>
      <c r="G373" s="106"/>
      <c r="H373" s="106"/>
      <c r="I373" s="103">
        <f t="shared" si="10"/>
        <v>586.94772999999998</v>
      </c>
      <c r="J373" s="103">
        <f t="shared" si="11"/>
        <v>570.67226999999991</v>
      </c>
      <c r="K373" s="103">
        <v>586.94772999999998</v>
      </c>
      <c r="L373" s="103">
        <v>570.67226999999991</v>
      </c>
    </row>
    <row r="374" spans="1:12" x14ac:dyDescent="0.25">
      <c r="A374" s="100">
        <v>370</v>
      </c>
      <c r="B374" s="107" t="s">
        <v>1416</v>
      </c>
      <c r="C374" s="108">
        <v>3342193</v>
      </c>
      <c r="D374" s="107" t="s">
        <v>1179</v>
      </c>
      <c r="E374" s="106">
        <v>584.72</v>
      </c>
      <c r="F374" s="102">
        <v>16.275460000000002</v>
      </c>
      <c r="G374" s="106"/>
      <c r="H374" s="106"/>
      <c r="I374" s="103">
        <f t="shared" si="10"/>
        <v>592.85773000000006</v>
      </c>
      <c r="J374" s="103">
        <f t="shared" si="11"/>
        <v>576.58226999999999</v>
      </c>
      <c r="K374" s="103">
        <v>592.85773000000006</v>
      </c>
      <c r="L374" s="103">
        <v>576.58226999999999</v>
      </c>
    </row>
    <row r="375" spans="1:12" x14ac:dyDescent="0.25">
      <c r="A375" s="104">
        <v>371</v>
      </c>
      <c r="B375" s="107" t="s">
        <v>1444</v>
      </c>
      <c r="C375" s="108">
        <v>3732036</v>
      </c>
      <c r="D375" s="107" t="s">
        <v>1204</v>
      </c>
      <c r="E375" s="106">
        <v>578.15</v>
      </c>
      <c r="F375" s="102">
        <v>16.275460000000002</v>
      </c>
      <c r="G375" s="106"/>
      <c r="H375" s="106"/>
      <c r="I375" s="103">
        <f t="shared" si="10"/>
        <v>586.28773000000001</v>
      </c>
      <c r="J375" s="103">
        <f t="shared" si="11"/>
        <v>570.01226999999994</v>
      </c>
      <c r="K375" s="103">
        <v>586.28773000000001</v>
      </c>
      <c r="L375" s="103">
        <v>570.01226999999994</v>
      </c>
    </row>
    <row r="376" spans="1:12" x14ac:dyDescent="0.25">
      <c r="A376" s="100">
        <v>372</v>
      </c>
      <c r="B376" s="107" t="s">
        <v>1356</v>
      </c>
      <c r="C376" s="108">
        <v>1312012</v>
      </c>
      <c r="D376" s="107" t="s">
        <v>1154</v>
      </c>
      <c r="E376" s="106">
        <v>587.65</v>
      </c>
      <c r="F376" s="102">
        <v>16.275460000000002</v>
      </c>
      <c r="G376" s="106"/>
      <c r="H376" s="106"/>
      <c r="I376" s="103">
        <f t="shared" si="10"/>
        <v>595.78773000000001</v>
      </c>
      <c r="J376" s="103">
        <f t="shared" si="11"/>
        <v>579.51226999999994</v>
      </c>
      <c r="K376" s="103">
        <v>595.78773000000001</v>
      </c>
      <c r="L376" s="103">
        <v>579.51226999999994</v>
      </c>
    </row>
    <row r="377" spans="1:12" x14ac:dyDescent="0.25">
      <c r="A377" s="104">
        <v>373</v>
      </c>
      <c r="B377" s="107" t="s">
        <v>1427</v>
      </c>
      <c r="C377" s="108">
        <v>3652241</v>
      </c>
      <c r="D377" s="107" t="s">
        <v>1240</v>
      </c>
      <c r="E377" s="106">
        <v>577.07000000000005</v>
      </c>
      <c r="F377" s="102">
        <v>16.275460000000002</v>
      </c>
      <c r="G377" s="106"/>
      <c r="H377" s="106"/>
      <c r="I377" s="103">
        <f t="shared" si="10"/>
        <v>585.20773000000008</v>
      </c>
      <c r="J377" s="103">
        <f t="shared" si="11"/>
        <v>568.93227000000002</v>
      </c>
      <c r="K377" s="103">
        <v>585.20773000000008</v>
      </c>
      <c r="L377" s="103">
        <v>568.93227000000002</v>
      </c>
    </row>
    <row r="378" spans="1:12" x14ac:dyDescent="0.25">
      <c r="A378" s="100">
        <v>374</v>
      </c>
      <c r="B378" s="107" t="s">
        <v>1416</v>
      </c>
      <c r="C378" s="108">
        <v>3342131</v>
      </c>
      <c r="D378" s="107" t="s">
        <v>1210</v>
      </c>
      <c r="E378" s="106">
        <v>580.55999999999995</v>
      </c>
      <c r="F378" s="102">
        <v>16.275460000000002</v>
      </c>
      <c r="G378" s="106"/>
      <c r="H378" s="106"/>
      <c r="I378" s="103">
        <f t="shared" si="10"/>
        <v>588.69772999999998</v>
      </c>
      <c r="J378" s="103">
        <f t="shared" si="11"/>
        <v>572.42226999999991</v>
      </c>
      <c r="K378" s="103">
        <v>588.69772999999998</v>
      </c>
      <c r="L378" s="103">
        <v>572.42226999999991</v>
      </c>
    </row>
    <row r="379" spans="1:12" x14ac:dyDescent="0.25">
      <c r="A379" s="104">
        <v>375</v>
      </c>
      <c r="B379" s="107" t="s">
        <v>1396</v>
      </c>
      <c r="C379" s="108">
        <v>3232077</v>
      </c>
      <c r="D379" s="107" t="s">
        <v>1176</v>
      </c>
      <c r="E379" s="106">
        <v>583.63</v>
      </c>
      <c r="F379" s="102">
        <v>16.275460000000002</v>
      </c>
      <c r="G379" s="106"/>
      <c r="H379" s="106"/>
      <c r="I379" s="103">
        <f t="shared" si="10"/>
        <v>591.76773000000003</v>
      </c>
      <c r="J379" s="103">
        <f t="shared" si="11"/>
        <v>575.49226999999996</v>
      </c>
      <c r="K379" s="103">
        <v>591.76773000000003</v>
      </c>
      <c r="L379" s="103">
        <v>575.49226999999996</v>
      </c>
    </row>
    <row r="380" spans="1:12" x14ac:dyDescent="0.25">
      <c r="A380" s="100">
        <v>376</v>
      </c>
      <c r="B380" s="107" t="s">
        <v>1566</v>
      </c>
      <c r="C380" s="108">
        <v>3422085</v>
      </c>
      <c r="D380" s="107" t="s">
        <v>1148</v>
      </c>
      <c r="E380" s="106">
        <v>585.79999999999995</v>
      </c>
      <c r="F380" s="102">
        <v>16.275460000000002</v>
      </c>
      <c r="G380" s="106"/>
      <c r="H380" s="106"/>
      <c r="I380" s="103">
        <f t="shared" si="10"/>
        <v>593.93772999999999</v>
      </c>
      <c r="J380" s="103">
        <f t="shared" si="11"/>
        <v>577.66226999999992</v>
      </c>
      <c r="K380" s="103">
        <v>593.93772999999999</v>
      </c>
      <c r="L380" s="103">
        <v>577.66226999999992</v>
      </c>
    </row>
    <row r="381" spans="1:12" x14ac:dyDescent="0.25">
      <c r="A381" s="104">
        <v>377</v>
      </c>
      <c r="B381" s="107" t="s">
        <v>1333</v>
      </c>
      <c r="C381" s="108">
        <v>3222133</v>
      </c>
      <c r="D381" s="107" t="s">
        <v>1170</v>
      </c>
      <c r="E381" s="106">
        <v>576.72</v>
      </c>
      <c r="F381" s="102">
        <v>16.275460000000002</v>
      </c>
      <c r="G381" s="106"/>
      <c r="H381" s="106"/>
      <c r="I381" s="103">
        <f t="shared" si="10"/>
        <v>584.85773000000006</v>
      </c>
      <c r="J381" s="103">
        <f t="shared" si="11"/>
        <v>568.58226999999999</v>
      </c>
      <c r="K381" s="103">
        <v>584.85773000000006</v>
      </c>
      <c r="L381" s="103">
        <v>568.58226999999999</v>
      </c>
    </row>
    <row r="382" spans="1:12" x14ac:dyDescent="0.25">
      <c r="A382" s="100">
        <v>378</v>
      </c>
      <c r="B382" s="107" t="s">
        <v>1396</v>
      </c>
      <c r="C382" s="108">
        <v>3232383</v>
      </c>
      <c r="D382" s="107" t="s">
        <v>1192</v>
      </c>
      <c r="E382" s="106">
        <v>584.4</v>
      </c>
      <c r="F382" s="102">
        <v>16.275460000000002</v>
      </c>
      <c r="G382" s="106"/>
      <c r="H382" s="106"/>
      <c r="I382" s="103">
        <f t="shared" si="10"/>
        <v>592.53773000000001</v>
      </c>
      <c r="J382" s="103">
        <f t="shared" si="11"/>
        <v>576.26226999999994</v>
      </c>
      <c r="K382" s="103">
        <v>592.53773000000001</v>
      </c>
      <c r="L382" s="103">
        <v>576.26226999999994</v>
      </c>
    </row>
    <row r="383" spans="1:12" x14ac:dyDescent="0.25">
      <c r="A383" s="104">
        <v>379</v>
      </c>
      <c r="B383" s="107" t="s">
        <v>1333</v>
      </c>
      <c r="C383" s="108">
        <v>3222117</v>
      </c>
      <c r="D383" s="107" t="s">
        <v>1169</v>
      </c>
      <c r="E383" s="106">
        <v>578.62</v>
      </c>
      <c r="F383" s="102">
        <v>16.275460000000002</v>
      </c>
      <c r="G383" s="106"/>
      <c r="H383" s="106"/>
      <c r="I383" s="103">
        <f t="shared" si="10"/>
        <v>586.75773000000004</v>
      </c>
      <c r="J383" s="103">
        <f t="shared" si="11"/>
        <v>570.48226999999997</v>
      </c>
      <c r="K383" s="103">
        <v>586.75773000000004</v>
      </c>
      <c r="L383" s="103">
        <v>570.48226999999997</v>
      </c>
    </row>
    <row r="384" spans="1:12" x14ac:dyDescent="0.25">
      <c r="A384" s="100">
        <v>380</v>
      </c>
      <c r="B384" s="107" t="s">
        <v>1462</v>
      </c>
      <c r="C384" s="108">
        <v>3832424</v>
      </c>
      <c r="D384" s="107" t="s">
        <v>1265</v>
      </c>
      <c r="E384" s="106">
        <v>576.09</v>
      </c>
      <c r="F384" s="102">
        <v>16.275460000000002</v>
      </c>
      <c r="G384" s="106"/>
      <c r="H384" s="106"/>
      <c r="I384" s="103">
        <f t="shared" si="10"/>
        <v>584.22773000000007</v>
      </c>
      <c r="J384" s="103">
        <f t="shared" si="11"/>
        <v>567.95227</v>
      </c>
      <c r="K384" s="103">
        <v>584.22773000000007</v>
      </c>
      <c r="L384" s="103">
        <v>567.95227</v>
      </c>
    </row>
    <row r="385" spans="1:12" x14ac:dyDescent="0.25">
      <c r="A385" s="104">
        <v>381</v>
      </c>
      <c r="B385" s="107" t="s">
        <v>1383</v>
      </c>
      <c r="C385" s="108">
        <v>6112072</v>
      </c>
      <c r="D385" s="107" t="s">
        <v>1150</v>
      </c>
      <c r="E385" s="106">
        <v>587.01</v>
      </c>
      <c r="F385" s="102">
        <v>16.275460000000002</v>
      </c>
      <c r="G385" s="106"/>
      <c r="H385" s="106"/>
      <c r="I385" s="103">
        <f t="shared" si="10"/>
        <v>595.14773000000002</v>
      </c>
      <c r="J385" s="103">
        <f t="shared" si="11"/>
        <v>578.87226999999996</v>
      </c>
      <c r="K385" s="103">
        <v>595.14773000000002</v>
      </c>
      <c r="L385" s="103">
        <v>578.87226999999996</v>
      </c>
    </row>
    <row r="386" spans="1:12" x14ac:dyDescent="0.25">
      <c r="A386" s="100">
        <v>382</v>
      </c>
      <c r="B386" s="107" t="s">
        <v>1484</v>
      </c>
      <c r="C386" s="108">
        <v>3522032</v>
      </c>
      <c r="D386" s="107" t="s">
        <v>1178</v>
      </c>
      <c r="E386" s="106">
        <v>579.75</v>
      </c>
      <c r="F386" s="102">
        <v>16.275460000000002</v>
      </c>
      <c r="G386" s="106"/>
      <c r="H386" s="106"/>
      <c r="I386" s="103">
        <f t="shared" si="10"/>
        <v>587.88773000000003</v>
      </c>
      <c r="J386" s="103">
        <f t="shared" si="11"/>
        <v>571.61226999999997</v>
      </c>
      <c r="K386" s="103">
        <v>587.88773000000003</v>
      </c>
      <c r="L386" s="103">
        <v>571.61226999999997</v>
      </c>
    </row>
    <row r="387" spans="1:12" x14ac:dyDescent="0.25">
      <c r="A387" s="104">
        <v>383</v>
      </c>
      <c r="B387" s="107" t="s">
        <v>1444</v>
      </c>
      <c r="C387" s="108">
        <v>3732373</v>
      </c>
      <c r="D387" s="107" t="s">
        <v>1169</v>
      </c>
      <c r="E387" s="106">
        <v>576.74</v>
      </c>
      <c r="F387" s="102">
        <v>16.275460000000002</v>
      </c>
      <c r="G387" s="106"/>
      <c r="H387" s="106"/>
      <c r="I387" s="103">
        <f t="shared" si="10"/>
        <v>584.87773000000004</v>
      </c>
      <c r="J387" s="103">
        <f t="shared" si="11"/>
        <v>568.60226999999998</v>
      </c>
      <c r="K387" s="103">
        <v>584.87773000000004</v>
      </c>
      <c r="L387" s="103">
        <v>568.60226999999998</v>
      </c>
    </row>
    <row r="388" spans="1:12" x14ac:dyDescent="0.25">
      <c r="A388" s="100">
        <v>384</v>
      </c>
      <c r="B388" s="107" t="s">
        <v>1462</v>
      </c>
      <c r="C388" s="108">
        <v>3832223</v>
      </c>
      <c r="D388" s="107" t="s">
        <v>1156</v>
      </c>
      <c r="E388" s="106">
        <v>578.28</v>
      </c>
      <c r="F388" s="102">
        <v>16.275460000000002</v>
      </c>
      <c r="G388" s="106"/>
      <c r="H388" s="106"/>
      <c r="I388" s="103">
        <f t="shared" si="10"/>
        <v>586.41773000000001</v>
      </c>
      <c r="J388" s="103">
        <f t="shared" si="11"/>
        <v>570.14226999999994</v>
      </c>
      <c r="K388" s="103">
        <v>586.41773000000001</v>
      </c>
      <c r="L388" s="103">
        <v>570.14226999999994</v>
      </c>
    </row>
    <row r="389" spans="1:12" x14ac:dyDescent="0.25">
      <c r="A389" s="104">
        <v>385</v>
      </c>
      <c r="B389" s="107" t="s">
        <v>1383</v>
      </c>
      <c r="C389" s="108">
        <v>6112145</v>
      </c>
      <c r="D389" s="107" t="s">
        <v>1270</v>
      </c>
      <c r="E389" s="106">
        <v>579.25</v>
      </c>
      <c r="F389" s="102">
        <v>16.275460000000002</v>
      </c>
      <c r="G389" s="106"/>
      <c r="H389" s="106"/>
      <c r="I389" s="103">
        <f t="shared" si="10"/>
        <v>587.38773000000003</v>
      </c>
      <c r="J389" s="103">
        <f t="shared" si="11"/>
        <v>571.11226999999997</v>
      </c>
      <c r="K389" s="103">
        <v>587.38773000000003</v>
      </c>
      <c r="L389" s="103">
        <v>571.11226999999997</v>
      </c>
    </row>
    <row r="390" spans="1:12" x14ac:dyDescent="0.25">
      <c r="A390" s="100">
        <v>386</v>
      </c>
      <c r="B390" s="107" t="s">
        <v>1351</v>
      </c>
      <c r="C390" s="108">
        <v>3712086</v>
      </c>
      <c r="D390" s="107" t="s">
        <v>1150</v>
      </c>
      <c r="E390" s="106">
        <v>585.51</v>
      </c>
      <c r="F390" s="102">
        <v>16.275460000000002</v>
      </c>
      <c r="G390" s="106"/>
      <c r="H390" s="106"/>
      <c r="I390" s="103">
        <f t="shared" ref="I390:I453" si="12">E390+0.5*F390</f>
        <v>593.64773000000002</v>
      </c>
      <c r="J390" s="103">
        <f t="shared" ref="J390:J453" si="13">E390-0.5*F390</f>
        <v>577.37226999999996</v>
      </c>
      <c r="K390" s="103">
        <v>593.64773000000002</v>
      </c>
      <c r="L390" s="103">
        <v>577.37226999999996</v>
      </c>
    </row>
    <row r="391" spans="1:12" x14ac:dyDescent="0.25">
      <c r="A391" s="104">
        <v>387</v>
      </c>
      <c r="B391" s="107" t="s">
        <v>1341</v>
      </c>
      <c r="C391" s="108">
        <v>1912073</v>
      </c>
      <c r="D391" s="107" t="s">
        <v>1149</v>
      </c>
      <c r="E391" s="106">
        <v>579.6</v>
      </c>
      <c r="F391" s="102">
        <v>16.275460000000002</v>
      </c>
      <c r="G391" s="106"/>
      <c r="H391" s="106"/>
      <c r="I391" s="103">
        <f t="shared" si="12"/>
        <v>587.73773000000006</v>
      </c>
      <c r="J391" s="103">
        <f t="shared" si="13"/>
        <v>571.46226999999999</v>
      </c>
      <c r="K391" s="103">
        <v>587.73773000000006</v>
      </c>
      <c r="L391" s="103">
        <v>571.46226999999999</v>
      </c>
    </row>
    <row r="392" spans="1:12" x14ac:dyDescent="0.25">
      <c r="A392" s="100">
        <v>388</v>
      </c>
      <c r="B392" s="107" t="s">
        <v>1361</v>
      </c>
      <c r="C392" s="108">
        <v>3532115</v>
      </c>
      <c r="D392" s="107" t="s">
        <v>1535</v>
      </c>
      <c r="E392" s="106">
        <v>573.48</v>
      </c>
      <c r="F392" s="102">
        <v>16.275460000000002</v>
      </c>
      <c r="G392" s="106"/>
      <c r="H392" s="106"/>
      <c r="I392" s="103">
        <f t="shared" si="12"/>
        <v>581.61773000000005</v>
      </c>
      <c r="J392" s="103">
        <f t="shared" si="13"/>
        <v>565.34226999999998</v>
      </c>
      <c r="K392" s="103">
        <v>581.61773000000005</v>
      </c>
      <c r="L392" s="103">
        <v>565.34226999999998</v>
      </c>
    </row>
    <row r="393" spans="1:12" x14ac:dyDescent="0.25">
      <c r="A393" s="104">
        <v>389</v>
      </c>
      <c r="B393" s="107" t="s">
        <v>1429</v>
      </c>
      <c r="C393" s="108">
        <v>3562041</v>
      </c>
      <c r="D393" s="107" t="s">
        <v>1567</v>
      </c>
      <c r="E393" s="106">
        <v>574.86</v>
      </c>
      <c r="F393" s="102">
        <v>16.275460000000002</v>
      </c>
      <c r="G393" s="106"/>
      <c r="H393" s="106"/>
      <c r="I393" s="103">
        <f t="shared" si="12"/>
        <v>582.99773000000005</v>
      </c>
      <c r="J393" s="103">
        <f t="shared" si="13"/>
        <v>566.72226999999998</v>
      </c>
      <c r="K393" s="103">
        <v>582.99773000000005</v>
      </c>
      <c r="L393" s="103">
        <v>566.72226999999998</v>
      </c>
    </row>
    <row r="394" spans="1:12" x14ac:dyDescent="0.25">
      <c r="A394" s="100">
        <v>390</v>
      </c>
      <c r="B394" s="107" t="s">
        <v>1308</v>
      </c>
      <c r="C394" s="108">
        <v>1412021</v>
      </c>
      <c r="D394" s="107" t="s">
        <v>1147</v>
      </c>
      <c r="E394" s="106">
        <v>584.79999999999995</v>
      </c>
      <c r="F394" s="102">
        <v>16.275460000000002</v>
      </c>
      <c r="G394" s="106"/>
      <c r="H394" s="106"/>
      <c r="I394" s="103">
        <f t="shared" si="12"/>
        <v>592.93772999999999</v>
      </c>
      <c r="J394" s="103">
        <f t="shared" si="13"/>
        <v>576.66226999999992</v>
      </c>
      <c r="K394" s="103">
        <v>592.93772999999999</v>
      </c>
      <c r="L394" s="103">
        <v>576.66226999999992</v>
      </c>
    </row>
    <row r="395" spans="1:12" x14ac:dyDescent="0.25">
      <c r="A395" s="104">
        <v>391</v>
      </c>
      <c r="B395" s="107" t="s">
        <v>1444</v>
      </c>
      <c r="C395" s="108">
        <v>3732365</v>
      </c>
      <c r="D395" s="107" t="s">
        <v>1184</v>
      </c>
      <c r="E395" s="106">
        <v>579.08000000000004</v>
      </c>
      <c r="F395" s="102">
        <v>16.275460000000002</v>
      </c>
      <c r="G395" s="106"/>
      <c r="H395" s="106"/>
      <c r="I395" s="103">
        <f t="shared" si="12"/>
        <v>587.21773000000007</v>
      </c>
      <c r="J395" s="103">
        <f t="shared" si="13"/>
        <v>570.94227000000001</v>
      </c>
      <c r="K395" s="103">
        <v>587.21773000000007</v>
      </c>
      <c r="L395" s="103">
        <v>570.94227000000001</v>
      </c>
    </row>
    <row r="396" spans="1:12" x14ac:dyDescent="0.25">
      <c r="A396" s="100">
        <v>392</v>
      </c>
      <c r="B396" s="107" t="s">
        <v>1484</v>
      </c>
      <c r="C396" s="108">
        <v>3522071</v>
      </c>
      <c r="D396" s="107" t="s">
        <v>1149</v>
      </c>
      <c r="E396" s="106">
        <v>579.35</v>
      </c>
      <c r="F396" s="102">
        <v>16.275460000000002</v>
      </c>
      <c r="G396" s="106"/>
      <c r="H396" s="106"/>
      <c r="I396" s="103">
        <f t="shared" si="12"/>
        <v>587.48773000000006</v>
      </c>
      <c r="J396" s="103">
        <f t="shared" si="13"/>
        <v>571.21226999999999</v>
      </c>
      <c r="K396" s="103">
        <v>587.48773000000006</v>
      </c>
      <c r="L396" s="103">
        <v>571.21226999999999</v>
      </c>
    </row>
    <row r="397" spans="1:12" x14ac:dyDescent="0.25">
      <c r="A397" s="104">
        <v>393</v>
      </c>
      <c r="B397" s="107" t="s">
        <v>1353</v>
      </c>
      <c r="C397" s="108">
        <v>3722297</v>
      </c>
      <c r="D397" s="107" t="s">
        <v>1568</v>
      </c>
      <c r="E397" s="106">
        <v>575.15</v>
      </c>
      <c r="F397" s="102">
        <v>16.275460000000002</v>
      </c>
      <c r="G397" s="106"/>
      <c r="H397" s="106"/>
      <c r="I397" s="103">
        <f t="shared" si="12"/>
        <v>583.28773000000001</v>
      </c>
      <c r="J397" s="103">
        <f t="shared" si="13"/>
        <v>567.01226999999994</v>
      </c>
      <c r="K397" s="103">
        <v>583.28773000000001</v>
      </c>
      <c r="L397" s="103">
        <v>567.01226999999994</v>
      </c>
    </row>
    <row r="398" spans="1:12" x14ac:dyDescent="0.25">
      <c r="A398" s="100">
        <v>394</v>
      </c>
      <c r="B398" s="107" t="s">
        <v>1308</v>
      </c>
      <c r="C398" s="108">
        <v>1412091</v>
      </c>
      <c r="D398" s="107" t="s">
        <v>1156</v>
      </c>
      <c r="E398" s="106">
        <v>579.64</v>
      </c>
      <c r="F398" s="102">
        <v>16.275460000000002</v>
      </c>
      <c r="G398" s="106"/>
      <c r="H398" s="106"/>
      <c r="I398" s="103">
        <f t="shared" si="12"/>
        <v>587.77773000000002</v>
      </c>
      <c r="J398" s="103">
        <f t="shared" si="13"/>
        <v>571.50226999999995</v>
      </c>
      <c r="K398" s="103">
        <v>587.77773000000002</v>
      </c>
      <c r="L398" s="103">
        <v>571.50226999999995</v>
      </c>
    </row>
    <row r="399" spans="1:12" x14ac:dyDescent="0.25">
      <c r="A399" s="104">
        <v>395</v>
      </c>
      <c r="B399" s="107" t="s">
        <v>1569</v>
      </c>
      <c r="C399" s="108">
        <v>1422224</v>
      </c>
      <c r="D399" s="107" t="s">
        <v>1161</v>
      </c>
      <c r="E399" s="106">
        <v>575.28</v>
      </c>
      <c r="F399" s="102">
        <v>16.275460000000002</v>
      </c>
      <c r="G399" s="106"/>
      <c r="H399" s="106"/>
      <c r="I399" s="103">
        <f t="shared" si="12"/>
        <v>583.41773000000001</v>
      </c>
      <c r="J399" s="103">
        <f t="shared" si="13"/>
        <v>567.14226999999994</v>
      </c>
      <c r="K399" s="103">
        <v>583.41773000000001</v>
      </c>
      <c r="L399" s="103">
        <v>567.14226999999994</v>
      </c>
    </row>
    <row r="400" spans="1:12" x14ac:dyDescent="0.25">
      <c r="A400" s="100">
        <v>396</v>
      </c>
      <c r="B400" s="107" t="s">
        <v>1429</v>
      </c>
      <c r="C400" s="108">
        <v>3562362</v>
      </c>
      <c r="D400" s="107" t="s">
        <v>1176</v>
      </c>
      <c r="E400" s="106">
        <v>580.87</v>
      </c>
      <c r="F400" s="102">
        <v>16.275460000000002</v>
      </c>
      <c r="G400" s="106"/>
      <c r="H400" s="106"/>
      <c r="I400" s="103">
        <f t="shared" si="12"/>
        <v>589.00773000000004</v>
      </c>
      <c r="J400" s="103">
        <f t="shared" si="13"/>
        <v>572.73226999999997</v>
      </c>
      <c r="K400" s="103">
        <v>589.00773000000004</v>
      </c>
      <c r="L400" s="103">
        <v>572.73226999999997</v>
      </c>
    </row>
    <row r="401" spans="1:12" x14ac:dyDescent="0.25">
      <c r="A401" s="104">
        <v>397</v>
      </c>
      <c r="B401" s="107" t="s">
        <v>1341</v>
      </c>
      <c r="C401" s="108">
        <v>1912042</v>
      </c>
      <c r="D401" s="107" t="s">
        <v>1150</v>
      </c>
      <c r="E401" s="106">
        <v>584.91999999999996</v>
      </c>
      <c r="F401" s="102">
        <v>16.275460000000002</v>
      </c>
      <c r="G401" s="106"/>
      <c r="H401" s="106"/>
      <c r="I401" s="103">
        <f t="shared" si="12"/>
        <v>593.05772999999999</v>
      </c>
      <c r="J401" s="103">
        <f t="shared" si="13"/>
        <v>576.78226999999993</v>
      </c>
      <c r="K401" s="103">
        <v>593.05772999999999</v>
      </c>
      <c r="L401" s="103">
        <v>576.78226999999993</v>
      </c>
    </row>
    <row r="402" spans="1:12" x14ac:dyDescent="0.25">
      <c r="A402" s="100">
        <v>398</v>
      </c>
      <c r="B402" s="107" t="s">
        <v>1416</v>
      </c>
      <c r="C402" s="108">
        <v>3342324</v>
      </c>
      <c r="D402" s="107" t="s">
        <v>1191</v>
      </c>
      <c r="E402" s="106">
        <v>581.53</v>
      </c>
      <c r="F402" s="102">
        <v>16.275460000000002</v>
      </c>
      <c r="G402" s="106"/>
      <c r="H402" s="106"/>
      <c r="I402" s="103">
        <f t="shared" si="12"/>
        <v>589.66773000000001</v>
      </c>
      <c r="J402" s="103">
        <f t="shared" si="13"/>
        <v>573.39226999999994</v>
      </c>
      <c r="K402" s="103">
        <v>589.66773000000001</v>
      </c>
      <c r="L402" s="103">
        <v>573.39226999999994</v>
      </c>
    </row>
    <row r="403" spans="1:12" x14ac:dyDescent="0.25">
      <c r="A403" s="104">
        <v>399</v>
      </c>
      <c r="B403" s="107" t="s">
        <v>1333</v>
      </c>
      <c r="C403" s="108">
        <v>3222206</v>
      </c>
      <c r="D403" s="107" t="s">
        <v>1172</v>
      </c>
      <c r="E403" s="106">
        <v>578.24</v>
      </c>
      <c r="F403" s="102">
        <v>16.275460000000002</v>
      </c>
      <c r="G403" s="106"/>
      <c r="H403" s="106"/>
      <c r="I403" s="103">
        <f t="shared" si="12"/>
        <v>586.37773000000004</v>
      </c>
      <c r="J403" s="103">
        <f t="shared" si="13"/>
        <v>570.10226999999998</v>
      </c>
      <c r="K403" s="103">
        <v>586.37773000000004</v>
      </c>
      <c r="L403" s="103">
        <v>570.10226999999998</v>
      </c>
    </row>
    <row r="404" spans="1:12" x14ac:dyDescent="0.25">
      <c r="A404" s="100">
        <v>400</v>
      </c>
      <c r="B404" s="107" t="s">
        <v>1484</v>
      </c>
      <c r="C404" s="108">
        <v>3522086</v>
      </c>
      <c r="D404" s="107" t="s">
        <v>1148</v>
      </c>
      <c r="E404" s="106">
        <v>579.21</v>
      </c>
      <c r="F404" s="102">
        <v>16.275460000000002</v>
      </c>
      <c r="G404" s="106"/>
      <c r="H404" s="106"/>
      <c r="I404" s="103">
        <f t="shared" si="12"/>
        <v>587.34773000000007</v>
      </c>
      <c r="J404" s="103">
        <f t="shared" si="13"/>
        <v>571.07227</v>
      </c>
      <c r="K404" s="103">
        <v>587.34773000000007</v>
      </c>
      <c r="L404" s="103">
        <v>571.07227</v>
      </c>
    </row>
    <row r="405" spans="1:12" x14ac:dyDescent="0.25">
      <c r="A405" s="104">
        <v>401</v>
      </c>
      <c r="B405" s="107" t="s">
        <v>1429</v>
      </c>
      <c r="C405" s="108">
        <v>3562226</v>
      </c>
      <c r="D405" s="107" t="s">
        <v>1223</v>
      </c>
      <c r="E405" s="106">
        <v>576.55999999999995</v>
      </c>
      <c r="F405" s="102">
        <v>16.275460000000002</v>
      </c>
      <c r="G405" s="106"/>
      <c r="H405" s="106"/>
      <c r="I405" s="103">
        <f t="shared" si="12"/>
        <v>584.69772999999998</v>
      </c>
      <c r="J405" s="103">
        <f t="shared" si="13"/>
        <v>568.42226999999991</v>
      </c>
      <c r="K405" s="103">
        <v>584.69772999999998</v>
      </c>
      <c r="L405" s="103">
        <v>568.42226999999991</v>
      </c>
    </row>
    <row r="406" spans="1:12" x14ac:dyDescent="0.25">
      <c r="A406" s="100">
        <v>402</v>
      </c>
      <c r="B406" s="107" t="s">
        <v>1416</v>
      </c>
      <c r="C406" s="108">
        <v>3342096</v>
      </c>
      <c r="D406" s="107" t="s">
        <v>1182</v>
      </c>
      <c r="E406" s="106">
        <v>574.32000000000005</v>
      </c>
      <c r="F406" s="102">
        <v>16.275460000000002</v>
      </c>
      <c r="G406" s="106"/>
      <c r="H406" s="106"/>
      <c r="I406" s="103">
        <f t="shared" si="12"/>
        <v>582.45773000000008</v>
      </c>
      <c r="J406" s="103">
        <f t="shared" si="13"/>
        <v>566.18227000000002</v>
      </c>
      <c r="K406" s="103">
        <v>582.45773000000008</v>
      </c>
      <c r="L406" s="103">
        <v>566.18227000000002</v>
      </c>
    </row>
    <row r="407" spans="1:12" x14ac:dyDescent="0.25">
      <c r="A407" s="104">
        <v>403</v>
      </c>
      <c r="B407" s="107" t="s">
        <v>1394</v>
      </c>
      <c r="C407" s="108">
        <v>3622257</v>
      </c>
      <c r="D407" s="107" t="s">
        <v>1570</v>
      </c>
      <c r="E407" s="106">
        <v>579.77</v>
      </c>
      <c r="F407" s="102">
        <v>16.275460000000002</v>
      </c>
      <c r="G407" s="106"/>
      <c r="H407" s="106"/>
      <c r="I407" s="103">
        <f t="shared" si="12"/>
        <v>587.90773000000002</v>
      </c>
      <c r="J407" s="103">
        <f t="shared" si="13"/>
        <v>571.63226999999995</v>
      </c>
      <c r="K407" s="103">
        <v>587.90773000000002</v>
      </c>
      <c r="L407" s="103">
        <v>571.63226999999995</v>
      </c>
    </row>
    <row r="408" spans="1:12" x14ac:dyDescent="0.25">
      <c r="A408" s="100">
        <v>404</v>
      </c>
      <c r="B408" s="107" t="s">
        <v>1306</v>
      </c>
      <c r="C408" s="108">
        <v>1212081</v>
      </c>
      <c r="D408" s="107" t="s">
        <v>1149</v>
      </c>
      <c r="E408" s="106">
        <v>580.64</v>
      </c>
      <c r="F408" s="102">
        <v>16.275460000000002</v>
      </c>
      <c r="G408" s="106"/>
      <c r="H408" s="106"/>
      <c r="I408" s="103">
        <f t="shared" si="12"/>
        <v>588.77773000000002</v>
      </c>
      <c r="J408" s="103">
        <f t="shared" si="13"/>
        <v>572.50226999999995</v>
      </c>
      <c r="K408" s="103">
        <v>588.77773000000002</v>
      </c>
      <c r="L408" s="103">
        <v>572.50226999999995</v>
      </c>
    </row>
    <row r="409" spans="1:12" x14ac:dyDescent="0.25">
      <c r="A409" s="104">
        <v>405</v>
      </c>
      <c r="B409" s="107" t="s">
        <v>1444</v>
      </c>
      <c r="C409" s="108">
        <v>3732206</v>
      </c>
      <c r="D409" s="107" t="s">
        <v>1213</v>
      </c>
      <c r="E409" s="106">
        <v>575.15</v>
      </c>
      <c r="F409" s="102">
        <v>16.275460000000002</v>
      </c>
      <c r="G409" s="106"/>
      <c r="H409" s="106"/>
      <c r="I409" s="103">
        <f t="shared" si="12"/>
        <v>583.28773000000001</v>
      </c>
      <c r="J409" s="103">
        <f t="shared" si="13"/>
        <v>567.01226999999994</v>
      </c>
      <c r="K409" s="103">
        <v>583.28773000000001</v>
      </c>
      <c r="L409" s="103">
        <v>567.01226999999994</v>
      </c>
    </row>
    <row r="410" spans="1:12" x14ac:dyDescent="0.25">
      <c r="A410" s="100">
        <v>406</v>
      </c>
      <c r="B410" s="107" t="s">
        <v>1394</v>
      </c>
      <c r="C410" s="108">
        <v>3622346</v>
      </c>
      <c r="D410" s="107" t="s">
        <v>1571</v>
      </c>
      <c r="E410" s="106">
        <v>585.28</v>
      </c>
      <c r="F410" s="102">
        <v>16.275460000000002</v>
      </c>
      <c r="G410" s="106"/>
      <c r="H410" s="106"/>
      <c r="I410" s="103">
        <f t="shared" si="12"/>
        <v>593.41773000000001</v>
      </c>
      <c r="J410" s="103">
        <f t="shared" si="13"/>
        <v>577.14226999999994</v>
      </c>
      <c r="K410" s="103">
        <v>593.41773000000001</v>
      </c>
      <c r="L410" s="103">
        <v>577.14226999999994</v>
      </c>
    </row>
    <row r="411" spans="1:12" x14ac:dyDescent="0.25">
      <c r="A411" s="104">
        <v>407</v>
      </c>
      <c r="B411" s="107" t="s">
        <v>1444</v>
      </c>
      <c r="C411" s="108">
        <v>3732195</v>
      </c>
      <c r="D411" s="107" t="s">
        <v>1214</v>
      </c>
      <c r="E411" s="106">
        <v>577.01</v>
      </c>
      <c r="F411" s="102">
        <v>16.275460000000002</v>
      </c>
      <c r="G411" s="106"/>
      <c r="H411" s="106"/>
      <c r="I411" s="103">
        <f t="shared" si="12"/>
        <v>585.14773000000002</v>
      </c>
      <c r="J411" s="103">
        <f t="shared" si="13"/>
        <v>568.87226999999996</v>
      </c>
      <c r="K411" s="103">
        <v>585.14773000000002</v>
      </c>
      <c r="L411" s="103">
        <v>568.87226999999996</v>
      </c>
    </row>
    <row r="412" spans="1:12" x14ac:dyDescent="0.25">
      <c r="A412" s="100">
        <v>408</v>
      </c>
      <c r="B412" s="107" t="s">
        <v>1427</v>
      </c>
      <c r="C412" s="108">
        <v>3652032</v>
      </c>
      <c r="D412" s="107" t="s">
        <v>1238</v>
      </c>
      <c r="E412" s="106">
        <v>573.54999999999995</v>
      </c>
      <c r="F412" s="102">
        <v>16.275460000000002</v>
      </c>
      <c r="G412" s="106"/>
      <c r="H412" s="106"/>
      <c r="I412" s="103">
        <f t="shared" si="12"/>
        <v>581.68772999999999</v>
      </c>
      <c r="J412" s="103">
        <f t="shared" si="13"/>
        <v>565.41226999999992</v>
      </c>
      <c r="K412" s="103">
        <v>581.68772999999999</v>
      </c>
      <c r="L412" s="103">
        <v>565.41226999999992</v>
      </c>
    </row>
    <row r="413" spans="1:12" x14ac:dyDescent="0.25">
      <c r="A413" s="104">
        <v>409</v>
      </c>
      <c r="B413" s="107" t="s">
        <v>1429</v>
      </c>
      <c r="C413" s="108">
        <v>3562203</v>
      </c>
      <c r="D413" s="107" t="s">
        <v>1572</v>
      </c>
      <c r="E413" s="106">
        <v>572.98</v>
      </c>
      <c r="F413" s="102">
        <v>16.275460000000002</v>
      </c>
      <c r="G413" s="106"/>
      <c r="H413" s="106"/>
      <c r="I413" s="103">
        <f t="shared" si="12"/>
        <v>581.11773000000005</v>
      </c>
      <c r="J413" s="103">
        <f t="shared" si="13"/>
        <v>564.84226999999998</v>
      </c>
      <c r="K413" s="103">
        <v>581.11773000000005</v>
      </c>
      <c r="L413" s="103">
        <v>564.84226999999998</v>
      </c>
    </row>
    <row r="414" spans="1:12" x14ac:dyDescent="0.25">
      <c r="A414" s="100">
        <v>410</v>
      </c>
      <c r="B414" s="107" t="s">
        <v>1351</v>
      </c>
      <c r="C414" s="108">
        <v>3712167</v>
      </c>
      <c r="D414" s="107" t="s">
        <v>1151</v>
      </c>
      <c r="E414" s="106">
        <v>580.63</v>
      </c>
      <c r="F414" s="102">
        <v>16.275460000000002</v>
      </c>
      <c r="G414" s="106"/>
      <c r="H414" s="106"/>
      <c r="I414" s="103">
        <f t="shared" si="12"/>
        <v>588.76773000000003</v>
      </c>
      <c r="J414" s="103">
        <f t="shared" si="13"/>
        <v>572.49226999999996</v>
      </c>
      <c r="K414" s="103">
        <v>588.76773000000003</v>
      </c>
      <c r="L414" s="103">
        <v>572.49226999999996</v>
      </c>
    </row>
    <row r="415" spans="1:12" x14ac:dyDescent="0.25">
      <c r="A415" s="104">
        <v>411</v>
      </c>
      <c r="B415" s="107" t="s">
        <v>1306</v>
      </c>
      <c r="C415" s="108">
        <v>1212235</v>
      </c>
      <c r="D415" s="107" t="s">
        <v>1153</v>
      </c>
      <c r="E415" s="106">
        <v>583.26</v>
      </c>
      <c r="F415" s="102">
        <v>16.275460000000002</v>
      </c>
      <c r="G415" s="106"/>
      <c r="H415" s="106"/>
      <c r="I415" s="103">
        <f t="shared" si="12"/>
        <v>591.39773000000002</v>
      </c>
      <c r="J415" s="103">
        <f t="shared" si="13"/>
        <v>575.12226999999996</v>
      </c>
      <c r="K415" s="103">
        <v>591.39773000000002</v>
      </c>
      <c r="L415" s="103">
        <v>575.12226999999996</v>
      </c>
    </row>
    <row r="416" spans="1:12" x14ac:dyDescent="0.25">
      <c r="A416" s="100">
        <v>412</v>
      </c>
      <c r="B416" s="107" t="s">
        <v>1444</v>
      </c>
      <c r="C416" s="108">
        <v>3732214</v>
      </c>
      <c r="D416" s="107" t="s">
        <v>1251</v>
      </c>
      <c r="E416" s="106">
        <v>582.13</v>
      </c>
      <c r="F416" s="102">
        <v>16.275460000000002</v>
      </c>
      <c r="G416" s="106"/>
      <c r="H416" s="106"/>
      <c r="I416" s="103">
        <f t="shared" si="12"/>
        <v>590.26773000000003</v>
      </c>
      <c r="J416" s="103">
        <f t="shared" si="13"/>
        <v>573.99226999999996</v>
      </c>
      <c r="K416" s="103">
        <v>590.26773000000003</v>
      </c>
      <c r="L416" s="103">
        <v>573.99226999999996</v>
      </c>
    </row>
    <row r="417" spans="1:12" x14ac:dyDescent="0.25">
      <c r="A417" s="104">
        <v>413</v>
      </c>
      <c r="B417" s="107" t="s">
        <v>1396</v>
      </c>
      <c r="C417" s="108">
        <v>3232046</v>
      </c>
      <c r="D417" s="107" t="s">
        <v>1202</v>
      </c>
      <c r="E417" s="106">
        <v>573.54999999999995</v>
      </c>
      <c r="F417" s="102">
        <v>16.275460000000002</v>
      </c>
      <c r="G417" s="106"/>
      <c r="H417" s="106"/>
      <c r="I417" s="103">
        <f t="shared" si="12"/>
        <v>581.68772999999999</v>
      </c>
      <c r="J417" s="103">
        <f t="shared" si="13"/>
        <v>565.41226999999992</v>
      </c>
      <c r="K417" s="103">
        <v>581.68772999999999</v>
      </c>
      <c r="L417" s="103">
        <v>565.41226999999992</v>
      </c>
    </row>
    <row r="418" spans="1:12" x14ac:dyDescent="0.25">
      <c r="A418" s="100">
        <v>414</v>
      </c>
      <c r="B418" s="107" t="s">
        <v>1462</v>
      </c>
      <c r="C418" s="108">
        <v>3832014</v>
      </c>
      <c r="D418" s="107" t="s">
        <v>1257</v>
      </c>
      <c r="E418" s="106">
        <v>577.22</v>
      </c>
      <c r="F418" s="102">
        <v>16.275460000000002</v>
      </c>
      <c r="G418" s="106"/>
      <c r="H418" s="106"/>
      <c r="I418" s="103">
        <f t="shared" si="12"/>
        <v>585.35773000000006</v>
      </c>
      <c r="J418" s="103">
        <f t="shared" si="13"/>
        <v>569.08226999999999</v>
      </c>
      <c r="K418" s="103">
        <v>585.35773000000006</v>
      </c>
      <c r="L418" s="103">
        <v>569.08226999999999</v>
      </c>
    </row>
    <row r="419" spans="1:12" x14ac:dyDescent="0.25">
      <c r="A419" s="104">
        <v>415</v>
      </c>
      <c r="B419" s="107" t="s">
        <v>1449</v>
      </c>
      <c r="C419" s="108">
        <v>3852057</v>
      </c>
      <c r="D419" s="107" t="s">
        <v>1268</v>
      </c>
      <c r="E419" s="106">
        <v>572.94000000000005</v>
      </c>
      <c r="F419" s="102">
        <v>16.275460000000002</v>
      </c>
      <c r="G419" s="106"/>
      <c r="H419" s="106"/>
      <c r="I419" s="103">
        <f t="shared" si="12"/>
        <v>581.07773000000009</v>
      </c>
      <c r="J419" s="103">
        <f t="shared" si="13"/>
        <v>564.80227000000002</v>
      </c>
      <c r="K419" s="103">
        <v>581.07773000000009</v>
      </c>
      <c r="L419" s="103">
        <v>564.80227000000002</v>
      </c>
    </row>
    <row r="420" spans="1:12" x14ac:dyDescent="0.25">
      <c r="A420" s="100">
        <v>416</v>
      </c>
      <c r="B420" s="107" t="s">
        <v>1351</v>
      </c>
      <c r="C420" s="108">
        <v>3712071</v>
      </c>
      <c r="D420" s="107" t="s">
        <v>1155</v>
      </c>
      <c r="E420" s="106">
        <v>576.51</v>
      </c>
      <c r="F420" s="102">
        <v>16.275460000000002</v>
      </c>
      <c r="G420" s="106"/>
      <c r="H420" s="106"/>
      <c r="I420" s="103">
        <f t="shared" si="12"/>
        <v>584.64773000000002</v>
      </c>
      <c r="J420" s="103">
        <f t="shared" si="13"/>
        <v>568.37226999999996</v>
      </c>
      <c r="K420" s="103">
        <v>584.64773000000002</v>
      </c>
      <c r="L420" s="103">
        <v>568.37226999999996</v>
      </c>
    </row>
    <row r="421" spans="1:12" x14ac:dyDescent="0.25">
      <c r="A421" s="104">
        <v>417</v>
      </c>
      <c r="B421" s="107" t="s">
        <v>1449</v>
      </c>
      <c r="C421" s="108">
        <v>3852042</v>
      </c>
      <c r="D421" s="107" t="s">
        <v>1166</v>
      </c>
      <c r="E421" s="106">
        <v>574.46</v>
      </c>
      <c r="F421" s="102">
        <v>16.275460000000002</v>
      </c>
      <c r="G421" s="106"/>
      <c r="H421" s="106"/>
      <c r="I421" s="103">
        <f t="shared" si="12"/>
        <v>582.59773000000007</v>
      </c>
      <c r="J421" s="103">
        <f t="shared" si="13"/>
        <v>566.32227</v>
      </c>
      <c r="K421" s="103">
        <v>582.59773000000007</v>
      </c>
      <c r="L421" s="103">
        <v>566.32227</v>
      </c>
    </row>
    <row r="422" spans="1:12" x14ac:dyDescent="0.25">
      <c r="A422" s="100">
        <v>418</v>
      </c>
      <c r="B422" s="107" t="s">
        <v>1416</v>
      </c>
      <c r="C422" s="108">
        <v>3342251</v>
      </c>
      <c r="D422" s="107" t="s">
        <v>1212</v>
      </c>
      <c r="E422" s="106">
        <v>574.07000000000005</v>
      </c>
      <c r="F422" s="102">
        <v>16.275460000000002</v>
      </c>
      <c r="G422" s="106"/>
      <c r="H422" s="106"/>
      <c r="I422" s="103">
        <f t="shared" si="12"/>
        <v>582.20773000000008</v>
      </c>
      <c r="J422" s="103">
        <f t="shared" si="13"/>
        <v>565.93227000000002</v>
      </c>
      <c r="K422" s="103">
        <v>582.20773000000008</v>
      </c>
      <c r="L422" s="103">
        <v>565.93227000000002</v>
      </c>
    </row>
    <row r="423" spans="1:12" x14ac:dyDescent="0.25">
      <c r="A423" s="104">
        <v>419</v>
      </c>
      <c r="B423" s="107" t="s">
        <v>1306</v>
      </c>
      <c r="C423" s="108">
        <v>1212096</v>
      </c>
      <c r="D423" s="107" t="s">
        <v>1150</v>
      </c>
      <c r="E423" s="106">
        <v>585.07000000000005</v>
      </c>
      <c r="F423" s="102">
        <v>16.275460000000002</v>
      </c>
      <c r="G423" s="106"/>
      <c r="H423" s="106"/>
      <c r="I423" s="103">
        <f t="shared" si="12"/>
        <v>593.20773000000008</v>
      </c>
      <c r="J423" s="103">
        <f t="shared" si="13"/>
        <v>576.93227000000002</v>
      </c>
      <c r="K423" s="103">
        <v>593.20773000000008</v>
      </c>
      <c r="L423" s="103">
        <v>576.93227000000002</v>
      </c>
    </row>
    <row r="424" spans="1:12" x14ac:dyDescent="0.25">
      <c r="A424" s="100">
        <v>420</v>
      </c>
      <c r="B424" s="107" t="s">
        <v>1416</v>
      </c>
      <c r="C424" s="108">
        <v>3342042</v>
      </c>
      <c r="D424" s="107" t="s">
        <v>1203</v>
      </c>
      <c r="E424" s="106">
        <v>579.54999999999995</v>
      </c>
      <c r="F424" s="102">
        <v>16.275460000000002</v>
      </c>
      <c r="G424" s="106"/>
      <c r="H424" s="106"/>
      <c r="I424" s="103">
        <f t="shared" si="12"/>
        <v>587.68772999999999</v>
      </c>
      <c r="J424" s="103">
        <f t="shared" si="13"/>
        <v>571.41226999999992</v>
      </c>
      <c r="K424" s="103">
        <v>587.68772999999999</v>
      </c>
      <c r="L424" s="103">
        <v>571.41226999999992</v>
      </c>
    </row>
    <row r="425" spans="1:12" x14ac:dyDescent="0.25">
      <c r="A425" s="104">
        <v>421</v>
      </c>
      <c r="B425" s="107" t="s">
        <v>1429</v>
      </c>
      <c r="C425" s="108">
        <v>3562095</v>
      </c>
      <c r="D425" s="107" t="s">
        <v>1213</v>
      </c>
      <c r="E425" s="106">
        <v>575.04</v>
      </c>
      <c r="F425" s="102">
        <v>16.275460000000002</v>
      </c>
      <c r="G425" s="106"/>
      <c r="H425" s="106"/>
      <c r="I425" s="103">
        <f t="shared" si="12"/>
        <v>583.17773</v>
      </c>
      <c r="J425" s="103">
        <f t="shared" si="13"/>
        <v>566.90226999999993</v>
      </c>
      <c r="K425" s="103">
        <v>583.17773</v>
      </c>
      <c r="L425" s="103">
        <v>566.90226999999993</v>
      </c>
    </row>
    <row r="426" spans="1:12" x14ac:dyDescent="0.25">
      <c r="A426" s="100">
        <v>422</v>
      </c>
      <c r="B426" s="107" t="s">
        <v>1416</v>
      </c>
      <c r="C426" s="108">
        <v>3342332</v>
      </c>
      <c r="D426" s="107" t="s">
        <v>1215</v>
      </c>
      <c r="E426" s="106">
        <v>574.79999999999995</v>
      </c>
      <c r="F426" s="102">
        <v>16.275460000000002</v>
      </c>
      <c r="G426" s="106"/>
      <c r="H426" s="106"/>
      <c r="I426" s="103">
        <f t="shared" si="12"/>
        <v>582.93772999999999</v>
      </c>
      <c r="J426" s="103">
        <f t="shared" si="13"/>
        <v>566.66226999999992</v>
      </c>
      <c r="K426" s="103">
        <v>582.93772999999999</v>
      </c>
      <c r="L426" s="103">
        <v>566.66226999999992</v>
      </c>
    </row>
    <row r="427" spans="1:12" x14ac:dyDescent="0.25">
      <c r="A427" s="104">
        <v>423</v>
      </c>
      <c r="B427" s="107" t="s">
        <v>1376</v>
      </c>
      <c r="C427" s="108">
        <v>5412075</v>
      </c>
      <c r="D427" s="107" t="s">
        <v>1157</v>
      </c>
      <c r="E427" s="106">
        <v>582.97</v>
      </c>
      <c r="F427" s="102">
        <v>16.275460000000002</v>
      </c>
      <c r="G427" s="106"/>
      <c r="H427" s="106"/>
      <c r="I427" s="103">
        <f t="shared" si="12"/>
        <v>591.10773000000006</v>
      </c>
      <c r="J427" s="103">
        <f t="shared" si="13"/>
        <v>574.83226999999999</v>
      </c>
      <c r="K427" s="103">
        <v>591.10773000000006</v>
      </c>
      <c r="L427" s="103">
        <v>574.83226999999999</v>
      </c>
    </row>
    <row r="428" spans="1:12" x14ac:dyDescent="0.25">
      <c r="A428" s="100">
        <v>424</v>
      </c>
      <c r="B428" s="107" t="s">
        <v>1484</v>
      </c>
      <c r="C428" s="108">
        <v>3522055</v>
      </c>
      <c r="D428" s="107" t="s">
        <v>1194</v>
      </c>
      <c r="E428" s="106">
        <v>571.04</v>
      </c>
      <c r="F428" s="102">
        <v>16.275460000000002</v>
      </c>
      <c r="G428" s="106"/>
      <c r="H428" s="106"/>
      <c r="I428" s="103">
        <f t="shared" si="12"/>
        <v>579.17773</v>
      </c>
      <c r="J428" s="103">
        <f t="shared" si="13"/>
        <v>562.90226999999993</v>
      </c>
      <c r="K428" s="103">
        <v>579.17773</v>
      </c>
      <c r="L428" s="103">
        <v>562.90226999999993</v>
      </c>
    </row>
    <row r="429" spans="1:12" x14ac:dyDescent="0.25">
      <c r="A429" s="104">
        <v>425</v>
      </c>
      <c r="B429" s="107" t="s">
        <v>1573</v>
      </c>
      <c r="C429" s="108">
        <v>3312035</v>
      </c>
      <c r="D429" s="107" t="s">
        <v>1148</v>
      </c>
      <c r="E429" s="106">
        <v>574.98</v>
      </c>
      <c r="F429" s="102">
        <v>16.275460000000002</v>
      </c>
      <c r="G429" s="106"/>
      <c r="H429" s="106"/>
      <c r="I429" s="103">
        <f t="shared" si="12"/>
        <v>583.11773000000005</v>
      </c>
      <c r="J429" s="103">
        <f t="shared" si="13"/>
        <v>566.84226999999998</v>
      </c>
      <c r="K429" s="103">
        <v>583.11773000000005</v>
      </c>
      <c r="L429" s="103">
        <v>566.84226999999998</v>
      </c>
    </row>
    <row r="430" spans="1:12" x14ac:dyDescent="0.25">
      <c r="A430" s="100">
        <v>426</v>
      </c>
      <c r="B430" s="107" t="s">
        <v>1383</v>
      </c>
      <c r="C430" s="108">
        <v>6112041</v>
      </c>
      <c r="D430" s="107" t="s">
        <v>1147</v>
      </c>
      <c r="E430" s="106">
        <v>583.12</v>
      </c>
      <c r="F430" s="102">
        <v>16.275460000000002</v>
      </c>
      <c r="G430" s="106"/>
      <c r="H430" s="106"/>
      <c r="I430" s="103">
        <f t="shared" si="12"/>
        <v>591.25773000000004</v>
      </c>
      <c r="J430" s="103">
        <f t="shared" si="13"/>
        <v>574.98226999999997</v>
      </c>
      <c r="K430" s="103">
        <v>591.25773000000004</v>
      </c>
      <c r="L430" s="103">
        <v>574.98226999999997</v>
      </c>
    </row>
    <row r="431" spans="1:12" x14ac:dyDescent="0.25">
      <c r="A431" s="104">
        <v>427</v>
      </c>
      <c r="B431" s="107" t="s">
        <v>1416</v>
      </c>
      <c r="C431" s="108">
        <v>3342282</v>
      </c>
      <c r="D431" s="107" t="s">
        <v>1251</v>
      </c>
      <c r="E431" s="106">
        <v>574.82000000000005</v>
      </c>
      <c r="F431" s="102">
        <v>16.275460000000002</v>
      </c>
      <c r="G431" s="106"/>
      <c r="H431" s="106"/>
      <c r="I431" s="103">
        <f t="shared" si="12"/>
        <v>582.95773000000008</v>
      </c>
      <c r="J431" s="103">
        <f t="shared" si="13"/>
        <v>566.68227000000002</v>
      </c>
      <c r="K431" s="103">
        <v>582.95773000000008</v>
      </c>
      <c r="L431" s="103">
        <v>566.68227000000002</v>
      </c>
    </row>
    <row r="432" spans="1:12" x14ac:dyDescent="0.25">
      <c r="A432" s="100">
        <v>428</v>
      </c>
      <c r="B432" s="107" t="s">
        <v>1416</v>
      </c>
      <c r="C432" s="108">
        <v>3342274</v>
      </c>
      <c r="D432" s="107" t="s">
        <v>1213</v>
      </c>
      <c r="E432" s="106">
        <v>570.98</v>
      </c>
      <c r="F432" s="102">
        <v>16.275460000000002</v>
      </c>
      <c r="G432" s="106"/>
      <c r="H432" s="106"/>
      <c r="I432" s="103">
        <f t="shared" si="12"/>
        <v>579.11773000000005</v>
      </c>
      <c r="J432" s="103">
        <f t="shared" si="13"/>
        <v>562.84226999999998</v>
      </c>
      <c r="K432" s="103">
        <v>579.11773000000005</v>
      </c>
      <c r="L432" s="103">
        <v>562.84226999999998</v>
      </c>
    </row>
    <row r="433" spans="1:12" x14ac:dyDescent="0.25">
      <c r="A433" s="104">
        <v>429</v>
      </c>
      <c r="B433" s="107" t="s">
        <v>1444</v>
      </c>
      <c r="C433" s="108">
        <v>3732237</v>
      </c>
      <c r="D433" s="107" t="s">
        <v>1212</v>
      </c>
      <c r="E433" s="106">
        <v>577.29</v>
      </c>
      <c r="F433" s="102">
        <v>16.275460000000002</v>
      </c>
      <c r="G433" s="106"/>
      <c r="H433" s="106"/>
      <c r="I433" s="103">
        <f t="shared" si="12"/>
        <v>585.42773</v>
      </c>
      <c r="J433" s="103">
        <f t="shared" si="13"/>
        <v>569.15226999999993</v>
      </c>
      <c r="K433" s="103">
        <v>585.42773</v>
      </c>
      <c r="L433" s="103">
        <v>569.15226999999993</v>
      </c>
    </row>
    <row r="434" spans="1:12" x14ac:dyDescent="0.25">
      <c r="A434" s="100">
        <v>430</v>
      </c>
      <c r="B434" s="107" t="s">
        <v>1416</v>
      </c>
      <c r="C434" s="108">
        <v>3342146</v>
      </c>
      <c r="D434" s="107" t="s">
        <v>1574</v>
      </c>
      <c r="E434" s="106">
        <v>580.49</v>
      </c>
      <c r="F434" s="102">
        <v>16.275460000000002</v>
      </c>
      <c r="G434" s="106"/>
      <c r="H434" s="106"/>
      <c r="I434" s="103">
        <f t="shared" si="12"/>
        <v>588.62773000000004</v>
      </c>
      <c r="J434" s="103">
        <f t="shared" si="13"/>
        <v>572.35226999999998</v>
      </c>
      <c r="K434" s="103">
        <v>588.62773000000004</v>
      </c>
      <c r="L434" s="103">
        <v>572.35226999999998</v>
      </c>
    </row>
    <row r="435" spans="1:12" x14ac:dyDescent="0.25">
      <c r="A435" s="104">
        <v>431</v>
      </c>
      <c r="B435" s="107" t="s">
        <v>1396</v>
      </c>
      <c r="C435" s="108">
        <v>3232263</v>
      </c>
      <c r="D435" s="107" t="s">
        <v>1185</v>
      </c>
      <c r="E435" s="106">
        <v>572.37</v>
      </c>
      <c r="F435" s="102">
        <v>16.275460000000002</v>
      </c>
      <c r="G435" s="106"/>
      <c r="H435" s="106"/>
      <c r="I435" s="103">
        <f t="shared" si="12"/>
        <v>580.50773000000004</v>
      </c>
      <c r="J435" s="103">
        <f t="shared" si="13"/>
        <v>564.23226999999997</v>
      </c>
      <c r="K435" s="103">
        <v>580.50773000000004</v>
      </c>
      <c r="L435" s="103">
        <v>564.23226999999997</v>
      </c>
    </row>
    <row r="436" spans="1:12" x14ac:dyDescent="0.25">
      <c r="A436" s="100">
        <v>432</v>
      </c>
      <c r="B436" s="107" t="s">
        <v>1351</v>
      </c>
      <c r="C436" s="108">
        <v>3712032</v>
      </c>
      <c r="D436" s="107" t="s">
        <v>1156</v>
      </c>
      <c r="E436" s="106">
        <v>579.41</v>
      </c>
      <c r="F436" s="102">
        <v>16.275460000000002</v>
      </c>
      <c r="G436" s="106"/>
      <c r="H436" s="106"/>
      <c r="I436" s="103">
        <f t="shared" si="12"/>
        <v>587.54773</v>
      </c>
      <c r="J436" s="103">
        <f t="shared" si="13"/>
        <v>571.27226999999993</v>
      </c>
      <c r="K436" s="103">
        <v>587.54773</v>
      </c>
      <c r="L436" s="103">
        <v>571.27226999999993</v>
      </c>
    </row>
    <row r="437" spans="1:12" x14ac:dyDescent="0.25">
      <c r="A437" s="104">
        <v>433</v>
      </c>
      <c r="B437" s="107" t="s">
        <v>1416</v>
      </c>
      <c r="C437" s="108">
        <v>3342011</v>
      </c>
      <c r="D437" s="107" t="s">
        <v>1560</v>
      </c>
      <c r="E437" s="106">
        <v>576.78</v>
      </c>
      <c r="F437" s="102">
        <v>16.275460000000002</v>
      </c>
      <c r="G437" s="106"/>
      <c r="H437" s="106"/>
      <c r="I437" s="103">
        <f t="shared" si="12"/>
        <v>584.91773000000001</v>
      </c>
      <c r="J437" s="103">
        <f t="shared" si="13"/>
        <v>568.64226999999994</v>
      </c>
      <c r="K437" s="103">
        <v>584.91773000000001</v>
      </c>
      <c r="L437" s="103">
        <v>568.64226999999994</v>
      </c>
    </row>
    <row r="438" spans="1:12" x14ac:dyDescent="0.25">
      <c r="A438" s="100">
        <v>434</v>
      </c>
      <c r="B438" s="107" t="s">
        <v>1396</v>
      </c>
      <c r="C438" s="108">
        <v>3232201</v>
      </c>
      <c r="D438" s="107" t="s">
        <v>1567</v>
      </c>
      <c r="E438" s="106">
        <v>572.74</v>
      </c>
      <c r="F438" s="102">
        <v>16.275460000000002</v>
      </c>
      <c r="G438" s="106"/>
      <c r="H438" s="106"/>
      <c r="I438" s="103">
        <f t="shared" si="12"/>
        <v>580.87773000000004</v>
      </c>
      <c r="J438" s="103">
        <f t="shared" si="13"/>
        <v>564.60226999999998</v>
      </c>
      <c r="K438" s="103">
        <v>580.87773000000004</v>
      </c>
      <c r="L438" s="103">
        <v>564.60226999999998</v>
      </c>
    </row>
    <row r="439" spans="1:12" x14ac:dyDescent="0.25">
      <c r="A439" s="104">
        <v>435</v>
      </c>
      <c r="B439" s="107" t="s">
        <v>1546</v>
      </c>
      <c r="C439" s="108">
        <v>3542083</v>
      </c>
      <c r="D439" s="107" t="s">
        <v>1197</v>
      </c>
      <c r="E439" s="106">
        <v>576.66</v>
      </c>
      <c r="F439" s="102">
        <v>16.275460000000002</v>
      </c>
      <c r="G439" s="106"/>
      <c r="H439" s="106"/>
      <c r="I439" s="103">
        <f t="shared" si="12"/>
        <v>584.79773</v>
      </c>
      <c r="J439" s="103">
        <f t="shared" si="13"/>
        <v>568.52226999999993</v>
      </c>
      <c r="K439" s="103">
        <v>584.79773</v>
      </c>
      <c r="L439" s="103">
        <v>568.52226999999993</v>
      </c>
    </row>
    <row r="440" spans="1:12" x14ac:dyDescent="0.25">
      <c r="A440" s="100">
        <v>436</v>
      </c>
      <c r="B440" s="107" t="s">
        <v>1462</v>
      </c>
      <c r="C440" s="108">
        <v>3832351</v>
      </c>
      <c r="D440" s="107" t="s">
        <v>1575</v>
      </c>
      <c r="E440" s="106">
        <v>573.99</v>
      </c>
      <c r="F440" s="102">
        <v>16.275460000000002</v>
      </c>
      <c r="G440" s="106"/>
      <c r="H440" s="106"/>
      <c r="I440" s="103">
        <f t="shared" si="12"/>
        <v>582.12773000000004</v>
      </c>
      <c r="J440" s="103">
        <f t="shared" si="13"/>
        <v>565.85226999999998</v>
      </c>
      <c r="K440" s="103">
        <v>582.12773000000004</v>
      </c>
      <c r="L440" s="103">
        <v>565.85226999999998</v>
      </c>
    </row>
    <row r="441" spans="1:12" x14ac:dyDescent="0.25">
      <c r="A441" s="104">
        <v>437</v>
      </c>
      <c r="B441" s="107" t="s">
        <v>1444</v>
      </c>
      <c r="C441" s="108">
        <v>3732164</v>
      </c>
      <c r="D441" s="107" t="s">
        <v>1186</v>
      </c>
      <c r="E441" s="106">
        <v>573.49</v>
      </c>
      <c r="F441" s="102">
        <v>16.275460000000002</v>
      </c>
      <c r="G441" s="106"/>
      <c r="H441" s="106"/>
      <c r="I441" s="103">
        <f t="shared" si="12"/>
        <v>581.62773000000004</v>
      </c>
      <c r="J441" s="103">
        <f t="shared" si="13"/>
        <v>565.35226999999998</v>
      </c>
      <c r="K441" s="103">
        <v>581.62773000000004</v>
      </c>
      <c r="L441" s="103">
        <v>565.35226999999998</v>
      </c>
    </row>
    <row r="442" spans="1:12" x14ac:dyDescent="0.25">
      <c r="A442" s="100">
        <v>438</v>
      </c>
      <c r="B442" s="107" t="s">
        <v>1306</v>
      </c>
      <c r="C442" s="108">
        <v>1212011</v>
      </c>
      <c r="D442" s="107" t="s">
        <v>1147</v>
      </c>
      <c r="E442" s="106">
        <v>582.11</v>
      </c>
      <c r="F442" s="102">
        <v>16.275460000000002</v>
      </c>
      <c r="G442" s="106"/>
      <c r="H442" s="106"/>
      <c r="I442" s="103">
        <f t="shared" si="12"/>
        <v>590.24773000000005</v>
      </c>
      <c r="J442" s="103">
        <f t="shared" si="13"/>
        <v>573.97226999999998</v>
      </c>
      <c r="K442" s="103">
        <v>590.24773000000005</v>
      </c>
      <c r="L442" s="103">
        <v>573.97226999999998</v>
      </c>
    </row>
    <row r="443" spans="1:12" x14ac:dyDescent="0.25">
      <c r="A443" s="104">
        <v>439</v>
      </c>
      <c r="B443" s="107" t="s">
        <v>1341</v>
      </c>
      <c r="C443" s="108">
        <v>1912096</v>
      </c>
      <c r="D443" s="107" t="s">
        <v>1164</v>
      </c>
      <c r="E443" s="106">
        <v>573.42999999999995</v>
      </c>
      <c r="F443" s="102">
        <v>16.275460000000002</v>
      </c>
      <c r="G443" s="106"/>
      <c r="H443" s="106"/>
      <c r="I443" s="103">
        <f t="shared" si="12"/>
        <v>581.56772999999998</v>
      </c>
      <c r="J443" s="103">
        <f t="shared" si="13"/>
        <v>565.29226999999992</v>
      </c>
      <c r="K443" s="103">
        <v>581.56772999999998</v>
      </c>
      <c r="L443" s="103">
        <v>565.29226999999992</v>
      </c>
    </row>
    <row r="444" spans="1:12" x14ac:dyDescent="0.25">
      <c r="A444" s="100">
        <v>440</v>
      </c>
      <c r="B444" s="107" t="s">
        <v>1341</v>
      </c>
      <c r="C444" s="108">
        <v>1912057</v>
      </c>
      <c r="D444" s="107" t="s">
        <v>1163</v>
      </c>
      <c r="E444" s="106">
        <v>575.99</v>
      </c>
      <c r="F444" s="102">
        <v>16.275460000000002</v>
      </c>
      <c r="G444" s="106"/>
      <c r="H444" s="106"/>
      <c r="I444" s="103">
        <f t="shared" si="12"/>
        <v>584.12773000000004</v>
      </c>
      <c r="J444" s="103">
        <f t="shared" si="13"/>
        <v>567.85226999999998</v>
      </c>
      <c r="K444" s="103">
        <v>584.12773000000004</v>
      </c>
      <c r="L444" s="103">
        <v>567.85226999999998</v>
      </c>
    </row>
    <row r="445" spans="1:12" x14ac:dyDescent="0.25">
      <c r="A445" s="104">
        <v>441</v>
      </c>
      <c r="B445" s="107" t="s">
        <v>1361</v>
      </c>
      <c r="C445" s="108">
        <v>3532324</v>
      </c>
      <c r="D445" s="107" t="s">
        <v>1576</v>
      </c>
      <c r="E445" s="106">
        <v>573.94000000000005</v>
      </c>
      <c r="F445" s="102">
        <v>16.275460000000002</v>
      </c>
      <c r="G445" s="106"/>
      <c r="H445" s="106"/>
      <c r="I445" s="103">
        <f t="shared" si="12"/>
        <v>582.07773000000009</v>
      </c>
      <c r="J445" s="103">
        <f t="shared" si="13"/>
        <v>565.80227000000002</v>
      </c>
      <c r="K445" s="103">
        <v>582.07773000000009</v>
      </c>
      <c r="L445" s="103">
        <v>565.80227000000002</v>
      </c>
    </row>
    <row r="446" spans="1:12" x14ac:dyDescent="0.25">
      <c r="A446" s="100">
        <v>442</v>
      </c>
      <c r="B446" s="107" t="s">
        <v>1416</v>
      </c>
      <c r="C446" s="108">
        <v>3342034</v>
      </c>
      <c r="D446" s="107" t="s">
        <v>1202</v>
      </c>
      <c r="E446" s="106">
        <v>570.16999999999996</v>
      </c>
      <c r="F446" s="102">
        <v>16.275460000000002</v>
      </c>
      <c r="G446" s="106"/>
      <c r="H446" s="106"/>
      <c r="I446" s="103">
        <f t="shared" si="12"/>
        <v>578.30772999999999</v>
      </c>
      <c r="J446" s="103">
        <f t="shared" si="13"/>
        <v>562.03226999999993</v>
      </c>
      <c r="K446" s="103">
        <v>578.30772999999999</v>
      </c>
      <c r="L446" s="103">
        <v>562.03226999999993</v>
      </c>
    </row>
    <row r="447" spans="1:12" x14ac:dyDescent="0.25">
      <c r="A447" s="104">
        <v>443</v>
      </c>
      <c r="B447" s="107" t="s">
        <v>1444</v>
      </c>
      <c r="C447" s="108">
        <v>3732091</v>
      </c>
      <c r="D447" s="107" t="s">
        <v>1225</v>
      </c>
      <c r="E447" s="106">
        <v>584.14</v>
      </c>
      <c r="F447" s="102">
        <v>16.275460000000002</v>
      </c>
      <c r="G447" s="106"/>
      <c r="H447" s="106"/>
      <c r="I447" s="103">
        <f t="shared" si="12"/>
        <v>592.27773000000002</v>
      </c>
      <c r="J447" s="103">
        <f t="shared" si="13"/>
        <v>576.00226999999995</v>
      </c>
      <c r="K447" s="103">
        <v>592.27773000000002</v>
      </c>
      <c r="L447" s="103">
        <v>576.00226999999995</v>
      </c>
    </row>
    <row r="448" spans="1:12" x14ac:dyDescent="0.25">
      <c r="A448" s="100">
        <v>444</v>
      </c>
      <c r="B448" s="107" t="s">
        <v>1520</v>
      </c>
      <c r="C448" s="108">
        <v>3642045</v>
      </c>
      <c r="D448" s="107" t="s">
        <v>1234</v>
      </c>
      <c r="E448" s="106">
        <v>581.22</v>
      </c>
      <c r="F448" s="102">
        <v>16.275460000000002</v>
      </c>
      <c r="G448" s="106"/>
      <c r="H448" s="106"/>
      <c r="I448" s="103">
        <f t="shared" si="12"/>
        <v>589.35773000000006</v>
      </c>
      <c r="J448" s="103">
        <f t="shared" si="13"/>
        <v>573.08226999999999</v>
      </c>
      <c r="K448" s="103">
        <v>589.35773000000006</v>
      </c>
      <c r="L448" s="103">
        <v>573.08226999999999</v>
      </c>
    </row>
    <row r="449" spans="1:12" x14ac:dyDescent="0.25">
      <c r="A449" s="104">
        <v>445</v>
      </c>
      <c r="B449" s="107" t="s">
        <v>1351</v>
      </c>
      <c r="C449" s="108">
        <v>3712016</v>
      </c>
      <c r="D449" s="107" t="s">
        <v>1147</v>
      </c>
      <c r="E449" s="106">
        <v>576.91999999999996</v>
      </c>
      <c r="F449" s="102">
        <v>16.275460000000002</v>
      </c>
      <c r="G449" s="106"/>
      <c r="H449" s="106"/>
      <c r="I449" s="103">
        <f t="shared" si="12"/>
        <v>585.05772999999999</v>
      </c>
      <c r="J449" s="103">
        <f t="shared" si="13"/>
        <v>568.78226999999993</v>
      </c>
      <c r="K449" s="103">
        <v>585.05772999999999</v>
      </c>
      <c r="L449" s="103">
        <v>568.78226999999993</v>
      </c>
    </row>
    <row r="450" spans="1:12" x14ac:dyDescent="0.25">
      <c r="A450" s="100">
        <v>446</v>
      </c>
      <c r="B450" s="107" t="s">
        <v>1462</v>
      </c>
      <c r="C450" s="108">
        <v>3832401</v>
      </c>
      <c r="D450" s="107" t="s">
        <v>1227</v>
      </c>
      <c r="E450" s="106">
        <v>578.9</v>
      </c>
      <c r="F450" s="102">
        <v>16.275460000000002</v>
      </c>
      <c r="G450" s="106"/>
      <c r="H450" s="106"/>
      <c r="I450" s="103">
        <f t="shared" si="12"/>
        <v>587.03773000000001</v>
      </c>
      <c r="J450" s="103">
        <f t="shared" si="13"/>
        <v>570.76226999999994</v>
      </c>
      <c r="K450" s="103">
        <v>587.03773000000001</v>
      </c>
      <c r="L450" s="103">
        <v>570.76226999999994</v>
      </c>
    </row>
    <row r="451" spans="1:12" x14ac:dyDescent="0.25">
      <c r="A451" s="104">
        <v>447</v>
      </c>
      <c r="B451" s="107" t="s">
        <v>1484</v>
      </c>
      <c r="C451" s="108">
        <v>3522063</v>
      </c>
      <c r="D451" s="107" t="s">
        <v>1150</v>
      </c>
      <c r="E451" s="106">
        <v>574.47</v>
      </c>
      <c r="F451" s="102">
        <v>16.275460000000002</v>
      </c>
      <c r="G451" s="106"/>
      <c r="H451" s="106"/>
      <c r="I451" s="103">
        <f t="shared" si="12"/>
        <v>582.60773000000006</v>
      </c>
      <c r="J451" s="103">
        <f t="shared" si="13"/>
        <v>566.33226999999999</v>
      </c>
      <c r="K451" s="103">
        <v>582.60773000000006</v>
      </c>
      <c r="L451" s="103">
        <v>566.33226999999999</v>
      </c>
    </row>
    <row r="452" spans="1:12" x14ac:dyDescent="0.25">
      <c r="A452" s="100">
        <v>448</v>
      </c>
      <c r="B452" s="107" t="s">
        <v>1416</v>
      </c>
      <c r="C452" s="108">
        <v>3342204</v>
      </c>
      <c r="D452" s="107" t="s">
        <v>1211</v>
      </c>
      <c r="E452" s="106">
        <v>570.32000000000005</v>
      </c>
      <c r="F452" s="102">
        <v>16.275460000000002</v>
      </c>
      <c r="G452" s="106"/>
      <c r="H452" s="106"/>
      <c r="I452" s="103">
        <f t="shared" si="12"/>
        <v>578.45773000000008</v>
      </c>
      <c r="J452" s="103">
        <f t="shared" si="13"/>
        <v>562.18227000000002</v>
      </c>
      <c r="K452" s="103">
        <v>578.45773000000008</v>
      </c>
      <c r="L452" s="103">
        <v>562.18227000000002</v>
      </c>
    </row>
    <row r="453" spans="1:12" x14ac:dyDescent="0.25">
      <c r="A453" s="104">
        <v>449</v>
      </c>
      <c r="B453" s="107" t="s">
        <v>1341</v>
      </c>
      <c r="C453" s="108">
        <v>1912212</v>
      </c>
      <c r="D453" s="107" t="s">
        <v>1154</v>
      </c>
      <c r="E453" s="106">
        <v>576.04</v>
      </c>
      <c r="F453" s="102">
        <v>16.275460000000002</v>
      </c>
      <c r="G453" s="106"/>
      <c r="H453" s="106"/>
      <c r="I453" s="103">
        <f t="shared" si="12"/>
        <v>584.17773</v>
      </c>
      <c r="J453" s="103">
        <f t="shared" si="13"/>
        <v>567.90226999999993</v>
      </c>
      <c r="K453" s="103">
        <v>584.17773</v>
      </c>
      <c r="L453" s="103">
        <v>567.90226999999993</v>
      </c>
    </row>
    <row r="454" spans="1:12" x14ac:dyDescent="0.25">
      <c r="A454" s="100">
        <v>450</v>
      </c>
      <c r="B454" s="107" t="s">
        <v>1351</v>
      </c>
      <c r="C454" s="108">
        <v>3712047</v>
      </c>
      <c r="D454" s="107" t="s">
        <v>1243</v>
      </c>
      <c r="E454" s="106">
        <v>575.09</v>
      </c>
      <c r="F454" s="102">
        <v>16.275460000000002</v>
      </c>
      <c r="G454" s="106"/>
      <c r="H454" s="106"/>
      <c r="I454" s="103">
        <f t="shared" ref="I454:I504" si="14">E454+0.5*F454</f>
        <v>583.22773000000007</v>
      </c>
      <c r="J454" s="103">
        <f t="shared" ref="J454:J504" si="15">E454-0.5*F454</f>
        <v>566.95227</v>
      </c>
      <c r="K454" s="103">
        <v>583.22773000000007</v>
      </c>
      <c r="L454" s="103">
        <v>566.95227</v>
      </c>
    </row>
    <row r="455" spans="1:12" x14ac:dyDescent="0.25">
      <c r="A455" s="104">
        <v>451</v>
      </c>
      <c r="B455" s="107" t="s">
        <v>1429</v>
      </c>
      <c r="C455" s="108">
        <v>3562184</v>
      </c>
      <c r="D455" s="107" t="s">
        <v>1577</v>
      </c>
      <c r="E455" s="106">
        <v>575.54999999999995</v>
      </c>
      <c r="F455" s="102">
        <v>16.275460000000002</v>
      </c>
      <c r="G455" s="106"/>
      <c r="H455" s="106"/>
      <c r="I455" s="103">
        <f t="shared" si="14"/>
        <v>583.68772999999999</v>
      </c>
      <c r="J455" s="103">
        <f t="shared" si="15"/>
        <v>567.41226999999992</v>
      </c>
      <c r="K455" s="103">
        <v>583.68772999999999</v>
      </c>
      <c r="L455" s="103">
        <v>567.41226999999992</v>
      </c>
    </row>
    <row r="456" spans="1:12" x14ac:dyDescent="0.25">
      <c r="A456" s="100">
        <v>452</v>
      </c>
      <c r="B456" s="107" t="s">
        <v>1491</v>
      </c>
      <c r="C456" s="108">
        <v>3362093</v>
      </c>
      <c r="D456" s="107" t="s">
        <v>1153</v>
      </c>
      <c r="E456" s="106">
        <v>575.55999999999995</v>
      </c>
      <c r="F456" s="102">
        <v>16.275460000000002</v>
      </c>
      <c r="G456" s="106"/>
      <c r="H456" s="106"/>
      <c r="I456" s="103">
        <f t="shared" si="14"/>
        <v>583.69772999999998</v>
      </c>
      <c r="J456" s="103">
        <f t="shared" si="15"/>
        <v>567.42226999999991</v>
      </c>
      <c r="K456" s="103">
        <v>583.69772999999998</v>
      </c>
      <c r="L456" s="103">
        <v>567.42226999999991</v>
      </c>
    </row>
    <row r="457" spans="1:12" x14ac:dyDescent="0.25">
      <c r="A457" s="104">
        <v>453</v>
      </c>
      <c r="B457" s="107" t="s">
        <v>1444</v>
      </c>
      <c r="C457" s="108">
        <v>3732156</v>
      </c>
      <c r="D457" s="107" t="s">
        <v>1206</v>
      </c>
      <c r="E457" s="106">
        <v>575.41</v>
      </c>
      <c r="F457" s="102">
        <v>16.275460000000002</v>
      </c>
      <c r="G457" s="106"/>
      <c r="H457" s="106"/>
      <c r="I457" s="103">
        <f t="shared" si="14"/>
        <v>583.54773</v>
      </c>
      <c r="J457" s="103">
        <f t="shared" si="15"/>
        <v>567.27226999999993</v>
      </c>
      <c r="K457" s="103">
        <v>583.54773</v>
      </c>
      <c r="L457" s="103">
        <v>567.27226999999993</v>
      </c>
    </row>
    <row r="458" spans="1:12" x14ac:dyDescent="0.25">
      <c r="A458" s="100">
        <v>454</v>
      </c>
      <c r="B458" s="107" t="s">
        <v>1449</v>
      </c>
      <c r="C458" s="108">
        <v>3852011</v>
      </c>
      <c r="D458" s="107" t="s">
        <v>1155</v>
      </c>
      <c r="E458" s="106">
        <v>573.05999999999995</v>
      </c>
      <c r="F458" s="102">
        <v>16.275460000000002</v>
      </c>
      <c r="G458" s="106"/>
      <c r="H458" s="106"/>
      <c r="I458" s="103">
        <f t="shared" si="14"/>
        <v>581.19772999999998</v>
      </c>
      <c r="J458" s="103">
        <f t="shared" si="15"/>
        <v>564.92226999999991</v>
      </c>
      <c r="K458" s="103">
        <v>581.19772999999998</v>
      </c>
      <c r="L458" s="103">
        <v>564.92226999999991</v>
      </c>
    </row>
    <row r="459" spans="1:12" x14ac:dyDescent="0.25">
      <c r="A459" s="104">
        <v>455</v>
      </c>
      <c r="B459" s="107" t="s">
        <v>1312</v>
      </c>
      <c r="C459" s="108">
        <v>7112095</v>
      </c>
      <c r="D459" s="107" t="s">
        <v>1148</v>
      </c>
      <c r="E459" s="106">
        <v>586.84</v>
      </c>
      <c r="F459" s="102">
        <v>16.275460000000002</v>
      </c>
      <c r="G459" s="106"/>
      <c r="H459" s="106"/>
      <c r="I459" s="103">
        <f t="shared" si="14"/>
        <v>594.97773000000007</v>
      </c>
      <c r="J459" s="103">
        <f t="shared" si="15"/>
        <v>578.70227</v>
      </c>
      <c r="K459" s="103">
        <v>594.97773000000007</v>
      </c>
      <c r="L459" s="103">
        <v>578.70227</v>
      </c>
    </row>
    <row r="460" spans="1:12" x14ac:dyDescent="0.25">
      <c r="A460" s="100">
        <v>456</v>
      </c>
      <c r="B460" s="107" t="s">
        <v>1306</v>
      </c>
      <c r="C460" s="108">
        <v>1212227</v>
      </c>
      <c r="D460" s="107" t="s">
        <v>1152</v>
      </c>
      <c r="E460" s="106">
        <v>576.64</v>
      </c>
      <c r="F460" s="102">
        <v>16.275460000000002</v>
      </c>
      <c r="G460" s="106"/>
      <c r="H460" s="106"/>
      <c r="I460" s="103">
        <f t="shared" si="14"/>
        <v>584.77773000000002</v>
      </c>
      <c r="J460" s="103">
        <f t="shared" si="15"/>
        <v>568.50226999999995</v>
      </c>
      <c r="K460" s="103">
        <v>584.77773000000002</v>
      </c>
      <c r="L460" s="103">
        <v>568.50226999999995</v>
      </c>
    </row>
    <row r="461" spans="1:12" x14ac:dyDescent="0.25">
      <c r="A461" s="104">
        <v>457</v>
      </c>
      <c r="B461" s="107" t="s">
        <v>1416</v>
      </c>
      <c r="C461" s="108">
        <v>3342073</v>
      </c>
      <c r="D461" s="107" t="s">
        <v>1205</v>
      </c>
      <c r="E461" s="106">
        <v>573.08000000000004</v>
      </c>
      <c r="F461" s="102">
        <v>16.275460000000002</v>
      </c>
      <c r="G461" s="106"/>
      <c r="H461" s="106"/>
      <c r="I461" s="103">
        <f t="shared" si="14"/>
        <v>581.21773000000007</v>
      </c>
      <c r="J461" s="103">
        <f t="shared" si="15"/>
        <v>564.94227000000001</v>
      </c>
      <c r="K461" s="103">
        <v>581.21773000000007</v>
      </c>
      <c r="L461" s="103">
        <v>564.94227000000001</v>
      </c>
    </row>
    <row r="462" spans="1:12" x14ac:dyDescent="0.25">
      <c r="A462" s="100">
        <v>458</v>
      </c>
      <c r="B462" s="107" t="s">
        <v>1409</v>
      </c>
      <c r="C462" s="108">
        <v>1712047</v>
      </c>
      <c r="D462" s="107" t="s">
        <v>1148</v>
      </c>
      <c r="E462" s="106">
        <v>582.57000000000005</v>
      </c>
      <c r="F462" s="102">
        <v>16.275460000000002</v>
      </c>
      <c r="G462" s="106"/>
      <c r="H462" s="106"/>
      <c r="I462" s="103">
        <f t="shared" si="14"/>
        <v>590.70773000000008</v>
      </c>
      <c r="J462" s="103">
        <f t="shared" si="15"/>
        <v>574.43227000000002</v>
      </c>
      <c r="K462" s="103">
        <v>590.70773000000008</v>
      </c>
      <c r="L462" s="103">
        <v>574.43227000000002</v>
      </c>
    </row>
    <row r="463" spans="1:12" x14ac:dyDescent="0.25">
      <c r="A463" s="104">
        <v>459</v>
      </c>
      <c r="B463" s="107" t="s">
        <v>1361</v>
      </c>
      <c r="C463" s="108">
        <v>3532316</v>
      </c>
      <c r="D463" s="107" t="s">
        <v>1559</v>
      </c>
      <c r="E463" s="106">
        <v>570.01</v>
      </c>
      <c r="F463" s="102">
        <v>16.275460000000002</v>
      </c>
      <c r="G463" s="106"/>
      <c r="H463" s="106"/>
      <c r="I463" s="103">
        <f t="shared" si="14"/>
        <v>578.14773000000002</v>
      </c>
      <c r="J463" s="103">
        <f t="shared" si="15"/>
        <v>561.87226999999996</v>
      </c>
      <c r="K463" s="103">
        <v>578.14773000000002</v>
      </c>
      <c r="L463" s="103">
        <v>561.87226999999996</v>
      </c>
    </row>
    <row r="464" spans="1:12" x14ac:dyDescent="0.25">
      <c r="A464" s="100">
        <v>460</v>
      </c>
      <c r="B464" s="107" t="s">
        <v>1491</v>
      </c>
      <c r="C464" s="108">
        <v>3362031</v>
      </c>
      <c r="D464" s="107" t="s">
        <v>1147</v>
      </c>
      <c r="E464" s="106">
        <v>575.24</v>
      </c>
      <c r="F464" s="102">
        <v>16.275460000000002</v>
      </c>
      <c r="G464" s="106"/>
      <c r="H464" s="106"/>
      <c r="I464" s="103">
        <f t="shared" si="14"/>
        <v>583.37773000000004</v>
      </c>
      <c r="J464" s="103">
        <f t="shared" si="15"/>
        <v>567.10226999999998</v>
      </c>
      <c r="K464" s="103">
        <v>583.37773000000004</v>
      </c>
      <c r="L464" s="103">
        <v>567.10226999999998</v>
      </c>
    </row>
    <row r="465" spans="1:12" x14ac:dyDescent="0.25">
      <c r="A465" s="104">
        <v>461</v>
      </c>
      <c r="B465" s="107" t="s">
        <v>1376</v>
      </c>
      <c r="C465" s="108">
        <v>5412133</v>
      </c>
      <c r="D465" s="107" t="s">
        <v>1178</v>
      </c>
      <c r="E465" s="106">
        <v>572.41</v>
      </c>
      <c r="F465" s="102">
        <v>16.275460000000002</v>
      </c>
      <c r="G465" s="106"/>
      <c r="H465" s="106"/>
      <c r="I465" s="103">
        <f t="shared" si="14"/>
        <v>580.54773</v>
      </c>
      <c r="J465" s="103">
        <f t="shared" si="15"/>
        <v>564.27226999999993</v>
      </c>
      <c r="K465" s="103">
        <v>580.54773</v>
      </c>
      <c r="L465" s="103">
        <v>564.27226999999993</v>
      </c>
    </row>
    <row r="466" spans="1:12" x14ac:dyDescent="0.25">
      <c r="A466" s="100">
        <v>462</v>
      </c>
      <c r="B466" s="107" t="s">
        <v>1462</v>
      </c>
      <c r="C466" s="108">
        <v>3832157</v>
      </c>
      <c r="D466" s="107" t="s">
        <v>1260</v>
      </c>
      <c r="E466" s="106">
        <v>569.54</v>
      </c>
      <c r="F466" s="102">
        <v>16.275460000000002</v>
      </c>
      <c r="G466" s="106"/>
      <c r="H466" s="106"/>
      <c r="I466" s="103">
        <f t="shared" si="14"/>
        <v>577.67773</v>
      </c>
      <c r="J466" s="103">
        <f t="shared" si="15"/>
        <v>561.40226999999993</v>
      </c>
      <c r="K466" s="103">
        <v>577.67773</v>
      </c>
      <c r="L466" s="103">
        <v>561.40226999999993</v>
      </c>
    </row>
    <row r="467" spans="1:12" x14ac:dyDescent="0.25">
      <c r="A467" s="104">
        <v>463</v>
      </c>
      <c r="B467" s="107" t="s">
        <v>1396</v>
      </c>
      <c r="C467" s="108">
        <v>3232232</v>
      </c>
      <c r="D467" s="107" t="s">
        <v>1183</v>
      </c>
      <c r="E467" s="106">
        <v>571.07000000000005</v>
      </c>
      <c r="F467" s="102">
        <v>16.275460000000002</v>
      </c>
      <c r="G467" s="106"/>
      <c r="H467" s="106"/>
      <c r="I467" s="103">
        <f t="shared" si="14"/>
        <v>579.20773000000008</v>
      </c>
      <c r="J467" s="103">
        <f t="shared" si="15"/>
        <v>562.93227000000002</v>
      </c>
      <c r="K467" s="103">
        <v>579.20773000000008</v>
      </c>
      <c r="L467" s="103">
        <v>562.93227000000002</v>
      </c>
    </row>
    <row r="468" spans="1:12" x14ac:dyDescent="0.25">
      <c r="A468" s="100">
        <v>464</v>
      </c>
      <c r="B468" s="107" t="s">
        <v>1520</v>
      </c>
      <c r="C468" s="108">
        <v>3642037</v>
      </c>
      <c r="D468" s="107" t="s">
        <v>1233</v>
      </c>
      <c r="E468" s="106">
        <v>574.84</v>
      </c>
      <c r="F468" s="102">
        <v>16.275460000000002</v>
      </c>
      <c r="G468" s="106"/>
      <c r="H468" s="106"/>
      <c r="I468" s="103">
        <f t="shared" si="14"/>
        <v>582.97773000000007</v>
      </c>
      <c r="J468" s="103">
        <f t="shared" si="15"/>
        <v>566.70227</v>
      </c>
      <c r="K468" s="103">
        <v>582.97773000000007</v>
      </c>
      <c r="L468" s="103">
        <v>566.70227</v>
      </c>
    </row>
    <row r="469" spans="1:12" x14ac:dyDescent="0.25">
      <c r="A469" s="104">
        <v>465</v>
      </c>
      <c r="B469" s="107" t="s">
        <v>1444</v>
      </c>
      <c r="C469" s="108">
        <v>3732311</v>
      </c>
      <c r="D469" s="107" t="s">
        <v>1182</v>
      </c>
      <c r="E469" s="106">
        <v>573.21</v>
      </c>
      <c r="F469" s="102">
        <v>16.275460000000002</v>
      </c>
      <c r="G469" s="106"/>
      <c r="H469" s="106"/>
      <c r="I469" s="103">
        <f t="shared" si="14"/>
        <v>581.34773000000007</v>
      </c>
      <c r="J469" s="103">
        <f t="shared" si="15"/>
        <v>565.07227</v>
      </c>
      <c r="K469" s="103">
        <v>581.34773000000007</v>
      </c>
      <c r="L469" s="103">
        <v>565.07227</v>
      </c>
    </row>
    <row r="470" spans="1:12" x14ac:dyDescent="0.25">
      <c r="A470" s="100">
        <v>466</v>
      </c>
      <c r="B470" s="107" t="s">
        <v>1356</v>
      </c>
      <c r="C470" s="108">
        <v>1312101</v>
      </c>
      <c r="D470" s="107" t="s">
        <v>1148</v>
      </c>
      <c r="E470" s="106">
        <v>578.54</v>
      </c>
      <c r="F470" s="102">
        <v>16.275460000000002</v>
      </c>
      <c r="G470" s="106"/>
      <c r="H470" s="106"/>
      <c r="I470" s="103">
        <f t="shared" si="14"/>
        <v>586.67773</v>
      </c>
      <c r="J470" s="103">
        <f t="shared" si="15"/>
        <v>570.40226999999993</v>
      </c>
      <c r="K470" s="103">
        <v>586.67773</v>
      </c>
      <c r="L470" s="103">
        <v>570.40226999999993</v>
      </c>
    </row>
    <row r="471" spans="1:12" x14ac:dyDescent="0.25">
      <c r="A471" s="104">
        <v>467</v>
      </c>
      <c r="B471" s="107" t="s">
        <v>1444</v>
      </c>
      <c r="C471" s="108">
        <v>3732013</v>
      </c>
      <c r="D471" s="107" t="s">
        <v>1201</v>
      </c>
      <c r="E471" s="106">
        <v>571.47</v>
      </c>
      <c r="F471" s="102">
        <v>16.275460000000002</v>
      </c>
      <c r="G471" s="106"/>
      <c r="H471" s="106"/>
      <c r="I471" s="103">
        <f t="shared" si="14"/>
        <v>579.60773000000006</v>
      </c>
      <c r="J471" s="103">
        <f t="shared" si="15"/>
        <v>563.33226999999999</v>
      </c>
      <c r="K471" s="103">
        <v>579.60773000000006</v>
      </c>
      <c r="L471" s="103">
        <v>563.33226999999999</v>
      </c>
    </row>
    <row r="472" spans="1:12" x14ac:dyDescent="0.25">
      <c r="A472" s="100">
        <v>468</v>
      </c>
      <c r="B472" s="107" t="s">
        <v>1429</v>
      </c>
      <c r="C472" s="108">
        <v>3562242</v>
      </c>
      <c r="D472" s="107" t="s">
        <v>1551</v>
      </c>
      <c r="E472" s="106">
        <v>562.97</v>
      </c>
      <c r="F472" s="102">
        <v>16.275460000000002</v>
      </c>
      <c r="G472" s="106"/>
      <c r="H472" s="106"/>
      <c r="I472" s="103">
        <f t="shared" si="14"/>
        <v>571.10773000000006</v>
      </c>
      <c r="J472" s="103">
        <f t="shared" si="15"/>
        <v>554.83226999999999</v>
      </c>
      <c r="K472" s="103">
        <v>571.10773000000006</v>
      </c>
      <c r="L472" s="103">
        <v>554.83226999999999</v>
      </c>
    </row>
    <row r="473" spans="1:12" x14ac:dyDescent="0.25">
      <c r="A473" s="104">
        <v>469</v>
      </c>
      <c r="B473" s="107" t="s">
        <v>1429</v>
      </c>
      <c r="C473" s="108">
        <v>3562354</v>
      </c>
      <c r="D473" s="107" t="s">
        <v>1180</v>
      </c>
      <c r="E473" s="106">
        <v>571.29</v>
      </c>
      <c r="F473" s="102">
        <v>16.275460000000002</v>
      </c>
      <c r="G473" s="106"/>
      <c r="H473" s="106"/>
      <c r="I473" s="103">
        <f t="shared" si="14"/>
        <v>579.42773</v>
      </c>
      <c r="J473" s="103">
        <f t="shared" si="15"/>
        <v>563.15226999999993</v>
      </c>
      <c r="K473" s="103">
        <v>579.42773</v>
      </c>
      <c r="L473" s="103">
        <v>563.15226999999993</v>
      </c>
    </row>
    <row r="474" spans="1:12" x14ac:dyDescent="0.25">
      <c r="A474" s="100">
        <v>470</v>
      </c>
      <c r="B474" s="107" t="s">
        <v>1558</v>
      </c>
      <c r="C474" s="108">
        <v>3112056</v>
      </c>
      <c r="D474" s="107" t="s">
        <v>1166</v>
      </c>
      <c r="E474" s="106">
        <v>572.08000000000004</v>
      </c>
      <c r="F474" s="102">
        <v>16.275460000000002</v>
      </c>
      <c r="G474" s="106"/>
      <c r="H474" s="106"/>
      <c r="I474" s="103">
        <f t="shared" si="14"/>
        <v>580.21773000000007</v>
      </c>
      <c r="J474" s="103">
        <f t="shared" si="15"/>
        <v>563.94227000000001</v>
      </c>
      <c r="K474" s="103">
        <v>580.21773000000007</v>
      </c>
      <c r="L474" s="103">
        <v>563.94227000000001</v>
      </c>
    </row>
    <row r="475" spans="1:12" x14ac:dyDescent="0.25">
      <c r="A475" s="104">
        <v>471</v>
      </c>
      <c r="B475" s="107" t="s">
        <v>1306</v>
      </c>
      <c r="C475" s="108">
        <v>1212146</v>
      </c>
      <c r="D475" s="107" t="s">
        <v>1151</v>
      </c>
      <c r="E475" s="106">
        <v>570.33000000000004</v>
      </c>
      <c r="F475" s="102">
        <v>16.275460000000002</v>
      </c>
      <c r="G475" s="106"/>
      <c r="H475" s="106"/>
      <c r="I475" s="103">
        <f t="shared" si="14"/>
        <v>578.46773000000007</v>
      </c>
      <c r="J475" s="103">
        <f t="shared" si="15"/>
        <v>562.19227000000001</v>
      </c>
      <c r="K475" s="103">
        <v>578.46773000000007</v>
      </c>
      <c r="L475" s="103">
        <v>562.19227000000001</v>
      </c>
    </row>
    <row r="476" spans="1:12" x14ac:dyDescent="0.25">
      <c r="A476" s="100">
        <v>472</v>
      </c>
      <c r="B476" s="107" t="s">
        <v>1383</v>
      </c>
      <c r="C476" s="108">
        <v>6112095</v>
      </c>
      <c r="D476" s="107" t="s">
        <v>1151</v>
      </c>
      <c r="E476" s="106">
        <v>573.36</v>
      </c>
      <c r="F476" s="102">
        <v>16.275460000000002</v>
      </c>
      <c r="G476" s="106"/>
      <c r="H476" s="106"/>
      <c r="I476" s="103">
        <f t="shared" si="14"/>
        <v>581.49773000000005</v>
      </c>
      <c r="J476" s="103">
        <f t="shared" si="15"/>
        <v>565.22226999999998</v>
      </c>
      <c r="K476" s="103">
        <v>581.49773000000005</v>
      </c>
      <c r="L476" s="103">
        <v>565.22226999999998</v>
      </c>
    </row>
    <row r="477" spans="1:12" x14ac:dyDescent="0.25">
      <c r="A477" s="104">
        <v>473</v>
      </c>
      <c r="B477" s="107" t="s">
        <v>1383</v>
      </c>
      <c r="C477" s="108">
        <v>6112203</v>
      </c>
      <c r="D477" s="107" t="s">
        <v>1166</v>
      </c>
      <c r="E477" s="106">
        <v>575.94000000000005</v>
      </c>
      <c r="F477" s="102">
        <v>16.275460000000002</v>
      </c>
      <c r="G477" s="106"/>
      <c r="H477" s="106"/>
      <c r="I477" s="103">
        <f t="shared" si="14"/>
        <v>584.07773000000009</v>
      </c>
      <c r="J477" s="103">
        <f t="shared" si="15"/>
        <v>567.80227000000002</v>
      </c>
      <c r="K477" s="103">
        <v>584.07773000000009</v>
      </c>
      <c r="L477" s="103">
        <v>567.80227000000002</v>
      </c>
    </row>
    <row r="478" spans="1:12" x14ac:dyDescent="0.25">
      <c r="A478" s="100">
        <v>474</v>
      </c>
      <c r="B478" s="107" t="s">
        <v>1462</v>
      </c>
      <c r="C478" s="108">
        <v>3832196</v>
      </c>
      <c r="D478" s="107" t="s">
        <v>1262</v>
      </c>
      <c r="E478" s="106">
        <v>569.48</v>
      </c>
      <c r="F478" s="102">
        <v>16.275460000000002</v>
      </c>
      <c r="G478" s="106"/>
      <c r="H478" s="106"/>
      <c r="I478" s="103">
        <f t="shared" si="14"/>
        <v>577.61773000000005</v>
      </c>
      <c r="J478" s="103">
        <f t="shared" si="15"/>
        <v>561.34226999999998</v>
      </c>
      <c r="K478" s="103">
        <v>577.61773000000005</v>
      </c>
      <c r="L478" s="103">
        <v>561.34226999999998</v>
      </c>
    </row>
    <row r="479" spans="1:12" x14ac:dyDescent="0.25">
      <c r="A479" s="104">
        <v>475</v>
      </c>
      <c r="B479" s="107" t="s">
        <v>1396</v>
      </c>
      <c r="C479" s="108">
        <v>3232151</v>
      </c>
      <c r="D479" s="107" t="s">
        <v>1180</v>
      </c>
      <c r="E479" s="106">
        <v>569.48</v>
      </c>
      <c r="F479" s="102">
        <v>16.275460000000002</v>
      </c>
      <c r="G479" s="106"/>
      <c r="H479" s="106"/>
      <c r="I479" s="103">
        <f t="shared" si="14"/>
        <v>577.61773000000005</v>
      </c>
      <c r="J479" s="103">
        <f t="shared" si="15"/>
        <v>561.34226999999998</v>
      </c>
      <c r="K479" s="103">
        <v>577.61773000000005</v>
      </c>
      <c r="L479" s="103">
        <v>561.34226999999998</v>
      </c>
    </row>
    <row r="480" spans="1:12" x14ac:dyDescent="0.25">
      <c r="A480" s="100">
        <v>476</v>
      </c>
      <c r="B480" s="107" t="s">
        <v>1318</v>
      </c>
      <c r="C480" s="108">
        <v>3812184</v>
      </c>
      <c r="D480" s="107" t="s">
        <v>1578</v>
      </c>
      <c r="E480" s="106">
        <v>577.74</v>
      </c>
      <c r="F480" s="102">
        <v>16.275460000000002</v>
      </c>
      <c r="G480" s="106"/>
      <c r="H480" s="106"/>
      <c r="I480" s="103">
        <f t="shared" si="14"/>
        <v>585.87773000000004</v>
      </c>
      <c r="J480" s="103">
        <f t="shared" si="15"/>
        <v>569.60226999999998</v>
      </c>
      <c r="K480" s="103">
        <v>585.87773000000004</v>
      </c>
      <c r="L480" s="103">
        <v>569.60226999999998</v>
      </c>
    </row>
    <row r="481" spans="1:12" x14ac:dyDescent="0.25">
      <c r="A481" s="104">
        <v>477</v>
      </c>
      <c r="B481" s="107" t="s">
        <v>1566</v>
      </c>
      <c r="C481" s="108">
        <v>3422077</v>
      </c>
      <c r="D481" s="107" t="s">
        <v>1150</v>
      </c>
      <c r="E481" s="106">
        <v>569.07000000000005</v>
      </c>
      <c r="F481" s="102">
        <v>16.275460000000002</v>
      </c>
      <c r="G481" s="106"/>
      <c r="H481" s="106"/>
      <c r="I481" s="103">
        <f t="shared" si="14"/>
        <v>577.20773000000008</v>
      </c>
      <c r="J481" s="103">
        <f t="shared" si="15"/>
        <v>560.93227000000002</v>
      </c>
      <c r="K481" s="103">
        <v>577.20773000000008</v>
      </c>
      <c r="L481" s="103">
        <v>560.93227000000002</v>
      </c>
    </row>
    <row r="482" spans="1:12" x14ac:dyDescent="0.25">
      <c r="A482" s="100">
        <v>478</v>
      </c>
      <c r="B482" s="107" t="s">
        <v>1491</v>
      </c>
      <c r="C482" s="108">
        <v>3362062</v>
      </c>
      <c r="D482" s="107" t="s">
        <v>1221</v>
      </c>
      <c r="E482" s="106">
        <v>570.95000000000005</v>
      </c>
      <c r="F482" s="102">
        <v>16.275460000000002</v>
      </c>
      <c r="G482" s="106"/>
      <c r="H482" s="106"/>
      <c r="I482" s="103">
        <f t="shared" si="14"/>
        <v>579.08773000000008</v>
      </c>
      <c r="J482" s="103">
        <f t="shared" si="15"/>
        <v>562.81227000000001</v>
      </c>
      <c r="K482" s="103">
        <v>579.08773000000008</v>
      </c>
      <c r="L482" s="103">
        <v>562.81227000000001</v>
      </c>
    </row>
    <row r="483" spans="1:12" x14ac:dyDescent="0.25">
      <c r="A483" s="104">
        <v>479</v>
      </c>
      <c r="B483" s="107" t="s">
        <v>1429</v>
      </c>
      <c r="C483" s="108">
        <v>3562393</v>
      </c>
      <c r="D483" s="107" t="s">
        <v>1553</v>
      </c>
      <c r="E483" s="106">
        <v>569.01</v>
      </c>
      <c r="F483" s="102">
        <v>16.275460000000002</v>
      </c>
      <c r="G483" s="106"/>
      <c r="H483" s="106"/>
      <c r="I483" s="103">
        <f t="shared" si="14"/>
        <v>577.14773000000002</v>
      </c>
      <c r="J483" s="103">
        <f t="shared" si="15"/>
        <v>560.87226999999996</v>
      </c>
      <c r="K483" s="103">
        <v>577.14773000000002</v>
      </c>
      <c r="L483" s="103">
        <v>560.87226999999996</v>
      </c>
    </row>
    <row r="484" spans="1:12" x14ac:dyDescent="0.25">
      <c r="A484" s="100">
        <v>480</v>
      </c>
      <c r="B484" s="107" t="s">
        <v>1484</v>
      </c>
      <c r="C484" s="108">
        <v>3522047</v>
      </c>
      <c r="D484" s="107" t="s">
        <v>1223</v>
      </c>
      <c r="E484" s="106">
        <v>565.54</v>
      </c>
      <c r="F484" s="102">
        <v>16.275460000000002</v>
      </c>
      <c r="G484" s="106"/>
      <c r="H484" s="106"/>
      <c r="I484" s="103">
        <f t="shared" si="14"/>
        <v>573.67773</v>
      </c>
      <c r="J484" s="103">
        <f t="shared" si="15"/>
        <v>557.40226999999993</v>
      </c>
      <c r="K484" s="103">
        <v>573.67773</v>
      </c>
      <c r="L484" s="103">
        <v>557.40226999999993</v>
      </c>
    </row>
    <row r="485" spans="1:12" x14ac:dyDescent="0.25">
      <c r="A485" s="104">
        <v>481</v>
      </c>
      <c r="B485" s="107" t="s">
        <v>1558</v>
      </c>
      <c r="C485" s="108">
        <v>3112064</v>
      </c>
      <c r="D485" s="107" t="s">
        <v>1149</v>
      </c>
      <c r="E485" s="106">
        <v>571.14</v>
      </c>
      <c r="F485" s="102">
        <v>16.275460000000002</v>
      </c>
      <c r="G485" s="106"/>
      <c r="H485" s="106"/>
      <c r="I485" s="103">
        <f t="shared" si="14"/>
        <v>579.27773000000002</v>
      </c>
      <c r="J485" s="103">
        <f t="shared" si="15"/>
        <v>563.00226999999995</v>
      </c>
      <c r="K485" s="103">
        <v>579.27773000000002</v>
      </c>
      <c r="L485" s="103">
        <v>563.00226999999995</v>
      </c>
    </row>
    <row r="486" spans="1:12" x14ac:dyDescent="0.25">
      <c r="A486" s="100">
        <v>482</v>
      </c>
      <c r="B486" s="107" t="s">
        <v>1396</v>
      </c>
      <c r="C486" s="108">
        <v>3232023</v>
      </c>
      <c r="D486" s="107" t="s">
        <v>1203</v>
      </c>
      <c r="E486" s="106">
        <v>568.94000000000005</v>
      </c>
      <c r="F486" s="102">
        <v>16.275460000000002</v>
      </c>
      <c r="G486" s="106"/>
      <c r="H486" s="106"/>
      <c r="I486" s="103">
        <f t="shared" si="14"/>
        <v>577.07773000000009</v>
      </c>
      <c r="J486" s="103">
        <f t="shared" si="15"/>
        <v>560.80227000000002</v>
      </c>
      <c r="K486" s="103">
        <v>577.07773000000009</v>
      </c>
      <c r="L486" s="103">
        <v>560.80227000000002</v>
      </c>
    </row>
    <row r="487" spans="1:12" x14ac:dyDescent="0.25">
      <c r="A487" s="104">
        <v>483</v>
      </c>
      <c r="B487" s="107" t="s">
        <v>1491</v>
      </c>
      <c r="C487" s="108">
        <v>3362046</v>
      </c>
      <c r="D487" s="107" t="s">
        <v>1150</v>
      </c>
      <c r="E487" s="106">
        <v>570.09</v>
      </c>
      <c r="F487" s="102">
        <v>16.275460000000002</v>
      </c>
      <c r="G487" s="106"/>
      <c r="H487" s="106"/>
      <c r="I487" s="103">
        <f t="shared" si="14"/>
        <v>578.22773000000007</v>
      </c>
      <c r="J487" s="103">
        <f t="shared" si="15"/>
        <v>561.95227</v>
      </c>
      <c r="K487" s="103">
        <v>578.22773000000007</v>
      </c>
      <c r="L487" s="103">
        <v>561.95227</v>
      </c>
    </row>
    <row r="488" spans="1:12" x14ac:dyDescent="0.25">
      <c r="A488" s="100">
        <v>484</v>
      </c>
      <c r="B488" s="107" t="s">
        <v>1462</v>
      </c>
      <c r="C488" s="108">
        <v>3832022</v>
      </c>
      <c r="D488" s="107" t="s">
        <v>1258</v>
      </c>
      <c r="E488" s="106">
        <v>565.52</v>
      </c>
      <c r="F488" s="102">
        <v>16.275460000000002</v>
      </c>
      <c r="G488" s="106"/>
      <c r="H488" s="106"/>
      <c r="I488" s="103">
        <f t="shared" si="14"/>
        <v>573.65773000000002</v>
      </c>
      <c r="J488" s="103">
        <f t="shared" si="15"/>
        <v>557.38226999999995</v>
      </c>
      <c r="K488" s="103">
        <v>573.65773000000002</v>
      </c>
      <c r="L488" s="103">
        <v>557.38226999999995</v>
      </c>
    </row>
    <row r="489" spans="1:12" x14ac:dyDescent="0.25">
      <c r="A489" s="104">
        <v>485</v>
      </c>
      <c r="B489" s="107" t="s">
        <v>1491</v>
      </c>
      <c r="C489" s="108">
        <v>3362054</v>
      </c>
      <c r="D489" s="107" t="s">
        <v>1220</v>
      </c>
      <c r="E489" s="106">
        <v>564.48</v>
      </c>
      <c r="F489" s="102">
        <v>16.275460000000002</v>
      </c>
      <c r="G489" s="106"/>
      <c r="H489" s="106"/>
      <c r="I489" s="103">
        <f t="shared" si="14"/>
        <v>572.61773000000005</v>
      </c>
      <c r="J489" s="103">
        <f t="shared" si="15"/>
        <v>556.34226999999998</v>
      </c>
      <c r="K489" s="103">
        <v>572.61773000000005</v>
      </c>
      <c r="L489" s="103">
        <v>556.34226999999998</v>
      </c>
    </row>
    <row r="490" spans="1:12" x14ac:dyDescent="0.25">
      <c r="A490" s="100">
        <v>486</v>
      </c>
      <c r="B490" s="107" t="s">
        <v>1416</v>
      </c>
      <c r="C490" s="108">
        <v>3342107</v>
      </c>
      <c r="D490" s="107" t="s">
        <v>1207</v>
      </c>
      <c r="E490" s="106">
        <v>575.47</v>
      </c>
      <c r="F490" s="102">
        <v>16.275460000000002</v>
      </c>
      <c r="G490" s="106"/>
      <c r="H490" s="106"/>
      <c r="I490" s="103">
        <f t="shared" si="14"/>
        <v>583.60773000000006</v>
      </c>
      <c r="J490" s="103">
        <f t="shared" si="15"/>
        <v>567.33226999999999</v>
      </c>
      <c r="K490" s="103">
        <v>583.60773000000006</v>
      </c>
      <c r="L490" s="103">
        <v>567.33226999999999</v>
      </c>
    </row>
    <row r="491" spans="1:12" x14ac:dyDescent="0.25">
      <c r="A491" s="104">
        <v>487</v>
      </c>
      <c r="B491" s="107" t="s">
        <v>1382</v>
      </c>
      <c r="C491" s="108">
        <v>5112072</v>
      </c>
      <c r="D491" s="107" t="s">
        <v>1269</v>
      </c>
      <c r="E491" s="106">
        <v>571.17999999999995</v>
      </c>
      <c r="F491" s="102">
        <v>16.275460000000002</v>
      </c>
      <c r="G491" s="106"/>
      <c r="H491" s="106"/>
      <c r="I491" s="103">
        <f t="shared" si="14"/>
        <v>579.31772999999998</v>
      </c>
      <c r="J491" s="103">
        <f t="shared" si="15"/>
        <v>563.04226999999992</v>
      </c>
      <c r="K491" s="103">
        <v>579.31772999999998</v>
      </c>
      <c r="L491" s="103">
        <v>563.04226999999992</v>
      </c>
    </row>
    <row r="492" spans="1:12" x14ac:dyDescent="0.25">
      <c r="A492" s="100">
        <v>488</v>
      </c>
      <c r="B492" s="107" t="s">
        <v>1409</v>
      </c>
      <c r="C492" s="108">
        <v>1712032</v>
      </c>
      <c r="D492" s="107" t="s">
        <v>1150</v>
      </c>
      <c r="E492" s="106">
        <v>571.61</v>
      </c>
      <c r="F492" s="102">
        <v>16.275460000000002</v>
      </c>
      <c r="G492" s="106"/>
      <c r="H492" s="106"/>
      <c r="I492" s="103">
        <f t="shared" si="14"/>
        <v>579.74773000000005</v>
      </c>
      <c r="J492" s="103">
        <f t="shared" si="15"/>
        <v>563.47226999999998</v>
      </c>
      <c r="K492" s="103">
        <v>579.74773000000005</v>
      </c>
      <c r="L492" s="103">
        <v>563.47226999999998</v>
      </c>
    </row>
    <row r="493" spans="1:12" x14ac:dyDescent="0.25">
      <c r="A493" s="104">
        <v>489</v>
      </c>
      <c r="B493" s="107" t="s">
        <v>1558</v>
      </c>
      <c r="C493" s="108">
        <v>3112025</v>
      </c>
      <c r="D493" s="107" t="s">
        <v>1150</v>
      </c>
      <c r="E493" s="106">
        <v>568.6</v>
      </c>
      <c r="F493" s="102">
        <v>16.275460000000002</v>
      </c>
      <c r="G493" s="106"/>
      <c r="H493" s="106"/>
      <c r="I493" s="103">
        <f t="shared" si="14"/>
        <v>576.73773000000006</v>
      </c>
      <c r="J493" s="103">
        <f t="shared" si="15"/>
        <v>560.46226999999999</v>
      </c>
      <c r="K493" s="103">
        <v>576.73773000000006</v>
      </c>
      <c r="L493" s="103">
        <v>560.46226999999999</v>
      </c>
    </row>
    <row r="494" spans="1:12" x14ac:dyDescent="0.25">
      <c r="A494" s="100">
        <v>490</v>
      </c>
      <c r="B494" s="107" t="s">
        <v>1307</v>
      </c>
      <c r="C494" s="108">
        <v>3742112</v>
      </c>
      <c r="D494" s="107" t="s">
        <v>1148</v>
      </c>
      <c r="E494" s="106">
        <v>567.45000000000005</v>
      </c>
      <c r="F494" s="102">
        <v>16.275460000000002</v>
      </c>
      <c r="G494" s="106"/>
      <c r="H494" s="106"/>
      <c r="I494" s="103">
        <f t="shared" si="14"/>
        <v>575.58773000000008</v>
      </c>
      <c r="J494" s="103">
        <f t="shared" si="15"/>
        <v>559.31227000000001</v>
      </c>
      <c r="K494" s="103">
        <v>575.58773000000008</v>
      </c>
      <c r="L494" s="103">
        <v>559.31227000000001</v>
      </c>
    </row>
    <row r="495" spans="1:12" x14ac:dyDescent="0.25">
      <c r="A495" s="104">
        <v>491</v>
      </c>
      <c r="B495" s="107" t="s">
        <v>1579</v>
      </c>
      <c r="C495" s="108">
        <v>3572194</v>
      </c>
      <c r="D495" s="107" t="s">
        <v>1153</v>
      </c>
      <c r="E495" s="106">
        <v>566.52</v>
      </c>
      <c r="F495" s="102">
        <v>16.275460000000002</v>
      </c>
      <c r="G495" s="106"/>
      <c r="H495" s="106"/>
      <c r="I495" s="103">
        <f t="shared" si="14"/>
        <v>574.65773000000002</v>
      </c>
      <c r="J495" s="103">
        <f t="shared" si="15"/>
        <v>558.38226999999995</v>
      </c>
      <c r="K495" s="103">
        <v>574.65773000000002</v>
      </c>
      <c r="L495" s="103">
        <v>558.38226999999995</v>
      </c>
    </row>
    <row r="496" spans="1:12" x14ac:dyDescent="0.25">
      <c r="A496" s="100">
        <v>492</v>
      </c>
      <c r="B496" s="107" t="s">
        <v>1429</v>
      </c>
      <c r="C496" s="108">
        <v>3562106</v>
      </c>
      <c r="D496" s="107" t="s">
        <v>1251</v>
      </c>
      <c r="E496" s="106">
        <v>567.26</v>
      </c>
      <c r="F496" s="102">
        <v>16.275460000000002</v>
      </c>
      <c r="G496" s="106"/>
      <c r="H496" s="106"/>
      <c r="I496" s="103">
        <f t="shared" si="14"/>
        <v>575.39773000000002</v>
      </c>
      <c r="J496" s="103">
        <f t="shared" si="15"/>
        <v>559.12226999999996</v>
      </c>
      <c r="K496" s="103">
        <v>575.39773000000002</v>
      </c>
      <c r="L496" s="103">
        <v>559.12226999999996</v>
      </c>
    </row>
    <row r="497" spans="1:12" x14ac:dyDescent="0.25">
      <c r="A497" s="104">
        <v>493</v>
      </c>
      <c r="B497" s="107" t="s">
        <v>1558</v>
      </c>
      <c r="C497" s="108">
        <v>3112041</v>
      </c>
      <c r="D497" s="107" t="s">
        <v>1155</v>
      </c>
      <c r="E497" s="106">
        <v>565.9</v>
      </c>
      <c r="F497" s="102">
        <v>16.275460000000002</v>
      </c>
      <c r="G497" s="106"/>
      <c r="H497" s="106"/>
      <c r="I497" s="103">
        <f t="shared" si="14"/>
        <v>574.03773000000001</v>
      </c>
      <c r="J497" s="103">
        <f t="shared" si="15"/>
        <v>557.76226999999994</v>
      </c>
      <c r="K497" s="103">
        <v>574.03773000000001</v>
      </c>
      <c r="L497" s="103">
        <v>557.76226999999994</v>
      </c>
    </row>
    <row r="498" spans="1:12" x14ac:dyDescent="0.25">
      <c r="A498" s="100">
        <v>494</v>
      </c>
      <c r="B498" s="107" t="s">
        <v>1416</v>
      </c>
      <c r="C498" s="108">
        <v>3342614</v>
      </c>
      <c r="D498" s="107" t="s">
        <v>1219</v>
      </c>
      <c r="E498" s="106">
        <v>569.36</v>
      </c>
      <c r="F498" s="102">
        <v>16.275460000000002</v>
      </c>
      <c r="G498" s="106"/>
      <c r="H498" s="106"/>
      <c r="I498" s="103">
        <f t="shared" si="14"/>
        <v>577.49773000000005</v>
      </c>
      <c r="J498" s="103">
        <f t="shared" si="15"/>
        <v>561.22226999999998</v>
      </c>
      <c r="K498" s="103">
        <v>577.49773000000005</v>
      </c>
      <c r="L498" s="103">
        <v>561.22226999999998</v>
      </c>
    </row>
    <row r="499" spans="1:12" x14ac:dyDescent="0.25">
      <c r="A499" s="104">
        <v>495</v>
      </c>
      <c r="B499" s="107" t="s">
        <v>1569</v>
      </c>
      <c r="C499" s="108">
        <v>1422216</v>
      </c>
      <c r="D499" s="107" t="s">
        <v>1160</v>
      </c>
      <c r="E499" s="106">
        <v>565.03</v>
      </c>
      <c r="F499" s="102">
        <v>16.275460000000002</v>
      </c>
      <c r="G499" s="106"/>
      <c r="H499" s="106"/>
      <c r="I499" s="103">
        <f t="shared" si="14"/>
        <v>573.16773000000001</v>
      </c>
      <c r="J499" s="103">
        <f t="shared" si="15"/>
        <v>556.89226999999994</v>
      </c>
      <c r="K499" s="103">
        <v>573.16773000000001</v>
      </c>
      <c r="L499" s="103">
        <v>556.89226999999994</v>
      </c>
    </row>
    <row r="500" spans="1:12" x14ac:dyDescent="0.25">
      <c r="A500" s="100">
        <v>496</v>
      </c>
      <c r="B500" s="107" t="s">
        <v>1573</v>
      </c>
      <c r="C500" s="108">
        <v>3312097</v>
      </c>
      <c r="D500" s="107" t="s">
        <v>1149</v>
      </c>
      <c r="E500" s="106">
        <v>566.07000000000005</v>
      </c>
      <c r="F500" s="102">
        <v>16.275460000000002</v>
      </c>
      <c r="G500" s="106"/>
      <c r="H500" s="106"/>
      <c r="I500" s="103">
        <f t="shared" si="14"/>
        <v>574.20773000000008</v>
      </c>
      <c r="J500" s="103">
        <f t="shared" si="15"/>
        <v>557.93227000000002</v>
      </c>
      <c r="K500" s="103">
        <v>574.20773000000008</v>
      </c>
      <c r="L500" s="103">
        <v>557.93227000000002</v>
      </c>
    </row>
    <row r="501" spans="1:12" x14ac:dyDescent="0.25">
      <c r="A501" s="104">
        <v>497</v>
      </c>
      <c r="B501" s="107" t="s">
        <v>1444</v>
      </c>
      <c r="C501" s="108">
        <v>3732133</v>
      </c>
      <c r="D501" s="107" t="s">
        <v>1179</v>
      </c>
      <c r="E501" s="106">
        <v>570.44000000000005</v>
      </c>
      <c r="F501" s="102">
        <v>16.275460000000002</v>
      </c>
      <c r="G501" s="106"/>
      <c r="H501" s="106"/>
      <c r="I501" s="103">
        <f t="shared" si="14"/>
        <v>578.57773000000009</v>
      </c>
      <c r="J501" s="103">
        <f t="shared" si="15"/>
        <v>562.30227000000002</v>
      </c>
      <c r="K501" s="103">
        <v>578.57773000000009</v>
      </c>
      <c r="L501" s="103">
        <v>562.30227000000002</v>
      </c>
    </row>
    <row r="502" spans="1:12" x14ac:dyDescent="0.25">
      <c r="A502" s="100">
        <v>498</v>
      </c>
      <c r="B502" s="107" t="s">
        <v>1351</v>
      </c>
      <c r="C502" s="108">
        <v>3712136</v>
      </c>
      <c r="D502" s="107" t="s">
        <v>1178</v>
      </c>
      <c r="E502" s="106">
        <v>566.36</v>
      </c>
      <c r="F502" s="102">
        <v>16.275460000000002</v>
      </c>
      <c r="G502" s="106"/>
      <c r="H502" s="106"/>
      <c r="I502" s="103">
        <f t="shared" si="14"/>
        <v>574.49773000000005</v>
      </c>
      <c r="J502" s="103">
        <f t="shared" si="15"/>
        <v>558.22226999999998</v>
      </c>
      <c r="K502" s="103">
        <v>574.49773000000005</v>
      </c>
      <c r="L502" s="103">
        <v>558.22226999999998</v>
      </c>
    </row>
    <row r="503" spans="1:12" x14ac:dyDescent="0.25">
      <c r="A503" s="104">
        <v>499</v>
      </c>
      <c r="B503" s="107" t="s">
        <v>1569</v>
      </c>
      <c r="C503" s="108">
        <v>1422127</v>
      </c>
      <c r="D503" s="107" t="s">
        <v>1158</v>
      </c>
      <c r="E503" s="106">
        <v>565.89</v>
      </c>
      <c r="F503" s="102">
        <v>16.275460000000002</v>
      </c>
      <c r="G503" s="106"/>
      <c r="H503" s="106"/>
      <c r="I503" s="103">
        <f t="shared" si="14"/>
        <v>574.02773000000002</v>
      </c>
      <c r="J503" s="103">
        <f t="shared" si="15"/>
        <v>557.75226999999995</v>
      </c>
      <c r="K503" s="103">
        <v>574.02773000000002</v>
      </c>
      <c r="L503" s="103">
        <v>557.75226999999995</v>
      </c>
    </row>
    <row r="504" spans="1:12" x14ac:dyDescent="0.25">
      <c r="A504" s="100">
        <v>500</v>
      </c>
      <c r="B504" s="107" t="s">
        <v>1462</v>
      </c>
      <c r="C504" s="108">
        <v>3832374</v>
      </c>
      <c r="D504" s="107" t="s">
        <v>1264</v>
      </c>
      <c r="E504" s="106">
        <v>559.92999999999995</v>
      </c>
      <c r="F504" s="102">
        <v>16.275460000000002</v>
      </c>
      <c r="G504" s="106"/>
      <c r="H504" s="106"/>
      <c r="I504" s="103">
        <f t="shared" si="14"/>
        <v>568.06772999999998</v>
      </c>
      <c r="J504" s="103">
        <f t="shared" si="15"/>
        <v>551.79226999999992</v>
      </c>
      <c r="K504" s="103">
        <v>568.06772999999998</v>
      </c>
      <c r="L504" s="103">
        <v>551.79226999999992</v>
      </c>
    </row>
  </sheetData>
  <mergeCells count="2">
    <mergeCell ref="A3:H3"/>
    <mergeCell ref="K3:L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001"/>
  <sheetViews>
    <sheetView workbookViewId="0">
      <pane ySplit="2" topLeftCell="A981" activePane="bottomLeft" state="frozenSplit"/>
      <selection pane="bottomLeft" activeCell="G5" sqref="G5"/>
    </sheetView>
  </sheetViews>
  <sheetFormatPr defaultRowHeight="15" x14ac:dyDescent="0.25"/>
  <cols>
    <col min="1" max="1" width="10.5703125" bestFit="1" customWidth="1"/>
  </cols>
  <sheetData>
    <row r="1" spans="1:7" x14ac:dyDescent="0.25">
      <c r="A1" t="s">
        <v>1603</v>
      </c>
      <c r="B1" t="s">
        <v>1604</v>
      </c>
      <c r="C1" t="s">
        <v>1605</v>
      </c>
    </row>
    <row r="2" spans="1:7" x14ac:dyDescent="0.25">
      <c r="A2" s="100">
        <v>3211015</v>
      </c>
      <c r="B2" s="103">
        <v>757.745</v>
      </c>
      <c r="C2" s="103">
        <v>738.1149999999999</v>
      </c>
      <c r="G2" s="134" t="s">
        <v>1606</v>
      </c>
    </row>
    <row r="3" spans="1:7" x14ac:dyDescent="0.25">
      <c r="A3" s="100">
        <v>3811014</v>
      </c>
      <c r="B3" s="103">
        <v>737.58500000000004</v>
      </c>
      <c r="C3" s="103">
        <v>716.29500000000007</v>
      </c>
      <c r="G3" s="134" t="s">
        <v>1607</v>
      </c>
    </row>
    <row r="4" spans="1:7" x14ac:dyDescent="0.25">
      <c r="A4" s="100">
        <v>3331013</v>
      </c>
      <c r="B4" s="103">
        <v>727.28500000000008</v>
      </c>
      <c r="C4" s="103">
        <v>708.59500000000003</v>
      </c>
      <c r="G4" s="134" t="s">
        <v>1608</v>
      </c>
    </row>
    <row r="5" spans="1:7" x14ac:dyDescent="0.25">
      <c r="A5" s="100">
        <v>3611066</v>
      </c>
      <c r="B5" s="103">
        <v>738.75</v>
      </c>
      <c r="C5" s="103">
        <v>711.67000000000007</v>
      </c>
    </row>
    <row r="6" spans="1:7" x14ac:dyDescent="0.25">
      <c r="A6" s="100">
        <v>3211166</v>
      </c>
      <c r="B6" s="103">
        <v>727.47500000000002</v>
      </c>
      <c r="C6" s="103">
        <v>703.34499999999991</v>
      </c>
    </row>
    <row r="7" spans="1:7" x14ac:dyDescent="0.25">
      <c r="A7" s="100">
        <v>3551027</v>
      </c>
      <c r="B7" s="103">
        <v>718.48500000000001</v>
      </c>
      <c r="C7" s="103">
        <v>700.43500000000006</v>
      </c>
    </row>
    <row r="8" spans="1:7" x14ac:dyDescent="0.25">
      <c r="A8" s="100">
        <v>3321073</v>
      </c>
      <c r="B8" s="103">
        <v>728.31000000000006</v>
      </c>
      <c r="C8" s="103">
        <v>705.07</v>
      </c>
    </row>
    <row r="9" spans="1:7" x14ac:dyDescent="0.25">
      <c r="A9" s="100">
        <v>3271085</v>
      </c>
      <c r="B9" s="103">
        <v>713.28500000000008</v>
      </c>
      <c r="C9" s="103">
        <v>695.89499999999998</v>
      </c>
    </row>
    <row r="10" spans="1:7" x14ac:dyDescent="0.25">
      <c r="A10" s="100">
        <v>3211313</v>
      </c>
      <c r="B10" s="103">
        <v>730.995</v>
      </c>
      <c r="C10" s="103">
        <v>701.6450000000001</v>
      </c>
    </row>
    <row r="11" spans="1:7" x14ac:dyDescent="0.25">
      <c r="A11" s="100">
        <v>3321081</v>
      </c>
      <c r="B11" s="103">
        <v>722.60500000000002</v>
      </c>
      <c r="C11" s="103">
        <v>699.33500000000004</v>
      </c>
    </row>
    <row r="12" spans="1:7" x14ac:dyDescent="0.25">
      <c r="A12" s="100">
        <v>3531015</v>
      </c>
      <c r="B12" s="103">
        <v>709.29500000000007</v>
      </c>
      <c r="C12" s="103">
        <v>693.125</v>
      </c>
    </row>
    <row r="13" spans="1:7" x14ac:dyDescent="0.25">
      <c r="A13" s="100">
        <v>3321096</v>
      </c>
      <c r="B13" s="103">
        <v>722.69499999999994</v>
      </c>
      <c r="C13" s="103">
        <v>697.88499999999999</v>
      </c>
    </row>
    <row r="14" spans="1:7" x14ac:dyDescent="0.25">
      <c r="A14" s="100">
        <v>3511107</v>
      </c>
      <c r="B14" s="103">
        <v>694.43500000000006</v>
      </c>
      <c r="C14" s="103">
        <v>683.245</v>
      </c>
    </row>
    <row r="15" spans="1:7" x14ac:dyDescent="0.25">
      <c r="A15" s="100">
        <v>3711133</v>
      </c>
      <c r="B15" s="103">
        <v>694.76</v>
      </c>
      <c r="C15" s="103">
        <v>681.78</v>
      </c>
    </row>
    <row r="16" spans="1:7" x14ac:dyDescent="0.25">
      <c r="A16" s="100">
        <v>6111014</v>
      </c>
      <c r="B16" s="103">
        <v>700.45</v>
      </c>
      <c r="C16" s="103">
        <v>682.56999999999994</v>
      </c>
    </row>
    <row r="17" spans="1:3" x14ac:dyDescent="0.25">
      <c r="A17" s="100">
        <v>3611194</v>
      </c>
      <c r="B17" s="103">
        <v>696.78</v>
      </c>
      <c r="C17" s="103">
        <v>680.04</v>
      </c>
    </row>
    <row r="18" spans="1:3" x14ac:dyDescent="0.25">
      <c r="A18" s="100">
        <v>3611503</v>
      </c>
      <c r="B18" s="103">
        <v>694.66</v>
      </c>
      <c r="C18" s="103">
        <v>676.43999999999994</v>
      </c>
    </row>
    <row r="19" spans="1:3" x14ac:dyDescent="0.25">
      <c r="A19" s="100">
        <v>3321042</v>
      </c>
      <c r="B19" s="103">
        <v>705.07999999999993</v>
      </c>
      <c r="C19" s="103">
        <v>682.46</v>
      </c>
    </row>
    <row r="20" spans="1:3" x14ac:dyDescent="0.25">
      <c r="A20" s="100">
        <v>3321107</v>
      </c>
      <c r="B20" s="103">
        <v>704.61500000000001</v>
      </c>
      <c r="C20" s="103">
        <v>682.16499999999996</v>
      </c>
    </row>
    <row r="21" spans="1:3" x14ac:dyDescent="0.25">
      <c r="A21" s="100">
        <v>3821202</v>
      </c>
      <c r="B21" s="103">
        <v>696.5200000000001</v>
      </c>
      <c r="C21" s="103">
        <v>676.14</v>
      </c>
    </row>
    <row r="22" spans="1:3" x14ac:dyDescent="0.25">
      <c r="A22" s="100">
        <v>3211232</v>
      </c>
      <c r="B22" s="103">
        <v>688.42000000000007</v>
      </c>
      <c r="C22" s="103">
        <v>674.96</v>
      </c>
    </row>
    <row r="23" spans="1:3" x14ac:dyDescent="0.25">
      <c r="A23" s="100">
        <v>3611492</v>
      </c>
      <c r="B23" s="103">
        <v>695.43999999999994</v>
      </c>
      <c r="C23" s="103">
        <v>676.42</v>
      </c>
    </row>
    <row r="24" spans="1:3" x14ac:dyDescent="0.25">
      <c r="A24" s="100">
        <v>3211182</v>
      </c>
      <c r="B24" s="103">
        <v>700.11500000000001</v>
      </c>
      <c r="C24" s="103">
        <v>680.4849999999999</v>
      </c>
    </row>
    <row r="25" spans="1:3" x14ac:dyDescent="0.25">
      <c r="A25" s="100">
        <v>3611372</v>
      </c>
      <c r="B25" s="103">
        <v>701.31499999999994</v>
      </c>
      <c r="C25" s="103">
        <v>678.76499999999999</v>
      </c>
    </row>
    <row r="26" spans="1:3" x14ac:dyDescent="0.25">
      <c r="A26" s="100">
        <v>3211127</v>
      </c>
      <c r="B26" s="103">
        <v>695.255</v>
      </c>
      <c r="C26" s="103">
        <v>677.30499999999995</v>
      </c>
    </row>
    <row r="27" spans="1:3" x14ac:dyDescent="0.25">
      <c r="A27" s="100">
        <v>3611097</v>
      </c>
      <c r="B27" s="103">
        <v>693.72500000000002</v>
      </c>
      <c r="C27" s="103">
        <v>674.33499999999992</v>
      </c>
    </row>
    <row r="28" spans="1:3" x14ac:dyDescent="0.25">
      <c r="A28" s="100">
        <v>3611186</v>
      </c>
      <c r="B28" s="103">
        <v>685.30500000000006</v>
      </c>
      <c r="C28" s="103">
        <v>672.61500000000001</v>
      </c>
    </row>
    <row r="29" spans="1:3" x14ac:dyDescent="0.25">
      <c r="A29" s="100">
        <v>3211023</v>
      </c>
      <c r="B29" s="103">
        <v>694.13</v>
      </c>
      <c r="C29" s="103">
        <v>672.9899999999999</v>
      </c>
    </row>
    <row r="30" spans="1:3" x14ac:dyDescent="0.25">
      <c r="A30" s="100">
        <v>3211093</v>
      </c>
      <c r="B30" s="103">
        <v>698.58</v>
      </c>
      <c r="C30" s="103">
        <v>676.93999999999994</v>
      </c>
    </row>
    <row r="31" spans="1:3" x14ac:dyDescent="0.25">
      <c r="A31" s="100">
        <v>3211224</v>
      </c>
      <c r="B31" s="103">
        <v>695.34500000000003</v>
      </c>
      <c r="C31" s="103">
        <v>677.65499999999997</v>
      </c>
    </row>
    <row r="32" spans="1:3" x14ac:dyDescent="0.25">
      <c r="A32" s="104">
        <v>1711067</v>
      </c>
      <c r="B32" s="103">
        <v>683.4</v>
      </c>
      <c r="C32" s="103">
        <v>670.12</v>
      </c>
    </row>
    <row r="33" spans="1:3" x14ac:dyDescent="0.25">
      <c r="A33" s="108">
        <v>3241061</v>
      </c>
      <c r="B33" s="103">
        <v>686.2</v>
      </c>
      <c r="C33" s="103">
        <v>670.06</v>
      </c>
    </row>
    <row r="34" spans="1:3" x14ac:dyDescent="0.25">
      <c r="A34" s="108">
        <v>3211031</v>
      </c>
      <c r="B34" s="103">
        <v>696.31</v>
      </c>
      <c r="C34" s="103">
        <v>673.75</v>
      </c>
    </row>
    <row r="35" spans="1:3" x14ac:dyDescent="0.25">
      <c r="A35" s="108">
        <v>3611027</v>
      </c>
      <c r="B35" s="103">
        <v>688.08999999999992</v>
      </c>
      <c r="C35" s="103">
        <v>670.27</v>
      </c>
    </row>
    <row r="36" spans="1:3" x14ac:dyDescent="0.25">
      <c r="A36" s="108">
        <v>3611333</v>
      </c>
      <c r="B36" s="103">
        <v>687.1</v>
      </c>
      <c r="C36" s="103">
        <v>669.28000000000009</v>
      </c>
    </row>
    <row r="37" spans="1:3" x14ac:dyDescent="0.25">
      <c r="A37" s="108">
        <v>1211015</v>
      </c>
      <c r="B37" s="103">
        <v>690.1400000000001</v>
      </c>
      <c r="C37" s="103">
        <v>671.24</v>
      </c>
    </row>
    <row r="38" spans="1:3" x14ac:dyDescent="0.25">
      <c r="A38" s="108">
        <v>3741124</v>
      </c>
      <c r="B38" s="103">
        <v>676.14499999999998</v>
      </c>
      <c r="C38" s="103">
        <v>667.15499999999997</v>
      </c>
    </row>
    <row r="39" spans="1:3" x14ac:dyDescent="0.25">
      <c r="A39" s="108">
        <v>1411033</v>
      </c>
      <c r="B39" s="103">
        <v>686.38499999999999</v>
      </c>
      <c r="C39" s="103">
        <v>668.95499999999993</v>
      </c>
    </row>
    <row r="40" spans="1:3" x14ac:dyDescent="0.25">
      <c r="A40" s="108">
        <v>3321034</v>
      </c>
      <c r="B40" s="103">
        <v>692.49</v>
      </c>
      <c r="C40" s="103">
        <v>672.03</v>
      </c>
    </row>
    <row r="41" spans="1:3" x14ac:dyDescent="0.25">
      <c r="A41" s="108">
        <v>3331187</v>
      </c>
      <c r="B41" s="103">
        <v>695.07</v>
      </c>
      <c r="C41" s="103">
        <v>672.09</v>
      </c>
    </row>
    <row r="42" spans="1:3" x14ac:dyDescent="0.25">
      <c r="A42" s="108">
        <v>7111076</v>
      </c>
      <c r="B42" s="103">
        <v>694.76499999999999</v>
      </c>
      <c r="C42" s="103">
        <v>673.3549999999999</v>
      </c>
    </row>
    <row r="43" spans="1:3" x14ac:dyDescent="0.25">
      <c r="A43" s="108">
        <v>3611395</v>
      </c>
      <c r="B43" s="103">
        <v>691.625</v>
      </c>
      <c r="C43" s="103">
        <v>671.79500000000007</v>
      </c>
    </row>
    <row r="44" spans="1:3" x14ac:dyDescent="0.25">
      <c r="A44" s="108">
        <v>3211143</v>
      </c>
      <c r="B44" s="103">
        <v>701.72499999999991</v>
      </c>
      <c r="C44" s="103">
        <v>677.875</v>
      </c>
    </row>
    <row r="45" spans="1:3" x14ac:dyDescent="0.25">
      <c r="A45" s="108">
        <v>3211305</v>
      </c>
      <c r="B45" s="103">
        <v>694.06</v>
      </c>
      <c r="C45" s="103">
        <v>668.24</v>
      </c>
    </row>
    <row r="46" spans="1:3" x14ac:dyDescent="0.25">
      <c r="A46" s="108">
        <v>3811022</v>
      </c>
      <c r="B46" s="103">
        <v>677.89</v>
      </c>
      <c r="C46" s="103">
        <v>665.44999999999993</v>
      </c>
    </row>
    <row r="47" spans="1:3" x14ac:dyDescent="0.25">
      <c r="A47" s="108">
        <v>3321057</v>
      </c>
      <c r="B47" s="103">
        <v>697.16</v>
      </c>
      <c r="C47" s="103">
        <v>670.19999999999993</v>
      </c>
    </row>
    <row r="48" spans="1:3" x14ac:dyDescent="0.25">
      <c r="A48" s="108">
        <v>3211321</v>
      </c>
      <c r="B48" s="103">
        <v>696.39</v>
      </c>
      <c r="C48" s="103">
        <v>667.35</v>
      </c>
    </row>
    <row r="49" spans="1:3" x14ac:dyDescent="0.25">
      <c r="A49" s="108">
        <v>3611171</v>
      </c>
      <c r="B49" s="103">
        <v>679.01</v>
      </c>
      <c r="C49" s="103">
        <v>662.93000000000006</v>
      </c>
    </row>
    <row r="50" spans="1:3" x14ac:dyDescent="0.25">
      <c r="A50" s="108">
        <v>3611437</v>
      </c>
      <c r="B50" s="103">
        <v>696.03499999999997</v>
      </c>
      <c r="C50" s="103">
        <v>671.94500000000005</v>
      </c>
    </row>
    <row r="51" spans="1:3" x14ac:dyDescent="0.25">
      <c r="A51" s="108">
        <v>3611406</v>
      </c>
      <c r="B51" s="103">
        <v>693.73</v>
      </c>
      <c r="C51" s="103">
        <v>671.55</v>
      </c>
    </row>
    <row r="52" spans="1:3" x14ac:dyDescent="0.25">
      <c r="A52" s="108">
        <v>3211104</v>
      </c>
      <c r="B52" s="103">
        <v>681.22</v>
      </c>
      <c r="C52" s="103">
        <v>665.42000000000007</v>
      </c>
    </row>
    <row r="53" spans="1:3" x14ac:dyDescent="0.25">
      <c r="A53" s="108">
        <v>3321065</v>
      </c>
      <c r="B53" s="103">
        <v>682.30500000000006</v>
      </c>
      <c r="C53" s="103">
        <v>663.61500000000001</v>
      </c>
    </row>
    <row r="54" spans="1:3" x14ac:dyDescent="0.25">
      <c r="A54" s="108">
        <v>3211216</v>
      </c>
      <c r="B54" s="103">
        <v>679.27</v>
      </c>
      <c r="C54" s="103">
        <v>662.82999999999993</v>
      </c>
    </row>
    <row r="55" spans="1:3" x14ac:dyDescent="0.25">
      <c r="A55" s="108">
        <v>3211054</v>
      </c>
      <c r="B55" s="103">
        <v>685.92</v>
      </c>
      <c r="C55" s="103">
        <v>664.68</v>
      </c>
    </row>
    <row r="56" spans="1:3" x14ac:dyDescent="0.25">
      <c r="A56" s="108">
        <v>3211247</v>
      </c>
      <c r="B56" s="103">
        <v>692.52</v>
      </c>
      <c r="C56" s="103">
        <v>667.5</v>
      </c>
    </row>
    <row r="57" spans="1:3" x14ac:dyDescent="0.25">
      <c r="A57" s="108">
        <v>3821217</v>
      </c>
      <c r="B57" s="103">
        <v>676.38499999999999</v>
      </c>
      <c r="C57" s="103">
        <v>663.31500000000005</v>
      </c>
    </row>
    <row r="58" spans="1:3" x14ac:dyDescent="0.25">
      <c r="A58" s="108">
        <v>3211077</v>
      </c>
      <c r="B58" s="103">
        <v>696.02</v>
      </c>
      <c r="C58" s="103">
        <v>672.81999999999994</v>
      </c>
    </row>
    <row r="59" spans="1:3" x14ac:dyDescent="0.25">
      <c r="A59" s="108">
        <v>3211255</v>
      </c>
      <c r="B59" s="103">
        <v>691.54499999999996</v>
      </c>
      <c r="C59" s="103">
        <v>672.67500000000007</v>
      </c>
    </row>
    <row r="60" spans="1:3" x14ac:dyDescent="0.25">
      <c r="A60" s="108">
        <v>3321026</v>
      </c>
      <c r="B60" s="103">
        <v>697.28499999999997</v>
      </c>
      <c r="C60" s="103">
        <v>673.47500000000002</v>
      </c>
    </row>
    <row r="61" spans="1:3" x14ac:dyDescent="0.25">
      <c r="A61" s="108">
        <v>3211112</v>
      </c>
      <c r="B61" s="103">
        <v>684.13</v>
      </c>
      <c r="C61" s="103">
        <v>666.85</v>
      </c>
    </row>
    <row r="62" spans="1:3" x14ac:dyDescent="0.25">
      <c r="A62" s="108">
        <v>3221114</v>
      </c>
      <c r="B62" s="103">
        <v>676.27500000000009</v>
      </c>
      <c r="C62" s="103">
        <v>662.10500000000002</v>
      </c>
    </row>
    <row r="63" spans="1:3" x14ac:dyDescent="0.25">
      <c r="A63" s="108">
        <v>3331091</v>
      </c>
      <c r="B63" s="103">
        <v>685.84</v>
      </c>
      <c r="C63" s="103">
        <v>664.68</v>
      </c>
    </row>
    <row r="64" spans="1:3" x14ac:dyDescent="0.25">
      <c r="A64" s="108">
        <v>6211224</v>
      </c>
      <c r="B64" s="103">
        <v>670.60500000000002</v>
      </c>
      <c r="C64" s="103">
        <v>656.95499999999993</v>
      </c>
    </row>
    <row r="65" spans="1:3" x14ac:dyDescent="0.25">
      <c r="A65" s="108">
        <v>3611453</v>
      </c>
      <c r="B65" s="103">
        <v>681.38</v>
      </c>
      <c r="C65" s="103">
        <v>662.4799999999999</v>
      </c>
    </row>
    <row r="66" spans="1:3" x14ac:dyDescent="0.25">
      <c r="A66" s="108">
        <v>3211046</v>
      </c>
      <c r="B66" s="103">
        <v>670.27499999999998</v>
      </c>
      <c r="C66" s="103">
        <v>656.32499999999993</v>
      </c>
    </row>
    <row r="67" spans="1:3" x14ac:dyDescent="0.25">
      <c r="A67" s="108">
        <v>3821306</v>
      </c>
      <c r="B67" s="103">
        <v>680.90499999999997</v>
      </c>
      <c r="C67" s="103">
        <v>663.95499999999993</v>
      </c>
    </row>
    <row r="68" spans="1:3" x14ac:dyDescent="0.25">
      <c r="A68" s="108">
        <v>3411226</v>
      </c>
      <c r="B68" s="103">
        <v>684.30500000000006</v>
      </c>
      <c r="C68" s="103">
        <v>661.875</v>
      </c>
    </row>
    <row r="69" spans="1:3" x14ac:dyDescent="0.25">
      <c r="A69" s="108">
        <v>3611387</v>
      </c>
      <c r="B69" s="103">
        <v>685.20500000000004</v>
      </c>
      <c r="C69" s="103">
        <v>662.755</v>
      </c>
    </row>
    <row r="70" spans="1:3" x14ac:dyDescent="0.25">
      <c r="A70" s="108">
        <v>3211174</v>
      </c>
      <c r="B70" s="103">
        <v>675.51</v>
      </c>
      <c r="C70" s="103">
        <v>660.95</v>
      </c>
    </row>
    <row r="71" spans="1:3" x14ac:dyDescent="0.25">
      <c r="A71" s="108">
        <v>3211135</v>
      </c>
      <c r="B71" s="103">
        <v>692.53499999999997</v>
      </c>
      <c r="C71" s="103">
        <v>666.16500000000008</v>
      </c>
    </row>
    <row r="72" spans="1:3" x14ac:dyDescent="0.25">
      <c r="A72" s="108">
        <v>3211201</v>
      </c>
      <c r="B72" s="103">
        <v>673.68499999999995</v>
      </c>
      <c r="C72" s="103">
        <v>658.13499999999999</v>
      </c>
    </row>
    <row r="73" spans="1:3" x14ac:dyDescent="0.25">
      <c r="A73" s="108">
        <v>3411106</v>
      </c>
      <c r="B73" s="103">
        <v>671.96499999999992</v>
      </c>
      <c r="C73" s="103">
        <v>655.61500000000001</v>
      </c>
    </row>
    <row r="74" spans="1:3" x14ac:dyDescent="0.25">
      <c r="A74" s="108">
        <v>3821121</v>
      </c>
      <c r="B74" s="103">
        <v>688.2299999999999</v>
      </c>
      <c r="C74" s="103">
        <v>661.39</v>
      </c>
    </row>
    <row r="75" spans="1:3" x14ac:dyDescent="0.25">
      <c r="A75" s="108">
        <v>1911201</v>
      </c>
      <c r="B75" s="103">
        <v>670.78499999999997</v>
      </c>
      <c r="C75" s="103">
        <v>656.31499999999994</v>
      </c>
    </row>
    <row r="76" spans="1:3" x14ac:dyDescent="0.25">
      <c r="A76" s="108">
        <v>3331284</v>
      </c>
      <c r="B76" s="103">
        <v>674.88</v>
      </c>
      <c r="C76" s="103">
        <v>657.68</v>
      </c>
    </row>
    <row r="77" spans="1:3" x14ac:dyDescent="0.25">
      <c r="A77" s="108">
        <v>3211271</v>
      </c>
      <c r="B77" s="103">
        <v>668.61500000000001</v>
      </c>
      <c r="C77" s="103">
        <v>654.56500000000005</v>
      </c>
    </row>
    <row r="78" spans="1:3" x14ac:dyDescent="0.25">
      <c r="A78" s="108">
        <v>3321011</v>
      </c>
      <c r="B78" s="103">
        <v>677.45</v>
      </c>
      <c r="C78" s="103">
        <v>660.43000000000006</v>
      </c>
    </row>
    <row r="79" spans="1:3" x14ac:dyDescent="0.25">
      <c r="A79" s="108">
        <v>3611422</v>
      </c>
      <c r="B79" s="103">
        <v>676.46</v>
      </c>
      <c r="C79" s="103">
        <v>658.18000000000006</v>
      </c>
    </row>
    <row r="80" spans="1:3" x14ac:dyDescent="0.25">
      <c r="A80" s="108">
        <v>1111165</v>
      </c>
      <c r="B80" s="103">
        <v>671.14</v>
      </c>
      <c r="C80" s="103">
        <v>654.54000000000008</v>
      </c>
    </row>
    <row r="81" spans="1:3" x14ac:dyDescent="0.25">
      <c r="A81" s="108">
        <v>3331206</v>
      </c>
      <c r="B81" s="103">
        <v>671.44499999999994</v>
      </c>
      <c r="C81" s="103">
        <v>656.35500000000002</v>
      </c>
    </row>
    <row r="82" spans="1:3" x14ac:dyDescent="0.25">
      <c r="A82" s="108">
        <v>3321123</v>
      </c>
      <c r="B82" s="103">
        <v>670.9799999999999</v>
      </c>
      <c r="C82" s="103">
        <v>657.14</v>
      </c>
    </row>
    <row r="83" spans="1:3" x14ac:dyDescent="0.25">
      <c r="A83" s="108">
        <v>3611341</v>
      </c>
      <c r="B83" s="103">
        <v>674.21</v>
      </c>
      <c r="C83" s="103">
        <v>656.77</v>
      </c>
    </row>
    <row r="84" spans="1:3" x14ac:dyDescent="0.25">
      <c r="A84" s="108">
        <v>3411497</v>
      </c>
      <c r="B84" s="103">
        <v>676.32499999999993</v>
      </c>
      <c r="C84" s="103">
        <v>657.995</v>
      </c>
    </row>
    <row r="85" spans="1:3" x14ac:dyDescent="0.25">
      <c r="A85" s="108">
        <v>3711083</v>
      </c>
      <c r="B85" s="103">
        <v>666.57999999999993</v>
      </c>
      <c r="C85" s="103">
        <v>653.5</v>
      </c>
    </row>
    <row r="86" spans="1:3" x14ac:dyDescent="0.25">
      <c r="A86" s="108">
        <v>3721305</v>
      </c>
      <c r="B86" s="103">
        <v>668.43000000000006</v>
      </c>
      <c r="C86" s="103">
        <v>653.47</v>
      </c>
    </row>
    <row r="87" spans="1:3" x14ac:dyDescent="0.25">
      <c r="A87" s="108">
        <v>3511212</v>
      </c>
      <c r="B87" s="103">
        <v>662.37</v>
      </c>
      <c r="C87" s="103">
        <v>652.44999999999993</v>
      </c>
    </row>
    <row r="88" spans="1:3" x14ac:dyDescent="0.25">
      <c r="A88" s="108">
        <v>3611082</v>
      </c>
      <c r="B88" s="103">
        <v>678.15000000000009</v>
      </c>
      <c r="C88" s="103">
        <v>659.23</v>
      </c>
    </row>
    <row r="89" spans="1:3" x14ac:dyDescent="0.25">
      <c r="A89" s="108">
        <v>3821071</v>
      </c>
      <c r="B89" s="103">
        <v>673.72</v>
      </c>
      <c r="C89" s="103">
        <v>656.33999999999992</v>
      </c>
    </row>
    <row r="90" spans="1:3" x14ac:dyDescent="0.25">
      <c r="A90" s="108">
        <v>1311191</v>
      </c>
      <c r="B90" s="103">
        <v>667.49</v>
      </c>
      <c r="C90" s="103">
        <v>650.04999999999995</v>
      </c>
    </row>
    <row r="91" spans="1:3" x14ac:dyDescent="0.25">
      <c r="A91" s="108">
        <v>3211263</v>
      </c>
      <c r="B91" s="103">
        <v>660.47500000000002</v>
      </c>
      <c r="C91" s="103">
        <v>650.30499999999995</v>
      </c>
    </row>
    <row r="92" spans="1:3" x14ac:dyDescent="0.25">
      <c r="A92" s="108">
        <v>3821086</v>
      </c>
      <c r="B92" s="103">
        <v>679.79500000000007</v>
      </c>
      <c r="C92" s="103">
        <v>659.84500000000003</v>
      </c>
    </row>
    <row r="93" spans="1:3" x14ac:dyDescent="0.25">
      <c r="A93" s="108">
        <v>3551236</v>
      </c>
      <c r="B93" s="103">
        <v>670.07999999999993</v>
      </c>
      <c r="C93" s="103">
        <v>654.04</v>
      </c>
    </row>
    <row r="94" spans="1:3" x14ac:dyDescent="0.25">
      <c r="A94" s="108">
        <v>3611356</v>
      </c>
      <c r="B94" s="103">
        <v>673.36999999999989</v>
      </c>
      <c r="C94" s="103">
        <v>652.75</v>
      </c>
    </row>
    <row r="95" spans="1:3" x14ac:dyDescent="0.25">
      <c r="A95" s="108">
        <v>3611163</v>
      </c>
      <c r="B95" s="103">
        <v>671.33500000000004</v>
      </c>
      <c r="C95" s="103">
        <v>650.625</v>
      </c>
    </row>
    <row r="96" spans="1:3" x14ac:dyDescent="0.25">
      <c r="A96" s="108">
        <v>3531174</v>
      </c>
      <c r="B96" s="103">
        <v>668.13</v>
      </c>
      <c r="C96" s="103">
        <v>650.92999999999995</v>
      </c>
    </row>
    <row r="97" spans="1:3" x14ac:dyDescent="0.25">
      <c r="A97" s="108">
        <v>3821136</v>
      </c>
      <c r="B97" s="103">
        <v>671.65000000000009</v>
      </c>
      <c r="C97" s="103">
        <v>649.01</v>
      </c>
    </row>
    <row r="98" spans="1:3" x14ac:dyDescent="0.25">
      <c r="A98" s="108">
        <v>3821032</v>
      </c>
      <c r="B98" s="103">
        <v>668.06</v>
      </c>
      <c r="C98" s="103">
        <v>650.24</v>
      </c>
    </row>
    <row r="99" spans="1:3" x14ac:dyDescent="0.25">
      <c r="A99" s="108">
        <v>3821314</v>
      </c>
      <c r="B99" s="103">
        <v>667.93499999999995</v>
      </c>
      <c r="C99" s="103">
        <v>650.42499999999995</v>
      </c>
    </row>
    <row r="100" spans="1:3" x14ac:dyDescent="0.25">
      <c r="A100" s="108">
        <v>3551171</v>
      </c>
      <c r="B100" s="103">
        <v>663.78</v>
      </c>
      <c r="C100" s="103">
        <v>648.57999999999993</v>
      </c>
    </row>
    <row r="101" spans="1:3" x14ac:dyDescent="0.25">
      <c r="A101" s="108">
        <v>3821105</v>
      </c>
      <c r="B101" s="103">
        <v>677.41499999999996</v>
      </c>
      <c r="C101" s="103">
        <v>657.42499999999995</v>
      </c>
    </row>
    <row r="102" spans="1:3" x14ac:dyDescent="0.25">
      <c r="A102" s="108">
        <v>3211294</v>
      </c>
      <c r="B102" s="103">
        <v>661.48500000000001</v>
      </c>
      <c r="C102" s="103">
        <v>647.21500000000003</v>
      </c>
    </row>
    <row r="103" spans="1:3" x14ac:dyDescent="0.25">
      <c r="A103" s="108">
        <v>3321154</v>
      </c>
      <c r="B103" s="103">
        <v>660.97</v>
      </c>
      <c r="C103" s="103">
        <v>646.01</v>
      </c>
    </row>
    <row r="104" spans="1:3" x14ac:dyDescent="0.25">
      <c r="A104" s="108">
        <v>3611213</v>
      </c>
      <c r="B104" s="103">
        <v>674.85</v>
      </c>
      <c r="C104" s="103">
        <v>655.68999999999994</v>
      </c>
    </row>
    <row r="105" spans="1:3" x14ac:dyDescent="0.25">
      <c r="A105" s="108">
        <v>3321131</v>
      </c>
      <c r="B105" s="103">
        <v>663.38499999999999</v>
      </c>
      <c r="C105" s="103">
        <v>649.83500000000004</v>
      </c>
    </row>
    <row r="106" spans="1:3" x14ac:dyDescent="0.25">
      <c r="A106" s="108">
        <v>3611205</v>
      </c>
      <c r="B106" s="103">
        <v>666.18499999999995</v>
      </c>
      <c r="C106" s="103">
        <v>648.85500000000002</v>
      </c>
    </row>
    <row r="107" spans="1:3" x14ac:dyDescent="0.25">
      <c r="A107" s="108">
        <v>3551333</v>
      </c>
      <c r="B107" s="103">
        <v>675.375</v>
      </c>
      <c r="C107" s="103">
        <v>648.50500000000011</v>
      </c>
    </row>
    <row r="108" spans="1:3" x14ac:dyDescent="0.25">
      <c r="A108" s="108">
        <v>3821295</v>
      </c>
      <c r="B108" s="103">
        <v>665.16499999999996</v>
      </c>
      <c r="C108" s="103">
        <v>648.93499999999995</v>
      </c>
    </row>
    <row r="109" spans="1:3" x14ac:dyDescent="0.25">
      <c r="A109" s="108">
        <v>3821063</v>
      </c>
      <c r="B109" s="103">
        <v>667.53499999999997</v>
      </c>
      <c r="C109" s="103">
        <v>651.16500000000008</v>
      </c>
    </row>
    <row r="110" spans="1:3" x14ac:dyDescent="0.25">
      <c r="A110" s="108">
        <v>6121217</v>
      </c>
      <c r="B110" s="103">
        <v>668.97500000000002</v>
      </c>
      <c r="C110" s="103">
        <v>644.32499999999993</v>
      </c>
    </row>
    <row r="111" spans="1:3" x14ac:dyDescent="0.25">
      <c r="A111" s="108">
        <v>3531023</v>
      </c>
      <c r="B111" s="103">
        <v>658.57500000000005</v>
      </c>
      <c r="C111" s="103">
        <v>645.94499999999994</v>
      </c>
    </row>
    <row r="112" spans="1:3" x14ac:dyDescent="0.25">
      <c r="A112" s="108">
        <v>3411273</v>
      </c>
      <c r="B112" s="103">
        <v>666.78500000000008</v>
      </c>
      <c r="C112" s="103">
        <v>648.13499999999999</v>
      </c>
    </row>
    <row r="113" spans="1:3" x14ac:dyDescent="0.25">
      <c r="A113" s="108">
        <v>3551205</v>
      </c>
      <c r="B113" s="103">
        <v>662.85500000000002</v>
      </c>
      <c r="C113" s="103">
        <v>648.28500000000008</v>
      </c>
    </row>
    <row r="114" spans="1:3" x14ac:dyDescent="0.25">
      <c r="A114" s="108">
        <v>3211062</v>
      </c>
      <c r="B114" s="103">
        <v>668.10500000000002</v>
      </c>
      <c r="C114" s="103">
        <v>647.83500000000004</v>
      </c>
    </row>
    <row r="115" spans="1:3" x14ac:dyDescent="0.25">
      <c r="A115" s="108">
        <v>3551101</v>
      </c>
      <c r="B115" s="103">
        <v>665.64499999999998</v>
      </c>
      <c r="C115" s="103">
        <v>648.31500000000005</v>
      </c>
    </row>
    <row r="116" spans="1:3" x14ac:dyDescent="0.25">
      <c r="A116" s="108">
        <v>3211286</v>
      </c>
      <c r="B116" s="103">
        <v>663.89</v>
      </c>
      <c r="C116" s="103">
        <v>648.11</v>
      </c>
    </row>
    <row r="117" spans="1:3" x14ac:dyDescent="0.25">
      <c r="A117" s="108">
        <v>3411315</v>
      </c>
      <c r="B117" s="103">
        <v>655.09</v>
      </c>
      <c r="C117" s="103">
        <v>645.11</v>
      </c>
    </row>
    <row r="118" spans="1:3" x14ac:dyDescent="0.25">
      <c r="A118" s="108">
        <v>5411211</v>
      </c>
      <c r="B118" s="103">
        <v>657.17000000000007</v>
      </c>
      <c r="C118" s="103">
        <v>643.97</v>
      </c>
    </row>
    <row r="119" spans="1:3" x14ac:dyDescent="0.25">
      <c r="A119" s="108">
        <v>3611364</v>
      </c>
      <c r="B119" s="103">
        <v>667.745</v>
      </c>
      <c r="C119" s="103">
        <v>647.15500000000009</v>
      </c>
    </row>
    <row r="120" spans="1:3" x14ac:dyDescent="0.25">
      <c r="A120" s="108">
        <v>3331164</v>
      </c>
      <c r="B120" s="103">
        <v>670.03000000000009</v>
      </c>
      <c r="C120" s="103">
        <v>648.15</v>
      </c>
    </row>
    <row r="121" spans="1:3" x14ac:dyDescent="0.25">
      <c r="A121" s="108">
        <v>3511131</v>
      </c>
      <c r="B121" s="103">
        <v>656.55499999999995</v>
      </c>
      <c r="C121" s="103">
        <v>641.70500000000004</v>
      </c>
    </row>
    <row r="122" spans="1:3" x14ac:dyDescent="0.25">
      <c r="A122" s="108">
        <v>3811037</v>
      </c>
      <c r="B122" s="103">
        <v>665.13</v>
      </c>
      <c r="C122" s="103">
        <v>648.89</v>
      </c>
    </row>
    <row r="123" spans="1:3" x14ac:dyDescent="0.25">
      <c r="A123" s="108">
        <v>3721247</v>
      </c>
      <c r="B123" s="103">
        <v>657.8</v>
      </c>
      <c r="C123" s="103">
        <v>642.24</v>
      </c>
    </row>
    <row r="124" spans="1:3" x14ac:dyDescent="0.25">
      <c r="A124" s="108">
        <v>5311233</v>
      </c>
      <c r="B124" s="103">
        <v>662.09499999999991</v>
      </c>
      <c r="C124" s="103">
        <v>644.505</v>
      </c>
    </row>
    <row r="125" spans="1:3" x14ac:dyDescent="0.25">
      <c r="A125" s="108">
        <v>3611461</v>
      </c>
      <c r="B125" s="103">
        <v>663.27</v>
      </c>
      <c r="C125" s="103">
        <v>644.32999999999993</v>
      </c>
    </row>
    <row r="126" spans="1:3" x14ac:dyDescent="0.25">
      <c r="A126" s="108">
        <v>3721182</v>
      </c>
      <c r="B126" s="103">
        <v>658.125</v>
      </c>
      <c r="C126" s="103">
        <v>641.35500000000002</v>
      </c>
    </row>
    <row r="127" spans="1:3" x14ac:dyDescent="0.25">
      <c r="A127" s="108">
        <v>3411354</v>
      </c>
      <c r="B127" s="103">
        <v>658.41</v>
      </c>
      <c r="C127" s="103">
        <v>643.13</v>
      </c>
    </row>
    <row r="128" spans="1:3" x14ac:dyDescent="0.25">
      <c r="A128" s="108">
        <v>5111207</v>
      </c>
      <c r="B128" s="103">
        <v>664.58</v>
      </c>
      <c r="C128" s="103">
        <v>646.16</v>
      </c>
    </row>
    <row r="129" spans="1:3" x14ac:dyDescent="0.25">
      <c r="A129" s="108">
        <v>6111262</v>
      </c>
      <c r="B129" s="103">
        <v>652.31999999999994</v>
      </c>
      <c r="C129" s="103">
        <v>641.22</v>
      </c>
    </row>
    <row r="130" spans="1:3" x14ac:dyDescent="0.25">
      <c r="A130" s="108">
        <v>1511146</v>
      </c>
      <c r="B130" s="103">
        <v>649.24</v>
      </c>
      <c r="C130" s="103">
        <v>639.57999999999993</v>
      </c>
    </row>
    <row r="131" spans="1:3" x14ac:dyDescent="0.25">
      <c r="A131" s="108">
        <v>3411041</v>
      </c>
      <c r="B131" s="103">
        <v>658.6450000000001</v>
      </c>
      <c r="C131" s="103">
        <v>640.23500000000001</v>
      </c>
    </row>
    <row r="132" spans="1:3" x14ac:dyDescent="0.25">
      <c r="A132" s="108">
        <v>3531077</v>
      </c>
      <c r="B132" s="103">
        <v>652.91999999999996</v>
      </c>
      <c r="C132" s="103">
        <v>641.30000000000007</v>
      </c>
    </row>
    <row r="133" spans="1:3" x14ac:dyDescent="0.25">
      <c r="A133" s="108">
        <v>3331067</v>
      </c>
      <c r="B133" s="103">
        <v>668.375</v>
      </c>
      <c r="C133" s="103">
        <v>644.38499999999999</v>
      </c>
    </row>
    <row r="134" spans="1:3" x14ac:dyDescent="0.25">
      <c r="A134" s="108">
        <v>3821094</v>
      </c>
      <c r="B134" s="103">
        <v>657.90499999999997</v>
      </c>
      <c r="C134" s="103">
        <v>642.13499999999999</v>
      </c>
    </row>
    <row r="135" spans="1:3" x14ac:dyDescent="0.25">
      <c r="A135" s="108">
        <v>3611012</v>
      </c>
      <c r="B135" s="103">
        <v>660.90499999999997</v>
      </c>
      <c r="C135" s="103">
        <v>643.19499999999994</v>
      </c>
    </row>
    <row r="136" spans="1:3" x14ac:dyDescent="0.25">
      <c r="A136" s="108">
        <v>3611051</v>
      </c>
      <c r="B136" s="103">
        <v>663.47500000000002</v>
      </c>
      <c r="C136" s="103">
        <v>645.98500000000001</v>
      </c>
    </row>
    <row r="137" spans="1:3" x14ac:dyDescent="0.25">
      <c r="A137" s="108">
        <v>3331141</v>
      </c>
      <c r="B137" s="103">
        <v>660.93500000000006</v>
      </c>
      <c r="C137" s="103">
        <v>641.28499999999997</v>
      </c>
    </row>
    <row r="138" spans="1:3" x14ac:dyDescent="0.25">
      <c r="A138" s="108">
        <v>3821256</v>
      </c>
      <c r="B138" s="103">
        <v>663.11500000000001</v>
      </c>
      <c r="C138" s="103">
        <v>643.42499999999995</v>
      </c>
    </row>
    <row r="139" spans="1:3" x14ac:dyDescent="0.25">
      <c r="A139" s="108">
        <v>3611414</v>
      </c>
      <c r="B139" s="103">
        <v>673.60500000000002</v>
      </c>
      <c r="C139" s="103">
        <v>650.07500000000005</v>
      </c>
    </row>
    <row r="140" spans="1:3" x14ac:dyDescent="0.25">
      <c r="A140" s="108">
        <v>3211085</v>
      </c>
      <c r="B140" s="103">
        <v>652.05499999999995</v>
      </c>
      <c r="C140" s="103">
        <v>639.18500000000006</v>
      </c>
    </row>
    <row r="141" spans="1:3" x14ac:dyDescent="0.25">
      <c r="A141" s="108">
        <v>3721255</v>
      </c>
      <c r="B141" s="103">
        <v>654.01</v>
      </c>
      <c r="C141" s="103">
        <v>639.53</v>
      </c>
    </row>
    <row r="142" spans="1:3" x14ac:dyDescent="0.25">
      <c r="A142" s="108">
        <v>3721367</v>
      </c>
      <c r="B142" s="103">
        <v>650.87</v>
      </c>
      <c r="C142" s="103">
        <v>638.03000000000009</v>
      </c>
    </row>
    <row r="143" spans="1:3" x14ac:dyDescent="0.25">
      <c r="A143" s="108">
        <v>1411064</v>
      </c>
      <c r="B143" s="103">
        <v>650.07999999999993</v>
      </c>
      <c r="C143" s="103">
        <v>638.72</v>
      </c>
    </row>
    <row r="144" spans="1:3" x14ac:dyDescent="0.25">
      <c r="A144" s="108">
        <v>3721336</v>
      </c>
      <c r="B144" s="103">
        <v>658.47</v>
      </c>
      <c r="C144" s="103">
        <v>639.99</v>
      </c>
    </row>
    <row r="145" spans="1:3" x14ac:dyDescent="0.25">
      <c r="A145" s="108">
        <v>3531112</v>
      </c>
      <c r="B145" s="103">
        <v>648.74</v>
      </c>
      <c r="C145" s="103">
        <v>637.20000000000005</v>
      </c>
    </row>
    <row r="146" spans="1:3" x14ac:dyDescent="0.25">
      <c r="A146" s="108">
        <v>3331036</v>
      </c>
      <c r="B146" s="103">
        <v>652.16500000000008</v>
      </c>
      <c r="C146" s="103">
        <v>639.03499999999997</v>
      </c>
    </row>
    <row r="147" spans="1:3" x14ac:dyDescent="0.25">
      <c r="A147" s="108">
        <v>3211197</v>
      </c>
      <c r="B147" s="103">
        <v>653.80000000000007</v>
      </c>
      <c r="C147" s="103">
        <v>637.88</v>
      </c>
    </row>
    <row r="148" spans="1:3" x14ac:dyDescent="0.25">
      <c r="A148" s="108">
        <v>3551213</v>
      </c>
      <c r="B148" s="103">
        <v>657.29</v>
      </c>
      <c r="C148" s="103">
        <v>639.29</v>
      </c>
    </row>
    <row r="149" spans="1:3" x14ac:dyDescent="0.25">
      <c r="A149" s="108">
        <v>3611155</v>
      </c>
      <c r="B149" s="103">
        <v>666.16</v>
      </c>
      <c r="C149" s="103">
        <v>638.6</v>
      </c>
    </row>
    <row r="150" spans="1:3" x14ac:dyDescent="0.25">
      <c r="A150" s="108">
        <v>3611043</v>
      </c>
      <c r="B150" s="103">
        <v>665.755</v>
      </c>
      <c r="C150" s="103">
        <v>640.78499999999997</v>
      </c>
    </row>
    <row r="151" spans="1:3" x14ac:dyDescent="0.25">
      <c r="A151" s="108">
        <v>3551186</v>
      </c>
      <c r="B151" s="103">
        <v>654.73</v>
      </c>
      <c r="C151" s="103">
        <v>638.79</v>
      </c>
    </row>
    <row r="152" spans="1:3" x14ac:dyDescent="0.25">
      <c r="A152" s="108">
        <v>3411443</v>
      </c>
      <c r="B152" s="103">
        <v>652.34499999999991</v>
      </c>
      <c r="C152" s="103">
        <v>636.97500000000002</v>
      </c>
    </row>
    <row r="153" spans="1:3" x14ac:dyDescent="0.25">
      <c r="A153" s="108">
        <v>3551097</v>
      </c>
      <c r="B153" s="103">
        <v>654.00500000000011</v>
      </c>
      <c r="C153" s="103">
        <v>638.875</v>
      </c>
    </row>
    <row r="154" spans="1:3" x14ac:dyDescent="0.25">
      <c r="A154" s="108">
        <v>3531271</v>
      </c>
      <c r="B154" s="103">
        <v>653.52</v>
      </c>
      <c r="C154" s="103">
        <v>640.96</v>
      </c>
    </row>
    <row r="155" spans="1:3" x14ac:dyDescent="0.25">
      <c r="A155" s="108">
        <v>3821113</v>
      </c>
      <c r="B155" s="103">
        <v>657.245</v>
      </c>
      <c r="C155" s="103">
        <v>639.55499999999995</v>
      </c>
    </row>
    <row r="156" spans="1:3" x14ac:dyDescent="0.25">
      <c r="A156" s="108">
        <v>3531294</v>
      </c>
      <c r="B156" s="103">
        <v>654.32000000000005</v>
      </c>
      <c r="C156" s="103">
        <v>636.66</v>
      </c>
    </row>
    <row r="157" spans="1:3" x14ac:dyDescent="0.25">
      <c r="A157" s="108">
        <v>3611252</v>
      </c>
      <c r="B157" s="103">
        <v>654.83500000000004</v>
      </c>
      <c r="C157" s="103">
        <v>638.38499999999999</v>
      </c>
    </row>
    <row r="158" spans="1:3" x14ac:dyDescent="0.25">
      <c r="A158" s="108">
        <v>7211015</v>
      </c>
      <c r="B158" s="103">
        <v>654.67499999999995</v>
      </c>
      <c r="C158" s="103">
        <v>637.36500000000001</v>
      </c>
    </row>
    <row r="159" spans="1:3" x14ac:dyDescent="0.25">
      <c r="A159" s="108">
        <v>3621014</v>
      </c>
      <c r="B159" s="103">
        <v>652.59</v>
      </c>
      <c r="C159" s="103">
        <v>637.44999999999993</v>
      </c>
    </row>
    <row r="160" spans="1:3" x14ac:dyDescent="0.25">
      <c r="A160" s="108">
        <v>3331021</v>
      </c>
      <c r="B160" s="103">
        <v>662.27499999999998</v>
      </c>
      <c r="C160" s="103">
        <v>643.06499999999994</v>
      </c>
    </row>
    <row r="161" spans="1:3" x14ac:dyDescent="0.25">
      <c r="A161" s="108">
        <v>3231155</v>
      </c>
      <c r="B161" s="103">
        <v>658.35500000000002</v>
      </c>
      <c r="C161" s="103">
        <v>639.46499999999992</v>
      </c>
    </row>
    <row r="162" spans="1:3" x14ac:dyDescent="0.25">
      <c r="A162" s="108">
        <v>9111126</v>
      </c>
      <c r="B162" s="103">
        <v>643.90500000000009</v>
      </c>
      <c r="C162" s="103">
        <v>631.23500000000001</v>
      </c>
    </row>
    <row r="163" spans="1:3" x14ac:dyDescent="0.25">
      <c r="A163" s="108">
        <v>3811134</v>
      </c>
      <c r="B163" s="103">
        <v>648.18000000000006</v>
      </c>
      <c r="C163" s="103">
        <v>634.02</v>
      </c>
    </row>
    <row r="164" spans="1:3" x14ac:dyDescent="0.25">
      <c r="A164" s="108">
        <v>3811157</v>
      </c>
      <c r="B164" s="103">
        <v>656.22</v>
      </c>
      <c r="C164" s="103">
        <v>635.81999999999994</v>
      </c>
    </row>
    <row r="165" spans="1:3" x14ac:dyDescent="0.25">
      <c r="A165" s="108">
        <v>3721093</v>
      </c>
      <c r="B165" s="103">
        <v>653.75</v>
      </c>
      <c r="C165" s="103">
        <v>636.71</v>
      </c>
    </row>
    <row r="166" spans="1:3" x14ac:dyDescent="0.25">
      <c r="A166" s="108">
        <v>3721031</v>
      </c>
      <c r="B166" s="103">
        <v>656.7700000000001</v>
      </c>
      <c r="C166" s="103">
        <v>639.39</v>
      </c>
    </row>
    <row r="167" spans="1:3" x14ac:dyDescent="0.25">
      <c r="A167" s="108">
        <v>3321146</v>
      </c>
      <c r="B167" s="103">
        <v>676.81</v>
      </c>
      <c r="C167" s="103">
        <v>647.23</v>
      </c>
    </row>
    <row r="168" spans="1:3" x14ac:dyDescent="0.25">
      <c r="A168" s="108">
        <v>1611194</v>
      </c>
      <c r="B168" s="103">
        <v>650.04000000000008</v>
      </c>
      <c r="C168" s="103">
        <v>636.36</v>
      </c>
    </row>
    <row r="169" spans="1:3" x14ac:dyDescent="0.25">
      <c r="A169" s="108">
        <v>3531093</v>
      </c>
      <c r="B169" s="103">
        <v>653.66499999999996</v>
      </c>
      <c r="C169" s="103">
        <v>637.61500000000001</v>
      </c>
    </row>
    <row r="170" spans="1:3" x14ac:dyDescent="0.25">
      <c r="A170" s="108">
        <v>3611035</v>
      </c>
      <c r="B170" s="103">
        <v>649.63</v>
      </c>
      <c r="C170" s="103">
        <v>633.07000000000005</v>
      </c>
    </row>
    <row r="171" spans="1:3" x14ac:dyDescent="0.25">
      <c r="A171" s="108">
        <v>3551244</v>
      </c>
      <c r="B171" s="103">
        <v>651.875</v>
      </c>
      <c r="C171" s="103">
        <v>636.36500000000001</v>
      </c>
    </row>
    <row r="172" spans="1:3" x14ac:dyDescent="0.25">
      <c r="A172" s="108">
        <v>3721062</v>
      </c>
      <c r="B172" s="103">
        <v>651.375</v>
      </c>
      <c r="C172" s="103">
        <v>635.96499999999992</v>
      </c>
    </row>
    <row r="173" spans="1:3" x14ac:dyDescent="0.25">
      <c r="A173" s="108">
        <v>3821191</v>
      </c>
      <c r="B173" s="103">
        <v>655.58</v>
      </c>
      <c r="C173" s="103">
        <v>637.30000000000007</v>
      </c>
    </row>
    <row r="174" spans="1:3" x14ac:dyDescent="0.25">
      <c r="A174" s="108">
        <v>3611101</v>
      </c>
      <c r="B174" s="103">
        <v>657.28499999999997</v>
      </c>
      <c r="C174" s="103">
        <v>638.83499999999992</v>
      </c>
    </row>
    <row r="175" spans="1:3" x14ac:dyDescent="0.25">
      <c r="A175" s="108">
        <v>3331172</v>
      </c>
      <c r="B175" s="103">
        <v>655.95</v>
      </c>
      <c r="C175" s="103">
        <v>635.49</v>
      </c>
    </row>
    <row r="176" spans="1:3" x14ac:dyDescent="0.25">
      <c r="A176" s="108">
        <v>3551043</v>
      </c>
      <c r="B176" s="103">
        <v>650.44000000000005</v>
      </c>
      <c r="C176" s="103">
        <v>633.74</v>
      </c>
    </row>
    <row r="177" spans="1:3" x14ac:dyDescent="0.25">
      <c r="A177" s="108">
        <v>3821272</v>
      </c>
      <c r="B177" s="103">
        <v>651.24</v>
      </c>
      <c r="C177" s="103">
        <v>635.16000000000008</v>
      </c>
    </row>
    <row r="178" spans="1:3" x14ac:dyDescent="0.25">
      <c r="A178" s="108">
        <v>3821144</v>
      </c>
      <c r="B178" s="103">
        <v>658.34</v>
      </c>
      <c r="C178" s="103">
        <v>637.66</v>
      </c>
    </row>
    <row r="179" spans="1:3" x14ac:dyDescent="0.25">
      <c r="A179" s="108">
        <v>3411346</v>
      </c>
      <c r="B179" s="103">
        <v>648.46</v>
      </c>
      <c r="C179" s="103">
        <v>634.22</v>
      </c>
    </row>
    <row r="180" spans="1:3" x14ac:dyDescent="0.25">
      <c r="A180" s="108">
        <v>7111196</v>
      </c>
      <c r="B180" s="103">
        <v>653.495</v>
      </c>
      <c r="C180" s="103">
        <v>633.94500000000005</v>
      </c>
    </row>
    <row r="181" spans="1:3" x14ac:dyDescent="0.25">
      <c r="A181" s="108">
        <v>3551341</v>
      </c>
      <c r="B181" s="103">
        <v>655.82500000000005</v>
      </c>
      <c r="C181" s="103">
        <v>637.61500000000001</v>
      </c>
    </row>
    <row r="182" spans="1:3" x14ac:dyDescent="0.25">
      <c r="A182" s="108">
        <v>3531085</v>
      </c>
      <c r="B182" s="103">
        <v>640.62</v>
      </c>
      <c r="C182" s="103">
        <v>629.9799999999999</v>
      </c>
    </row>
    <row r="183" spans="1:3" x14ac:dyDescent="0.25">
      <c r="A183" s="108">
        <v>3721054</v>
      </c>
      <c r="B183" s="103">
        <v>650.10500000000002</v>
      </c>
      <c r="C183" s="103">
        <v>630.41499999999996</v>
      </c>
    </row>
    <row r="184" spans="1:3" x14ac:dyDescent="0.25">
      <c r="A184" s="108">
        <v>3621397</v>
      </c>
      <c r="B184" s="103">
        <v>644.63499999999999</v>
      </c>
      <c r="C184" s="103">
        <v>631.28500000000008</v>
      </c>
    </row>
    <row r="185" spans="1:3" x14ac:dyDescent="0.25">
      <c r="A185" s="108">
        <v>3821167</v>
      </c>
      <c r="B185" s="103">
        <v>654.20500000000004</v>
      </c>
      <c r="C185" s="103">
        <v>634.95500000000004</v>
      </c>
    </row>
    <row r="186" spans="1:3" x14ac:dyDescent="0.25">
      <c r="A186" s="108">
        <v>3551302</v>
      </c>
      <c r="B186" s="103">
        <v>648.35500000000002</v>
      </c>
      <c r="C186" s="103">
        <v>633.40499999999997</v>
      </c>
    </row>
    <row r="187" spans="1:3" x14ac:dyDescent="0.25">
      <c r="A187" s="108">
        <v>1121113</v>
      </c>
      <c r="B187" s="103">
        <v>641.80999999999995</v>
      </c>
      <c r="C187" s="103">
        <v>630.54999999999995</v>
      </c>
    </row>
    <row r="188" spans="1:3" x14ac:dyDescent="0.25">
      <c r="A188" s="108">
        <v>3411033</v>
      </c>
      <c r="B188" s="103">
        <v>649.4</v>
      </c>
      <c r="C188" s="103">
        <v>634.86</v>
      </c>
    </row>
    <row r="189" spans="1:3" x14ac:dyDescent="0.25">
      <c r="A189" s="108">
        <v>3411122</v>
      </c>
      <c r="B189" s="103">
        <v>652.96499999999992</v>
      </c>
      <c r="C189" s="103">
        <v>633.85500000000002</v>
      </c>
    </row>
    <row r="190" spans="1:3" x14ac:dyDescent="0.25">
      <c r="A190" s="108">
        <v>3611074</v>
      </c>
      <c r="B190" s="103">
        <v>645.09</v>
      </c>
      <c r="C190" s="103">
        <v>633.39</v>
      </c>
    </row>
    <row r="191" spans="1:3" x14ac:dyDescent="0.25">
      <c r="A191" s="108">
        <v>1711075</v>
      </c>
      <c r="B191" s="103">
        <v>642.79999999999995</v>
      </c>
      <c r="C191" s="103">
        <v>630.31999999999994</v>
      </c>
    </row>
    <row r="192" spans="1:3" x14ac:dyDescent="0.25">
      <c r="A192" s="108">
        <v>3211151</v>
      </c>
      <c r="B192" s="103">
        <v>645.7299999999999</v>
      </c>
      <c r="C192" s="103">
        <v>630.11</v>
      </c>
    </row>
    <row r="193" spans="1:3" x14ac:dyDescent="0.25">
      <c r="A193" s="108">
        <v>3331195</v>
      </c>
      <c r="B193" s="103">
        <v>642.72</v>
      </c>
      <c r="C193" s="103">
        <v>630.83999999999992</v>
      </c>
    </row>
    <row r="194" spans="1:3" x14ac:dyDescent="0.25">
      <c r="A194" s="108">
        <v>3231074</v>
      </c>
      <c r="B194" s="103">
        <v>642.08000000000004</v>
      </c>
      <c r="C194" s="103">
        <v>631.08000000000004</v>
      </c>
    </row>
    <row r="195" spans="1:3" x14ac:dyDescent="0.25">
      <c r="A195" s="108">
        <v>3551051</v>
      </c>
      <c r="B195" s="103">
        <v>648.97</v>
      </c>
      <c r="C195" s="103">
        <v>630.58999999999992</v>
      </c>
    </row>
    <row r="196" spans="1:3" x14ac:dyDescent="0.25">
      <c r="A196" s="108">
        <v>3721375</v>
      </c>
      <c r="B196" s="103">
        <v>644.61</v>
      </c>
      <c r="C196" s="103">
        <v>628.37</v>
      </c>
    </row>
    <row r="197" spans="1:3" x14ac:dyDescent="0.25">
      <c r="A197" s="108">
        <v>3611445</v>
      </c>
      <c r="B197" s="103">
        <v>646.27500000000009</v>
      </c>
      <c r="C197" s="103">
        <v>631.625</v>
      </c>
    </row>
    <row r="198" spans="1:3" x14ac:dyDescent="0.25">
      <c r="A198" s="108">
        <v>3821183</v>
      </c>
      <c r="B198" s="103">
        <v>648.81499999999994</v>
      </c>
      <c r="C198" s="103">
        <v>632.005</v>
      </c>
    </row>
    <row r="199" spans="1:3" x14ac:dyDescent="0.25">
      <c r="A199" s="108">
        <v>3821024</v>
      </c>
      <c r="B199" s="103">
        <v>654.71500000000003</v>
      </c>
      <c r="C199" s="103">
        <v>632.80499999999995</v>
      </c>
    </row>
    <row r="200" spans="1:3" x14ac:dyDescent="0.25">
      <c r="A200" s="108">
        <v>3331222</v>
      </c>
      <c r="B200" s="103">
        <v>657.91500000000008</v>
      </c>
      <c r="C200" s="103">
        <v>638.28499999999997</v>
      </c>
    </row>
    <row r="201" spans="1:3" x14ac:dyDescent="0.25">
      <c r="A201" s="108">
        <v>3821047</v>
      </c>
      <c r="B201" s="103">
        <v>643.02499999999998</v>
      </c>
      <c r="C201" s="103">
        <v>628.05499999999995</v>
      </c>
    </row>
    <row r="202" spans="1:3" x14ac:dyDescent="0.25">
      <c r="A202" s="108">
        <v>3411474</v>
      </c>
      <c r="B202" s="103">
        <v>644.75</v>
      </c>
      <c r="C202" s="103">
        <v>629.19000000000005</v>
      </c>
    </row>
    <row r="203" spans="1:3" x14ac:dyDescent="0.25">
      <c r="A203" s="108">
        <v>3611317</v>
      </c>
      <c r="B203" s="103">
        <v>637.83000000000004</v>
      </c>
      <c r="C203" s="103">
        <v>626.83000000000004</v>
      </c>
    </row>
    <row r="204" spans="1:3" x14ac:dyDescent="0.25">
      <c r="A204" s="108">
        <v>3721417</v>
      </c>
      <c r="B204" s="103">
        <v>650.56000000000006</v>
      </c>
      <c r="C204" s="103">
        <v>633.38</v>
      </c>
    </row>
    <row r="205" spans="1:3" x14ac:dyDescent="0.25">
      <c r="A205" s="108">
        <v>3821152</v>
      </c>
      <c r="B205" s="103">
        <v>640.88499999999999</v>
      </c>
      <c r="C205" s="103">
        <v>624.55500000000006</v>
      </c>
    </row>
    <row r="206" spans="1:3" x14ac:dyDescent="0.25">
      <c r="A206" s="108">
        <v>1411184</v>
      </c>
      <c r="B206" s="103">
        <v>647.56999999999994</v>
      </c>
      <c r="C206" s="103">
        <v>631.73</v>
      </c>
    </row>
    <row r="207" spans="1:3" x14ac:dyDescent="0.25">
      <c r="A207" s="108">
        <v>3621447</v>
      </c>
      <c r="B207" s="103">
        <v>647.46500000000003</v>
      </c>
      <c r="C207" s="103">
        <v>629.73500000000001</v>
      </c>
    </row>
    <row r="208" spans="1:3" x14ac:dyDescent="0.25">
      <c r="A208" s="108">
        <v>6111181</v>
      </c>
      <c r="B208" s="103">
        <v>640.43500000000006</v>
      </c>
      <c r="C208" s="103">
        <v>626.28499999999997</v>
      </c>
    </row>
    <row r="209" spans="1:3" x14ac:dyDescent="0.25">
      <c r="A209" s="108">
        <v>3551221</v>
      </c>
      <c r="B209" s="103">
        <v>644.84</v>
      </c>
      <c r="C209" s="103">
        <v>628.62</v>
      </c>
    </row>
    <row r="210" spans="1:3" x14ac:dyDescent="0.25">
      <c r="A210" s="108">
        <v>3341093</v>
      </c>
      <c r="B210" s="103">
        <v>635.92500000000007</v>
      </c>
      <c r="C210" s="103">
        <v>624.01499999999999</v>
      </c>
    </row>
    <row r="211" spans="1:3" x14ac:dyDescent="0.25">
      <c r="A211" s="108">
        <v>3551194</v>
      </c>
      <c r="B211" s="103">
        <v>650.05000000000007</v>
      </c>
      <c r="C211" s="103">
        <v>633.37</v>
      </c>
    </row>
    <row r="212" spans="1:3" x14ac:dyDescent="0.25">
      <c r="A212" s="108">
        <v>3721441</v>
      </c>
      <c r="B212" s="103">
        <v>640.23500000000001</v>
      </c>
      <c r="C212" s="103">
        <v>627.16500000000008</v>
      </c>
    </row>
    <row r="213" spans="1:3" x14ac:dyDescent="0.25">
      <c r="A213" s="108">
        <v>3531166</v>
      </c>
      <c r="B213" s="103">
        <v>640.42000000000007</v>
      </c>
      <c r="C213" s="103">
        <v>626.28</v>
      </c>
    </row>
    <row r="214" spans="1:3" x14ac:dyDescent="0.25">
      <c r="A214" s="108">
        <v>3721046</v>
      </c>
      <c r="B214" s="103">
        <v>638.25</v>
      </c>
      <c r="C214" s="103">
        <v>625.51</v>
      </c>
    </row>
    <row r="215" spans="1:3" x14ac:dyDescent="0.25">
      <c r="A215" s="108">
        <v>3621103</v>
      </c>
      <c r="B215" s="103">
        <v>646.76</v>
      </c>
      <c r="C215" s="103">
        <v>631.3599999999999</v>
      </c>
    </row>
    <row r="216" spans="1:3" x14ac:dyDescent="0.25">
      <c r="A216" s="108">
        <v>3721232</v>
      </c>
      <c r="B216" s="103">
        <v>651.73</v>
      </c>
      <c r="C216" s="103">
        <v>631.51</v>
      </c>
    </row>
    <row r="217" spans="1:3" x14ac:dyDescent="0.25">
      <c r="A217" s="108">
        <v>3551074</v>
      </c>
      <c r="B217" s="103">
        <v>641.38</v>
      </c>
      <c r="C217" s="103">
        <v>626.38</v>
      </c>
    </row>
    <row r="218" spans="1:3" x14ac:dyDescent="0.25">
      <c r="A218" s="108">
        <v>3721127</v>
      </c>
      <c r="B218" s="103">
        <v>636.02</v>
      </c>
      <c r="C218" s="103">
        <v>623.44000000000005</v>
      </c>
    </row>
    <row r="219" spans="1:3" x14ac:dyDescent="0.25">
      <c r="A219" s="108">
        <v>3721135</v>
      </c>
      <c r="B219" s="103">
        <v>646.17499999999995</v>
      </c>
      <c r="C219" s="103">
        <v>626.30500000000006</v>
      </c>
    </row>
    <row r="220" spans="1:3" x14ac:dyDescent="0.25">
      <c r="A220" s="108">
        <v>3551012</v>
      </c>
      <c r="B220" s="103">
        <v>646.38499999999999</v>
      </c>
      <c r="C220" s="103">
        <v>628.2349999999999</v>
      </c>
    </row>
    <row r="221" spans="1:3" x14ac:dyDescent="0.25">
      <c r="A221" s="108">
        <v>3531104</v>
      </c>
      <c r="B221" s="103">
        <v>643.42000000000007</v>
      </c>
      <c r="C221" s="103">
        <v>626.72</v>
      </c>
    </row>
    <row r="222" spans="1:3" x14ac:dyDescent="0.25">
      <c r="A222" s="108">
        <v>3321162</v>
      </c>
      <c r="B222" s="103">
        <v>649.32000000000005</v>
      </c>
      <c r="C222" s="103">
        <v>630.6</v>
      </c>
    </row>
    <row r="223" spans="1:3" x14ac:dyDescent="0.25">
      <c r="A223" s="108">
        <v>3531143</v>
      </c>
      <c r="B223" s="103">
        <v>637.69000000000005</v>
      </c>
      <c r="C223" s="103">
        <v>625.19000000000005</v>
      </c>
    </row>
    <row r="224" spans="1:3" x14ac:dyDescent="0.25">
      <c r="A224" s="108">
        <v>6311233</v>
      </c>
      <c r="B224" s="103">
        <v>649.68000000000006</v>
      </c>
      <c r="C224" s="103">
        <v>630.72</v>
      </c>
    </row>
    <row r="225" spans="1:3" x14ac:dyDescent="0.25">
      <c r="A225" s="108">
        <v>3531062</v>
      </c>
      <c r="B225" s="103">
        <v>634.98</v>
      </c>
      <c r="C225" s="103">
        <v>622.52</v>
      </c>
    </row>
    <row r="226" spans="1:3" x14ac:dyDescent="0.25">
      <c r="A226" s="108">
        <v>3821055</v>
      </c>
      <c r="B226" s="103">
        <v>638.59500000000003</v>
      </c>
      <c r="C226" s="103">
        <v>624.36500000000001</v>
      </c>
    </row>
    <row r="227" spans="1:3" x14ac:dyDescent="0.25">
      <c r="A227" s="108">
        <v>3621126</v>
      </c>
      <c r="B227" s="103">
        <v>634.19999999999993</v>
      </c>
      <c r="C227" s="103">
        <v>622.91999999999996</v>
      </c>
    </row>
    <row r="228" spans="1:3" x14ac:dyDescent="0.25">
      <c r="A228" s="108">
        <v>3811173</v>
      </c>
      <c r="B228" s="103">
        <v>647.99</v>
      </c>
      <c r="C228" s="103">
        <v>628.6099999999999</v>
      </c>
    </row>
    <row r="229" spans="1:3" x14ac:dyDescent="0.25">
      <c r="A229" s="108">
        <v>3631016</v>
      </c>
      <c r="B229" s="103">
        <v>641.36500000000001</v>
      </c>
      <c r="C229" s="103">
        <v>624.375</v>
      </c>
    </row>
    <row r="230" spans="1:3" x14ac:dyDescent="0.25">
      <c r="A230" s="108">
        <v>3341062</v>
      </c>
      <c r="B230" s="103">
        <v>636.39</v>
      </c>
      <c r="C230" s="103">
        <v>622.96999999999991</v>
      </c>
    </row>
    <row r="231" spans="1:3" x14ac:dyDescent="0.25">
      <c r="A231" s="108">
        <v>3411265</v>
      </c>
      <c r="B231" s="103">
        <v>642.40500000000009</v>
      </c>
      <c r="C231" s="103">
        <v>628.27499999999998</v>
      </c>
    </row>
    <row r="232" spans="1:3" x14ac:dyDescent="0.25">
      <c r="A232" s="108">
        <v>3231163</v>
      </c>
      <c r="B232" s="103">
        <v>634.52</v>
      </c>
      <c r="C232" s="103">
        <v>623.55999999999995</v>
      </c>
    </row>
    <row r="233" spans="1:3" x14ac:dyDescent="0.25">
      <c r="A233" s="108">
        <v>3551275</v>
      </c>
      <c r="B233" s="103">
        <v>634.67500000000007</v>
      </c>
      <c r="C233" s="103">
        <v>623.78499999999997</v>
      </c>
    </row>
    <row r="234" spans="1:3" x14ac:dyDescent="0.25">
      <c r="A234" s="108">
        <v>3411331</v>
      </c>
      <c r="B234" s="103">
        <v>643.58499999999992</v>
      </c>
      <c r="C234" s="103">
        <v>628.995</v>
      </c>
    </row>
    <row r="235" spans="1:3" x14ac:dyDescent="0.25">
      <c r="A235" s="108">
        <v>3621037</v>
      </c>
      <c r="B235" s="103">
        <v>634.38499999999999</v>
      </c>
      <c r="C235" s="103">
        <v>621.31500000000005</v>
      </c>
    </row>
    <row r="236" spans="1:3" x14ac:dyDescent="0.25">
      <c r="A236" s="108">
        <v>3341216</v>
      </c>
      <c r="B236" s="103">
        <v>634.76</v>
      </c>
      <c r="C236" s="103">
        <v>622.05999999999995</v>
      </c>
    </row>
    <row r="237" spans="1:3" x14ac:dyDescent="0.25">
      <c r="A237" s="108">
        <v>3551283</v>
      </c>
      <c r="B237" s="103">
        <v>638.76499999999999</v>
      </c>
      <c r="C237" s="103">
        <v>623.8549999999999</v>
      </c>
    </row>
    <row r="238" spans="1:3" x14ac:dyDescent="0.25">
      <c r="A238" s="108">
        <v>3411435</v>
      </c>
      <c r="B238" s="103">
        <v>642.5</v>
      </c>
      <c r="C238" s="103">
        <v>628.24</v>
      </c>
    </row>
    <row r="239" spans="1:3" x14ac:dyDescent="0.25">
      <c r="A239" s="108">
        <v>3511227</v>
      </c>
      <c r="B239" s="103">
        <v>639.74</v>
      </c>
      <c r="C239" s="103">
        <v>623.54</v>
      </c>
    </row>
    <row r="240" spans="1:3" x14ac:dyDescent="0.25">
      <c r="A240" s="108">
        <v>1211077</v>
      </c>
      <c r="B240" s="103">
        <v>641.11500000000001</v>
      </c>
      <c r="C240" s="103">
        <v>626.7650000000001</v>
      </c>
    </row>
    <row r="241" spans="1:3" x14ac:dyDescent="0.25">
      <c r="A241" s="108">
        <v>1111181</v>
      </c>
      <c r="B241" s="103">
        <v>630.16499999999996</v>
      </c>
      <c r="C241" s="103">
        <v>620.61500000000001</v>
      </c>
    </row>
    <row r="242" spans="1:3" x14ac:dyDescent="0.25">
      <c r="A242" s="108">
        <v>3811165</v>
      </c>
      <c r="B242" s="103">
        <v>642.07499999999993</v>
      </c>
      <c r="C242" s="103">
        <v>623.98500000000001</v>
      </c>
    </row>
    <row r="243" spans="1:3" x14ac:dyDescent="0.25">
      <c r="A243" s="108">
        <v>3511204</v>
      </c>
      <c r="B243" s="103">
        <v>639.97500000000002</v>
      </c>
      <c r="C243" s="103">
        <v>624.54499999999996</v>
      </c>
    </row>
    <row r="244" spans="1:3" x14ac:dyDescent="0.25">
      <c r="A244" s="108">
        <v>3811053</v>
      </c>
      <c r="B244" s="103">
        <v>644.97500000000002</v>
      </c>
      <c r="C244" s="103">
        <v>624.98500000000001</v>
      </c>
    </row>
    <row r="245" spans="1:3" x14ac:dyDescent="0.25">
      <c r="A245" s="108">
        <v>3411056</v>
      </c>
      <c r="B245" s="103">
        <v>632.41</v>
      </c>
      <c r="C245" s="103">
        <v>620.37</v>
      </c>
    </row>
    <row r="246" spans="1:3" x14ac:dyDescent="0.25">
      <c r="A246" s="108">
        <v>3331044</v>
      </c>
      <c r="B246" s="103">
        <v>639.29999999999995</v>
      </c>
      <c r="C246" s="103">
        <v>624</v>
      </c>
    </row>
    <row r="247" spans="1:3" x14ac:dyDescent="0.25">
      <c r="A247" s="108">
        <v>3631024</v>
      </c>
      <c r="B247" s="103">
        <v>646.12</v>
      </c>
      <c r="C247" s="103">
        <v>626.69999999999993</v>
      </c>
    </row>
    <row r="248" spans="1:3" x14ac:dyDescent="0.25">
      <c r="A248" s="108">
        <v>3331052</v>
      </c>
      <c r="B248" s="103">
        <v>640.45000000000005</v>
      </c>
      <c r="C248" s="103">
        <v>624.69000000000005</v>
      </c>
    </row>
    <row r="249" spans="1:3" x14ac:dyDescent="0.25">
      <c r="A249" s="108">
        <v>3531216</v>
      </c>
      <c r="B249" s="103">
        <v>641.69499999999994</v>
      </c>
      <c r="C249" s="103">
        <v>624.625</v>
      </c>
    </row>
    <row r="250" spans="1:3" x14ac:dyDescent="0.25">
      <c r="A250" s="108">
        <v>3341104</v>
      </c>
      <c r="B250" s="103">
        <v>634.51</v>
      </c>
      <c r="C250" s="103">
        <v>622.99</v>
      </c>
    </row>
    <row r="251" spans="1:3" x14ac:dyDescent="0.25">
      <c r="A251" s="108">
        <v>3551356</v>
      </c>
      <c r="B251" s="103">
        <v>636.40499999999997</v>
      </c>
      <c r="C251" s="103">
        <v>623.29500000000007</v>
      </c>
    </row>
    <row r="252" spans="1:3" x14ac:dyDescent="0.25">
      <c r="A252" s="108">
        <v>3511096</v>
      </c>
      <c r="B252" s="103">
        <v>634.11</v>
      </c>
      <c r="C252" s="103">
        <v>621.68999999999994</v>
      </c>
    </row>
    <row r="253" spans="1:3" x14ac:dyDescent="0.25">
      <c r="A253" s="108">
        <v>3221095</v>
      </c>
      <c r="B253" s="103">
        <v>631.6</v>
      </c>
      <c r="C253" s="103">
        <v>621.12</v>
      </c>
    </row>
    <row r="254" spans="1:3" x14ac:dyDescent="0.25">
      <c r="A254" s="108">
        <v>3531286</v>
      </c>
      <c r="B254" s="103">
        <v>635.30000000000007</v>
      </c>
      <c r="C254" s="103">
        <v>620.6</v>
      </c>
    </row>
    <row r="255" spans="1:3" x14ac:dyDescent="0.25">
      <c r="A255" s="108">
        <v>3821322</v>
      </c>
      <c r="B255" s="103">
        <v>638.34</v>
      </c>
      <c r="C255" s="103">
        <v>623.93999999999994</v>
      </c>
    </row>
    <row r="256" spans="1:3" x14ac:dyDescent="0.25">
      <c r="A256" s="108">
        <v>3611244</v>
      </c>
      <c r="B256" s="103">
        <v>644.21</v>
      </c>
      <c r="C256" s="103">
        <v>624.45000000000005</v>
      </c>
    </row>
    <row r="257" spans="1:3" x14ac:dyDescent="0.25">
      <c r="A257" s="108">
        <v>3821233</v>
      </c>
      <c r="B257" s="103">
        <v>632.78</v>
      </c>
      <c r="C257" s="103">
        <v>617.18000000000006</v>
      </c>
    </row>
    <row r="258" spans="1:3" x14ac:dyDescent="0.25">
      <c r="A258" s="108">
        <v>3631086</v>
      </c>
      <c r="B258" s="103">
        <v>636.6</v>
      </c>
      <c r="C258" s="103">
        <v>621.56000000000006</v>
      </c>
    </row>
    <row r="259" spans="1:3" x14ac:dyDescent="0.25">
      <c r="A259" s="108">
        <v>3651052</v>
      </c>
      <c r="B259" s="103">
        <v>637.125</v>
      </c>
      <c r="C259" s="103">
        <v>620.0150000000001</v>
      </c>
    </row>
    <row r="260" spans="1:3" x14ac:dyDescent="0.25">
      <c r="A260" s="108">
        <v>3531127</v>
      </c>
      <c r="B260" s="103">
        <v>641.40499999999997</v>
      </c>
      <c r="C260" s="103">
        <v>621.05500000000006</v>
      </c>
    </row>
    <row r="261" spans="1:3" x14ac:dyDescent="0.25">
      <c r="A261" s="108">
        <v>5211224</v>
      </c>
      <c r="B261" s="103">
        <v>629.05999999999995</v>
      </c>
      <c r="C261" s="103">
        <v>617.20000000000005</v>
      </c>
    </row>
    <row r="262" spans="1:3" x14ac:dyDescent="0.25">
      <c r="A262" s="108">
        <v>3561215</v>
      </c>
      <c r="B262" s="103">
        <v>634.34500000000003</v>
      </c>
      <c r="C262" s="103">
        <v>619.85500000000002</v>
      </c>
    </row>
    <row r="263" spans="1:3" x14ac:dyDescent="0.25">
      <c r="A263" s="108">
        <v>3721197</v>
      </c>
      <c r="B263" s="103">
        <v>631.1</v>
      </c>
      <c r="C263" s="103">
        <v>619.4</v>
      </c>
    </row>
    <row r="264" spans="1:3" x14ac:dyDescent="0.25">
      <c r="A264" s="108">
        <v>3711187</v>
      </c>
      <c r="B264" s="103">
        <v>645.51</v>
      </c>
      <c r="C264" s="103">
        <v>624.01</v>
      </c>
    </row>
    <row r="265" spans="1:3" x14ac:dyDescent="0.25">
      <c r="A265" s="108">
        <v>1411153</v>
      </c>
      <c r="B265" s="103">
        <v>641</v>
      </c>
      <c r="C265" s="103">
        <v>624.24</v>
      </c>
    </row>
    <row r="266" spans="1:3" x14ac:dyDescent="0.25">
      <c r="A266" s="108">
        <v>3411114</v>
      </c>
      <c r="B266" s="103">
        <v>649.39</v>
      </c>
      <c r="C266" s="103">
        <v>624.42999999999995</v>
      </c>
    </row>
    <row r="267" spans="1:3" x14ac:dyDescent="0.25">
      <c r="A267" s="108">
        <v>3811092</v>
      </c>
      <c r="B267" s="103">
        <v>638.58500000000004</v>
      </c>
      <c r="C267" s="103">
        <v>622.95499999999993</v>
      </c>
    </row>
    <row r="268" spans="1:3" x14ac:dyDescent="0.25">
      <c r="A268" s="108">
        <v>3611221</v>
      </c>
      <c r="B268" s="103">
        <v>635.07499999999993</v>
      </c>
      <c r="C268" s="103">
        <v>618.22500000000002</v>
      </c>
    </row>
    <row r="269" spans="1:3" x14ac:dyDescent="0.25">
      <c r="A269" s="108">
        <v>3231051</v>
      </c>
      <c r="B269" s="103">
        <v>641.77499999999998</v>
      </c>
      <c r="C269" s="103">
        <v>617.04499999999996</v>
      </c>
    </row>
    <row r="270" spans="1:3" x14ac:dyDescent="0.25">
      <c r="A270" s="108">
        <v>1411211</v>
      </c>
      <c r="B270" s="103">
        <v>639.94999999999993</v>
      </c>
      <c r="C270" s="103">
        <v>623.09</v>
      </c>
    </row>
    <row r="271" spans="1:3" x14ac:dyDescent="0.25">
      <c r="A271" s="108">
        <v>3551267</v>
      </c>
      <c r="B271" s="103">
        <v>629.83500000000004</v>
      </c>
      <c r="C271" s="103">
        <v>618.38499999999999</v>
      </c>
    </row>
    <row r="272" spans="1:3" x14ac:dyDescent="0.25">
      <c r="A272" s="108">
        <v>3241045</v>
      </c>
      <c r="B272" s="103">
        <v>634.44999999999993</v>
      </c>
      <c r="C272" s="103">
        <v>619.37</v>
      </c>
    </row>
    <row r="273" spans="1:3" x14ac:dyDescent="0.25">
      <c r="A273" s="108">
        <v>3721352</v>
      </c>
      <c r="B273" s="103">
        <v>630.45500000000004</v>
      </c>
      <c r="C273" s="103">
        <v>618.44500000000005</v>
      </c>
    </row>
    <row r="274" spans="1:3" x14ac:dyDescent="0.25">
      <c r="A274" s="108">
        <v>7511212</v>
      </c>
      <c r="B274" s="103">
        <v>636.10500000000002</v>
      </c>
      <c r="C274" s="103">
        <v>620.875</v>
      </c>
    </row>
    <row r="275" spans="1:3" x14ac:dyDescent="0.25">
      <c r="A275" s="108">
        <v>3611476</v>
      </c>
      <c r="B275" s="103">
        <v>631.33500000000004</v>
      </c>
      <c r="C275" s="103">
        <v>615.32500000000005</v>
      </c>
    </row>
    <row r="276" spans="1:3" x14ac:dyDescent="0.25">
      <c r="A276" s="108">
        <v>3531151</v>
      </c>
      <c r="B276" s="103">
        <v>632.67499999999995</v>
      </c>
      <c r="C276" s="103">
        <v>618.44499999999994</v>
      </c>
    </row>
    <row r="277" spans="1:3" x14ac:dyDescent="0.25">
      <c r="A277" s="108">
        <v>3561262</v>
      </c>
      <c r="B277" s="103">
        <v>633.43999999999994</v>
      </c>
      <c r="C277" s="103">
        <v>618.91999999999996</v>
      </c>
    </row>
    <row r="278" spans="1:3" x14ac:dyDescent="0.25">
      <c r="A278" s="108">
        <v>3611484</v>
      </c>
      <c r="B278" s="103">
        <v>636.54499999999996</v>
      </c>
      <c r="C278" s="103">
        <v>620.55499999999995</v>
      </c>
    </row>
    <row r="279" spans="1:3" x14ac:dyDescent="0.25">
      <c r="A279" s="108">
        <v>3821175</v>
      </c>
      <c r="B279" s="103">
        <v>644.56000000000006</v>
      </c>
      <c r="C279" s="103">
        <v>624.67999999999995</v>
      </c>
    </row>
    <row r="280" spans="1:3" x14ac:dyDescent="0.25">
      <c r="A280" s="108">
        <v>3611291</v>
      </c>
      <c r="B280" s="103">
        <v>631.59</v>
      </c>
      <c r="C280" s="103">
        <v>615.39</v>
      </c>
    </row>
    <row r="281" spans="1:3" x14ac:dyDescent="0.25">
      <c r="A281" s="108">
        <v>3321177</v>
      </c>
      <c r="B281" s="103">
        <v>641.49</v>
      </c>
      <c r="C281" s="103">
        <v>624.69000000000005</v>
      </c>
    </row>
    <row r="282" spans="1:3" x14ac:dyDescent="0.25">
      <c r="A282" s="108">
        <v>3411064</v>
      </c>
      <c r="B282" s="103">
        <v>627.96999999999991</v>
      </c>
      <c r="C282" s="103">
        <v>614.63</v>
      </c>
    </row>
    <row r="283" spans="1:3" x14ac:dyDescent="0.25">
      <c r="A283" s="108">
        <v>3551066</v>
      </c>
      <c r="B283" s="103">
        <v>633.78</v>
      </c>
      <c r="C283" s="103">
        <v>617.55999999999995</v>
      </c>
    </row>
    <row r="284" spans="1:3" x14ac:dyDescent="0.25">
      <c r="A284" s="108">
        <v>3611302</v>
      </c>
      <c r="B284" s="103">
        <v>631.66499999999996</v>
      </c>
      <c r="C284" s="103">
        <v>617.55500000000006</v>
      </c>
    </row>
    <row r="285" spans="1:3" x14ac:dyDescent="0.25">
      <c r="A285" s="108">
        <v>3821016</v>
      </c>
      <c r="B285" s="103">
        <v>631.90000000000009</v>
      </c>
      <c r="C285" s="103">
        <v>616.26</v>
      </c>
    </row>
    <row r="286" spans="1:3" x14ac:dyDescent="0.25">
      <c r="A286" s="108">
        <v>3331083</v>
      </c>
      <c r="B286" s="103">
        <v>636.04</v>
      </c>
      <c r="C286" s="103">
        <v>617.42000000000007</v>
      </c>
    </row>
    <row r="287" spans="1:3" x14ac:dyDescent="0.25">
      <c r="A287" s="108">
        <v>3551252</v>
      </c>
      <c r="B287" s="103">
        <v>627.52499999999998</v>
      </c>
      <c r="C287" s="103">
        <v>615.65500000000009</v>
      </c>
    </row>
    <row r="288" spans="1:3" x14ac:dyDescent="0.25">
      <c r="A288" s="108">
        <v>7131162</v>
      </c>
      <c r="B288" s="103">
        <v>631.71500000000003</v>
      </c>
      <c r="C288" s="103">
        <v>618.44500000000005</v>
      </c>
    </row>
    <row r="289" spans="1:3" x14ac:dyDescent="0.25">
      <c r="A289" s="108">
        <v>3611283</v>
      </c>
      <c r="B289" s="103">
        <v>632.625</v>
      </c>
      <c r="C289" s="103">
        <v>617.35500000000002</v>
      </c>
    </row>
    <row r="290" spans="1:3" x14ac:dyDescent="0.25">
      <c r="A290" s="108">
        <v>3561207</v>
      </c>
      <c r="B290" s="103">
        <v>624.56999999999994</v>
      </c>
      <c r="C290" s="103">
        <v>613.25</v>
      </c>
    </row>
    <row r="291" spans="1:3" x14ac:dyDescent="0.25">
      <c r="A291" s="108">
        <v>3721391</v>
      </c>
      <c r="B291" s="103">
        <v>622.43499999999995</v>
      </c>
      <c r="C291" s="103">
        <v>612.34500000000003</v>
      </c>
    </row>
    <row r="292" spans="1:3" x14ac:dyDescent="0.25">
      <c r="A292" s="108">
        <v>3331125</v>
      </c>
      <c r="B292" s="103">
        <v>641.08000000000004</v>
      </c>
      <c r="C292" s="103">
        <v>616.32000000000005</v>
      </c>
    </row>
    <row r="293" spans="1:3" x14ac:dyDescent="0.25">
      <c r="A293" s="108">
        <v>3631063</v>
      </c>
      <c r="B293" s="103">
        <v>629.56000000000006</v>
      </c>
      <c r="C293" s="103">
        <v>616.36</v>
      </c>
    </row>
    <row r="294" spans="1:3" x14ac:dyDescent="0.25">
      <c r="A294" s="108">
        <v>3551082</v>
      </c>
      <c r="B294" s="103">
        <v>626.01499999999999</v>
      </c>
      <c r="C294" s="103">
        <v>614.505</v>
      </c>
    </row>
    <row r="295" spans="1:3" x14ac:dyDescent="0.25">
      <c r="A295" s="108">
        <v>5411323</v>
      </c>
      <c r="B295" s="103">
        <v>620.04999999999995</v>
      </c>
      <c r="C295" s="103">
        <v>612.56999999999994</v>
      </c>
    </row>
    <row r="296" spans="1:3" x14ac:dyDescent="0.25">
      <c r="A296" s="108">
        <v>3411017</v>
      </c>
      <c r="B296" s="103">
        <v>641.04999999999995</v>
      </c>
      <c r="C296" s="103">
        <v>620.23</v>
      </c>
    </row>
    <row r="297" spans="1:3" x14ac:dyDescent="0.25">
      <c r="A297" s="108">
        <v>3811084</v>
      </c>
      <c r="B297" s="103">
        <v>638.80499999999995</v>
      </c>
      <c r="C297" s="103">
        <v>621.95500000000004</v>
      </c>
    </row>
    <row r="298" spans="1:3" x14ac:dyDescent="0.25">
      <c r="A298" s="108">
        <v>3631055</v>
      </c>
      <c r="B298" s="103">
        <v>618.22500000000002</v>
      </c>
      <c r="C298" s="103">
        <v>611.09499999999991</v>
      </c>
    </row>
    <row r="299" spans="1:3" x14ac:dyDescent="0.25">
      <c r="A299" s="108">
        <v>3511185</v>
      </c>
      <c r="B299" s="103">
        <v>625.65499999999997</v>
      </c>
      <c r="C299" s="103">
        <v>612.58500000000004</v>
      </c>
    </row>
    <row r="300" spans="1:3" x14ac:dyDescent="0.25">
      <c r="A300" s="108">
        <v>3611267</v>
      </c>
      <c r="B300" s="103">
        <v>629.95000000000005</v>
      </c>
      <c r="C300" s="103">
        <v>614.77</v>
      </c>
    </row>
    <row r="301" spans="1:3" x14ac:dyDescent="0.25">
      <c r="A301" s="108">
        <v>3721487</v>
      </c>
      <c r="B301" s="103">
        <v>631.22</v>
      </c>
      <c r="C301" s="103">
        <v>614.92000000000007</v>
      </c>
    </row>
    <row r="302" spans="1:3" x14ac:dyDescent="0.25">
      <c r="A302" s="108">
        <v>3341085</v>
      </c>
      <c r="B302" s="103">
        <v>630.1400000000001</v>
      </c>
      <c r="C302" s="103">
        <v>613.5</v>
      </c>
    </row>
    <row r="303" spans="1:3" x14ac:dyDescent="0.25">
      <c r="A303" s="108">
        <v>3221033</v>
      </c>
      <c r="B303" s="103">
        <v>633.02</v>
      </c>
      <c r="C303" s="103">
        <v>615.57999999999993</v>
      </c>
    </row>
    <row r="304" spans="1:3" x14ac:dyDescent="0.25">
      <c r="A304" s="108">
        <v>3511034</v>
      </c>
      <c r="B304" s="103">
        <v>631.10500000000002</v>
      </c>
      <c r="C304" s="103">
        <v>613.07500000000005</v>
      </c>
    </row>
    <row r="305" spans="1:3" x14ac:dyDescent="0.25">
      <c r="A305" s="108">
        <v>3811142</v>
      </c>
      <c r="B305" s="103">
        <v>630.7700000000001</v>
      </c>
      <c r="C305" s="103">
        <v>616.11</v>
      </c>
    </row>
    <row r="306" spans="1:3" x14ac:dyDescent="0.25">
      <c r="A306" s="108">
        <v>3811126</v>
      </c>
      <c r="B306" s="103">
        <v>627.39499999999998</v>
      </c>
      <c r="C306" s="103">
        <v>613.06500000000005</v>
      </c>
    </row>
    <row r="307" spans="1:3" x14ac:dyDescent="0.25">
      <c r="A307" s="108">
        <v>3721077</v>
      </c>
      <c r="B307" s="103">
        <v>624.07000000000005</v>
      </c>
      <c r="C307" s="103">
        <v>614.65</v>
      </c>
    </row>
    <row r="308" spans="1:3" x14ac:dyDescent="0.25">
      <c r="A308" s="108">
        <v>3411362</v>
      </c>
      <c r="B308" s="103">
        <v>632.83000000000004</v>
      </c>
      <c r="C308" s="103">
        <v>612.11</v>
      </c>
    </row>
    <row r="309" spans="1:3" x14ac:dyDescent="0.25">
      <c r="A309" s="108">
        <v>3631071</v>
      </c>
      <c r="B309" s="103">
        <v>626.33500000000004</v>
      </c>
      <c r="C309" s="103">
        <v>613.54500000000007</v>
      </c>
    </row>
    <row r="310" spans="1:3" x14ac:dyDescent="0.25">
      <c r="A310" s="108">
        <v>3561181</v>
      </c>
      <c r="B310" s="103">
        <v>624.57999999999993</v>
      </c>
      <c r="C310" s="103">
        <v>611.72</v>
      </c>
    </row>
    <row r="311" spans="1:3" x14ac:dyDescent="0.25">
      <c r="A311" s="108">
        <v>3341015</v>
      </c>
      <c r="B311" s="103">
        <v>632.59</v>
      </c>
      <c r="C311" s="103">
        <v>614.55000000000007</v>
      </c>
    </row>
    <row r="312" spans="1:3" x14ac:dyDescent="0.25">
      <c r="A312" s="108">
        <v>3531135</v>
      </c>
      <c r="B312" s="103">
        <v>620.07500000000005</v>
      </c>
      <c r="C312" s="103">
        <v>611.06500000000005</v>
      </c>
    </row>
    <row r="313" spans="1:3" x14ac:dyDescent="0.25">
      <c r="A313" s="108">
        <v>3241037</v>
      </c>
      <c r="B313" s="103">
        <v>628.59499999999991</v>
      </c>
      <c r="C313" s="103">
        <v>614.26499999999999</v>
      </c>
    </row>
    <row r="314" spans="1:3" x14ac:dyDescent="0.25">
      <c r="A314" s="108">
        <v>3241111</v>
      </c>
      <c r="B314" s="103">
        <v>626.14</v>
      </c>
      <c r="C314" s="103">
        <v>611.95999999999992</v>
      </c>
    </row>
    <row r="315" spans="1:3" x14ac:dyDescent="0.25">
      <c r="A315" s="108">
        <v>3341174</v>
      </c>
      <c r="B315" s="103">
        <v>617.89499999999998</v>
      </c>
      <c r="C315" s="103">
        <v>609.10500000000002</v>
      </c>
    </row>
    <row r="316" spans="1:3" x14ac:dyDescent="0.25">
      <c r="A316" s="108">
        <v>1411145</v>
      </c>
      <c r="B316" s="103">
        <v>636.17500000000007</v>
      </c>
      <c r="C316" s="103">
        <v>617.005</v>
      </c>
    </row>
    <row r="317" spans="1:3" x14ac:dyDescent="0.25">
      <c r="A317" s="108">
        <v>1411161</v>
      </c>
      <c r="B317" s="103">
        <v>620.06999999999994</v>
      </c>
      <c r="C317" s="103">
        <v>610.25</v>
      </c>
    </row>
    <row r="318" spans="1:3" x14ac:dyDescent="0.25">
      <c r="A318" s="108">
        <v>3821241</v>
      </c>
      <c r="B318" s="103">
        <v>649.55999999999995</v>
      </c>
      <c r="C318" s="103">
        <v>621.72</v>
      </c>
    </row>
    <row r="319" spans="1:3" x14ac:dyDescent="0.25">
      <c r="A319" s="108">
        <v>3721104</v>
      </c>
      <c r="B319" s="103">
        <v>629.02499999999998</v>
      </c>
      <c r="C319" s="103">
        <v>612.495</v>
      </c>
    </row>
    <row r="320" spans="1:3" x14ac:dyDescent="0.25">
      <c r="A320" s="108">
        <v>3731211</v>
      </c>
      <c r="B320" s="103">
        <v>623.15</v>
      </c>
      <c r="C320" s="103">
        <v>612.55000000000007</v>
      </c>
    </row>
    <row r="321" spans="1:3" x14ac:dyDescent="0.25">
      <c r="A321" s="108">
        <v>3531046</v>
      </c>
      <c r="B321" s="103">
        <v>620.91</v>
      </c>
      <c r="C321" s="103">
        <v>610.39</v>
      </c>
    </row>
    <row r="322" spans="1:3" x14ac:dyDescent="0.25">
      <c r="A322" s="108">
        <v>3621045</v>
      </c>
      <c r="B322" s="103">
        <v>634.25</v>
      </c>
      <c r="C322" s="103">
        <v>612.43000000000006</v>
      </c>
    </row>
    <row r="323" spans="1:3" x14ac:dyDescent="0.25">
      <c r="A323" s="108">
        <v>3511026</v>
      </c>
      <c r="B323" s="103">
        <v>617.07500000000005</v>
      </c>
      <c r="C323" s="103">
        <v>608.38499999999999</v>
      </c>
    </row>
    <row r="324" spans="1:3" x14ac:dyDescent="0.25">
      <c r="A324" s="108">
        <v>3411137</v>
      </c>
      <c r="B324" s="103">
        <v>627.755</v>
      </c>
      <c r="C324" s="103">
        <v>613.30499999999995</v>
      </c>
    </row>
    <row r="325" spans="1:3" x14ac:dyDescent="0.25">
      <c r="A325" s="108">
        <v>3631047</v>
      </c>
      <c r="B325" s="103">
        <v>621.49</v>
      </c>
      <c r="C325" s="103">
        <v>611.30999999999995</v>
      </c>
    </row>
    <row r="326" spans="1:3" x14ac:dyDescent="0.25">
      <c r="A326" s="108">
        <v>3411087</v>
      </c>
      <c r="B326" s="103">
        <v>627.745</v>
      </c>
      <c r="C326" s="103">
        <v>615.01499999999999</v>
      </c>
    </row>
    <row r="327" spans="1:3" x14ac:dyDescent="0.25">
      <c r="A327" s="108">
        <v>3331214</v>
      </c>
      <c r="B327" s="103">
        <v>625.93999999999994</v>
      </c>
      <c r="C327" s="103">
        <v>613.38</v>
      </c>
    </row>
    <row r="328" spans="1:3" x14ac:dyDescent="0.25">
      <c r="A328" s="108">
        <v>3621022</v>
      </c>
      <c r="B328" s="103">
        <v>634.70500000000004</v>
      </c>
      <c r="C328" s="103">
        <v>615.45500000000004</v>
      </c>
    </row>
    <row r="329" spans="1:3" x14ac:dyDescent="0.25">
      <c r="A329" s="108">
        <v>3621134</v>
      </c>
      <c r="B329" s="103">
        <v>621.89</v>
      </c>
      <c r="C329" s="103">
        <v>612.20999999999992</v>
      </c>
    </row>
    <row r="330" spans="1:3" x14ac:dyDescent="0.25">
      <c r="A330" s="108">
        <v>3851031</v>
      </c>
      <c r="B330" s="103">
        <v>619.91000000000008</v>
      </c>
      <c r="C330" s="103">
        <v>607.75</v>
      </c>
    </row>
    <row r="331" spans="1:3" x14ac:dyDescent="0.25">
      <c r="A331" s="108">
        <v>3231012</v>
      </c>
      <c r="B331" s="103">
        <v>642.28000000000009</v>
      </c>
      <c r="C331" s="103">
        <v>615.6</v>
      </c>
    </row>
    <row r="332" spans="1:3" x14ac:dyDescent="0.25">
      <c r="A332" s="108">
        <v>3731017</v>
      </c>
      <c r="B332" s="103">
        <v>635.92000000000007</v>
      </c>
      <c r="C332" s="103">
        <v>615.22</v>
      </c>
    </row>
    <row r="333" spans="1:3" x14ac:dyDescent="0.25">
      <c r="A333" s="108">
        <v>3411377</v>
      </c>
      <c r="B333" s="103">
        <v>621.58000000000004</v>
      </c>
      <c r="C333" s="103">
        <v>608.67999999999995</v>
      </c>
    </row>
    <row r="334" spans="1:3" x14ac:dyDescent="0.25">
      <c r="A334" s="108">
        <v>3631032</v>
      </c>
      <c r="B334" s="103">
        <v>629.755</v>
      </c>
      <c r="C334" s="103">
        <v>612.505</v>
      </c>
    </row>
    <row r="335" spans="1:3" x14ac:dyDescent="0.25">
      <c r="A335" s="108">
        <v>3561014</v>
      </c>
      <c r="B335" s="103">
        <v>625.67500000000007</v>
      </c>
      <c r="C335" s="103">
        <v>608.745</v>
      </c>
    </row>
    <row r="336" spans="1:3" x14ac:dyDescent="0.25">
      <c r="A336" s="108">
        <v>5311384</v>
      </c>
      <c r="B336" s="103">
        <v>624.27</v>
      </c>
      <c r="C336" s="103">
        <v>610.08999999999992</v>
      </c>
    </row>
    <row r="337" spans="1:3" x14ac:dyDescent="0.25">
      <c r="A337" s="108">
        <v>3511115</v>
      </c>
      <c r="B337" s="103">
        <v>623.22</v>
      </c>
      <c r="C337" s="103">
        <v>609.72</v>
      </c>
    </row>
    <row r="338" spans="1:3" x14ac:dyDescent="0.25">
      <c r="A338" s="108">
        <v>3341077</v>
      </c>
      <c r="B338" s="103">
        <v>623.89</v>
      </c>
      <c r="C338" s="103">
        <v>610.87</v>
      </c>
    </row>
    <row r="339" spans="1:3" x14ac:dyDescent="0.25">
      <c r="A339" s="108">
        <v>3611325</v>
      </c>
      <c r="B339" s="103">
        <v>626.3599999999999</v>
      </c>
      <c r="C339" s="103">
        <v>611.5</v>
      </c>
    </row>
    <row r="340" spans="1:3" x14ac:dyDescent="0.25">
      <c r="A340" s="108">
        <v>3631136</v>
      </c>
      <c r="B340" s="103">
        <v>624.29</v>
      </c>
      <c r="C340" s="103">
        <v>607.51</v>
      </c>
    </row>
    <row r="341" spans="1:3" x14ac:dyDescent="0.25">
      <c r="A341" s="108">
        <v>3341197</v>
      </c>
      <c r="B341" s="103">
        <v>622.04999999999995</v>
      </c>
      <c r="C341" s="103">
        <v>609.21</v>
      </c>
    </row>
    <row r="342" spans="1:3" x14ac:dyDescent="0.25">
      <c r="A342" s="108">
        <v>3411025</v>
      </c>
      <c r="B342" s="103">
        <v>630.4849999999999</v>
      </c>
      <c r="C342" s="103">
        <v>611.63499999999999</v>
      </c>
    </row>
    <row r="343" spans="1:3" x14ac:dyDescent="0.25">
      <c r="A343" s="108">
        <v>3611275</v>
      </c>
      <c r="B343" s="103">
        <v>626.61</v>
      </c>
      <c r="C343" s="103">
        <v>612.53000000000009</v>
      </c>
    </row>
    <row r="344" spans="1:3" x14ac:dyDescent="0.25">
      <c r="A344" s="108">
        <v>8111246</v>
      </c>
      <c r="B344" s="103">
        <v>615.70999999999992</v>
      </c>
      <c r="C344" s="103">
        <v>605.91</v>
      </c>
    </row>
    <row r="345" spans="1:3" x14ac:dyDescent="0.25">
      <c r="A345" s="108">
        <v>3711172</v>
      </c>
      <c r="B345" s="103">
        <v>626.09</v>
      </c>
      <c r="C345" s="103">
        <v>608.94999999999993</v>
      </c>
    </row>
    <row r="346" spans="1:3" x14ac:dyDescent="0.25">
      <c r="A346" s="108">
        <v>3721383</v>
      </c>
      <c r="B346" s="103">
        <v>618.92000000000007</v>
      </c>
      <c r="C346" s="103">
        <v>607.74</v>
      </c>
    </row>
    <row r="347" spans="1:3" x14ac:dyDescent="0.25">
      <c r="A347" s="108">
        <v>3511081</v>
      </c>
      <c r="B347" s="103">
        <v>622.70499999999993</v>
      </c>
      <c r="C347" s="103">
        <v>606.89499999999998</v>
      </c>
    </row>
    <row r="348" spans="1:3" x14ac:dyDescent="0.25">
      <c r="A348" s="108">
        <v>3331237</v>
      </c>
      <c r="B348" s="103">
        <v>637.48</v>
      </c>
      <c r="C348" s="103">
        <v>615.52</v>
      </c>
    </row>
    <row r="349" spans="1:3" x14ac:dyDescent="0.25">
      <c r="A349" s="108">
        <v>3331075</v>
      </c>
      <c r="B349" s="103">
        <v>622.05000000000007</v>
      </c>
      <c r="C349" s="103">
        <v>608.37</v>
      </c>
    </row>
    <row r="350" spans="1:3" x14ac:dyDescent="0.25">
      <c r="A350" s="108">
        <v>3721433</v>
      </c>
      <c r="B350" s="103">
        <v>615.42000000000007</v>
      </c>
      <c r="C350" s="103">
        <v>605</v>
      </c>
    </row>
    <row r="351" spans="1:3" x14ac:dyDescent="0.25">
      <c r="A351" s="108">
        <v>1711013</v>
      </c>
      <c r="B351" s="103">
        <v>626.25</v>
      </c>
      <c r="C351" s="103">
        <v>609.23</v>
      </c>
    </row>
    <row r="352" spans="1:3" x14ac:dyDescent="0.25">
      <c r="A352" s="108">
        <v>7311183</v>
      </c>
      <c r="B352" s="103">
        <v>618.17000000000007</v>
      </c>
      <c r="C352" s="103">
        <v>605.21</v>
      </c>
    </row>
    <row r="353" spans="1:3" x14ac:dyDescent="0.25">
      <c r="A353" s="108">
        <v>3561092</v>
      </c>
      <c r="B353" s="103">
        <v>628.56999999999994</v>
      </c>
      <c r="C353" s="103">
        <v>609.77</v>
      </c>
    </row>
    <row r="354" spans="1:3" x14ac:dyDescent="0.25">
      <c r="A354" s="108">
        <v>3731114</v>
      </c>
      <c r="B354" s="103">
        <v>623.05499999999995</v>
      </c>
      <c r="C354" s="103">
        <v>606.72500000000002</v>
      </c>
    </row>
    <row r="355" spans="1:3" x14ac:dyDescent="0.25">
      <c r="A355" s="108">
        <v>3241053</v>
      </c>
      <c r="B355" s="103">
        <v>624.77</v>
      </c>
      <c r="C355" s="103">
        <v>608.79</v>
      </c>
    </row>
    <row r="356" spans="1:3" x14ac:dyDescent="0.25">
      <c r="A356" s="108">
        <v>3621111</v>
      </c>
      <c r="B356" s="103">
        <v>621.36</v>
      </c>
      <c r="C356" s="103">
        <v>604.41999999999996</v>
      </c>
    </row>
    <row r="357" spans="1:3" x14ac:dyDescent="0.25">
      <c r="A357" s="108">
        <v>3621463</v>
      </c>
      <c r="B357" s="103">
        <v>617.22500000000002</v>
      </c>
      <c r="C357" s="103">
        <v>605.45500000000004</v>
      </c>
    </row>
    <row r="358" spans="1:3" x14ac:dyDescent="0.25">
      <c r="A358" s="108">
        <v>3551155</v>
      </c>
      <c r="B358" s="103">
        <v>625.36</v>
      </c>
      <c r="C358" s="103">
        <v>608.19999999999993</v>
      </c>
    </row>
    <row r="359" spans="1:3" x14ac:dyDescent="0.25">
      <c r="A359" s="108">
        <v>3411451</v>
      </c>
      <c r="B359" s="103">
        <v>627.25</v>
      </c>
      <c r="C359" s="103">
        <v>610.93000000000006</v>
      </c>
    </row>
    <row r="360" spans="1:3" x14ac:dyDescent="0.25">
      <c r="A360" s="108">
        <v>3811045</v>
      </c>
      <c r="B360" s="103">
        <v>630.01499999999999</v>
      </c>
      <c r="C360" s="103">
        <v>612.44500000000005</v>
      </c>
    </row>
    <row r="361" spans="1:3" x14ac:dyDescent="0.25">
      <c r="A361" s="108">
        <v>3721201</v>
      </c>
      <c r="B361" s="103">
        <v>624.25</v>
      </c>
      <c r="C361" s="103">
        <v>609.1099999999999</v>
      </c>
    </row>
    <row r="362" spans="1:3" x14ac:dyDescent="0.25">
      <c r="A362" s="108">
        <v>3731161</v>
      </c>
      <c r="B362" s="103">
        <v>618.82499999999993</v>
      </c>
      <c r="C362" s="103">
        <v>605.45500000000004</v>
      </c>
    </row>
    <row r="363" spans="1:3" x14ac:dyDescent="0.25">
      <c r="A363" s="108">
        <v>3241092</v>
      </c>
      <c r="B363" s="103">
        <v>618</v>
      </c>
      <c r="C363" s="103">
        <v>605.66000000000008</v>
      </c>
    </row>
    <row r="364" spans="1:3" x14ac:dyDescent="0.25">
      <c r="A364" s="108">
        <v>3561223</v>
      </c>
      <c r="B364" s="103">
        <v>614.6099999999999</v>
      </c>
      <c r="C364" s="103">
        <v>601.51</v>
      </c>
    </row>
    <row r="365" spans="1:3" x14ac:dyDescent="0.25">
      <c r="A365" s="108">
        <v>3561111</v>
      </c>
      <c r="B365" s="103">
        <v>615.83500000000004</v>
      </c>
      <c r="C365" s="103">
        <v>602.16499999999996</v>
      </c>
    </row>
    <row r="366" spans="1:3" x14ac:dyDescent="0.25">
      <c r="A366" s="108">
        <v>3631105</v>
      </c>
      <c r="B366" s="103">
        <v>618.07999999999993</v>
      </c>
      <c r="C366" s="103">
        <v>605.5</v>
      </c>
    </row>
    <row r="367" spans="1:3" x14ac:dyDescent="0.25">
      <c r="A367" s="108">
        <v>3531197</v>
      </c>
      <c r="B367" s="103">
        <v>618.33000000000004</v>
      </c>
      <c r="C367" s="103">
        <v>607.09</v>
      </c>
    </row>
    <row r="368" spans="1:3" x14ac:dyDescent="0.25">
      <c r="A368" s="108">
        <v>3241084</v>
      </c>
      <c r="B368" s="103">
        <v>618.755</v>
      </c>
      <c r="C368" s="103">
        <v>606.92500000000007</v>
      </c>
    </row>
    <row r="369" spans="1:3" x14ac:dyDescent="0.25">
      <c r="A369" s="108">
        <v>1411226</v>
      </c>
      <c r="B369" s="103">
        <v>623.65499999999997</v>
      </c>
      <c r="C369" s="103">
        <v>608.88499999999999</v>
      </c>
    </row>
    <row r="370" spans="1:3" x14ac:dyDescent="0.25">
      <c r="A370" s="108">
        <v>3531255</v>
      </c>
      <c r="B370" s="103">
        <v>622.54999999999995</v>
      </c>
      <c r="C370" s="103">
        <v>605.03</v>
      </c>
    </row>
    <row r="371" spans="1:3" x14ac:dyDescent="0.25">
      <c r="A371" s="108">
        <v>3821287</v>
      </c>
      <c r="B371" s="103">
        <v>617.77</v>
      </c>
      <c r="C371" s="103">
        <v>606.03</v>
      </c>
    </row>
    <row r="372" spans="1:3" x14ac:dyDescent="0.25">
      <c r="A372" s="108">
        <v>3561165</v>
      </c>
      <c r="B372" s="103">
        <v>616.63</v>
      </c>
      <c r="C372" s="103">
        <v>603.68999999999994</v>
      </c>
    </row>
    <row r="373" spans="1:3" x14ac:dyDescent="0.25">
      <c r="A373" s="108">
        <v>1411176</v>
      </c>
      <c r="B373" s="103">
        <v>625.39</v>
      </c>
      <c r="C373" s="103">
        <v>606.29000000000008</v>
      </c>
    </row>
    <row r="374" spans="1:3" x14ac:dyDescent="0.25">
      <c r="A374" s="108">
        <v>3411145</v>
      </c>
      <c r="B374" s="103">
        <v>630.58500000000004</v>
      </c>
      <c r="C374" s="103">
        <v>605.875</v>
      </c>
    </row>
    <row r="375" spans="1:3" x14ac:dyDescent="0.25">
      <c r="A375" s="108">
        <v>1211104</v>
      </c>
      <c r="B375" s="103">
        <v>635.06999999999994</v>
      </c>
      <c r="C375" s="103">
        <v>609.54999999999995</v>
      </c>
    </row>
    <row r="376" spans="1:3" x14ac:dyDescent="0.25">
      <c r="A376" s="108">
        <v>3831057</v>
      </c>
      <c r="B376" s="103">
        <v>618.03500000000008</v>
      </c>
      <c r="C376" s="103">
        <v>605.125</v>
      </c>
    </row>
    <row r="377" spans="1:3" x14ac:dyDescent="0.25">
      <c r="A377" s="108">
        <v>1211247</v>
      </c>
      <c r="B377" s="103">
        <v>639.41999999999996</v>
      </c>
      <c r="C377" s="103">
        <v>612.80000000000007</v>
      </c>
    </row>
    <row r="378" spans="1:3" x14ac:dyDescent="0.25">
      <c r="A378" s="108">
        <v>3341031</v>
      </c>
      <c r="B378" s="103">
        <v>617.67499999999995</v>
      </c>
      <c r="C378" s="103">
        <v>602.92499999999995</v>
      </c>
    </row>
    <row r="379" spans="1:3" x14ac:dyDescent="0.25">
      <c r="A379" s="108">
        <v>3851085</v>
      </c>
      <c r="B379" s="103">
        <v>615.71</v>
      </c>
      <c r="C379" s="103">
        <v>603.01</v>
      </c>
    </row>
    <row r="380" spans="1:3" x14ac:dyDescent="0.25">
      <c r="A380" s="108">
        <v>3851062</v>
      </c>
      <c r="B380" s="103">
        <v>621.51499999999999</v>
      </c>
      <c r="C380" s="103">
        <v>607.20500000000004</v>
      </c>
    </row>
    <row r="381" spans="1:3" x14ac:dyDescent="0.25">
      <c r="A381" s="108">
        <v>3511123</v>
      </c>
      <c r="B381" s="103">
        <v>619.66</v>
      </c>
      <c r="C381" s="103">
        <v>603.64</v>
      </c>
    </row>
    <row r="382" spans="1:3" x14ac:dyDescent="0.25">
      <c r="A382" s="108">
        <v>3231066</v>
      </c>
      <c r="B382" s="103">
        <v>619.30500000000006</v>
      </c>
      <c r="C382" s="103">
        <v>604.41499999999996</v>
      </c>
    </row>
    <row r="383" spans="1:3" x14ac:dyDescent="0.25">
      <c r="A383" s="108">
        <v>3631113</v>
      </c>
      <c r="B383" s="103">
        <v>619.67999999999995</v>
      </c>
      <c r="C383" s="103">
        <v>602.34</v>
      </c>
    </row>
    <row r="384" spans="1:3" x14ac:dyDescent="0.25">
      <c r="A384" s="108">
        <v>3721294</v>
      </c>
      <c r="B384" s="103">
        <v>627.58500000000004</v>
      </c>
      <c r="C384" s="103">
        <v>607.67499999999995</v>
      </c>
    </row>
    <row r="385" spans="1:3" x14ac:dyDescent="0.25">
      <c r="A385" s="108">
        <v>1411095</v>
      </c>
      <c r="B385" s="103">
        <v>624.59499999999991</v>
      </c>
      <c r="C385" s="103">
        <v>605.48500000000001</v>
      </c>
    </row>
    <row r="386" spans="1:3" x14ac:dyDescent="0.25">
      <c r="A386" s="108">
        <v>3531031</v>
      </c>
      <c r="B386" s="103">
        <v>621.91999999999996</v>
      </c>
      <c r="C386" s="103">
        <v>604.80000000000007</v>
      </c>
    </row>
    <row r="387" spans="1:3" x14ac:dyDescent="0.25">
      <c r="A387" s="108">
        <v>3721112</v>
      </c>
      <c r="B387" s="103">
        <v>621.79500000000007</v>
      </c>
      <c r="C387" s="103">
        <v>605.36500000000001</v>
      </c>
    </row>
    <row r="388" spans="1:3" x14ac:dyDescent="0.25">
      <c r="A388" s="108">
        <v>7111382</v>
      </c>
      <c r="B388" s="103">
        <v>635.61</v>
      </c>
      <c r="C388" s="103">
        <v>611.57000000000005</v>
      </c>
    </row>
    <row r="389" spans="1:3" x14ac:dyDescent="0.25">
      <c r="A389" s="108">
        <v>1711214</v>
      </c>
      <c r="B389" s="103">
        <v>623.88499999999999</v>
      </c>
      <c r="C389" s="103">
        <v>605.43499999999995</v>
      </c>
    </row>
    <row r="390" spans="1:3" x14ac:dyDescent="0.25">
      <c r="A390" s="108">
        <v>1211054</v>
      </c>
      <c r="B390" s="103">
        <v>629.79499999999996</v>
      </c>
      <c r="C390" s="103">
        <v>607.76499999999999</v>
      </c>
    </row>
    <row r="391" spans="1:3" x14ac:dyDescent="0.25">
      <c r="A391" s="108">
        <v>3821225</v>
      </c>
      <c r="B391" s="103">
        <v>617.88</v>
      </c>
      <c r="C391" s="103">
        <v>603.58000000000004</v>
      </c>
    </row>
    <row r="392" spans="1:3" x14ac:dyDescent="0.25">
      <c r="A392" s="108">
        <v>5311295</v>
      </c>
      <c r="B392" s="103">
        <v>620.57000000000005</v>
      </c>
      <c r="C392" s="103">
        <v>604.68999999999994</v>
      </c>
    </row>
    <row r="393" spans="1:3" x14ac:dyDescent="0.25">
      <c r="A393" s="108">
        <v>3631144</v>
      </c>
      <c r="B393" s="103">
        <v>608.63499999999999</v>
      </c>
      <c r="C393" s="103">
        <v>599.72499999999991</v>
      </c>
    </row>
    <row r="394" spans="1:3" x14ac:dyDescent="0.25">
      <c r="A394" s="108">
        <v>3531201</v>
      </c>
      <c r="B394" s="103">
        <v>616.20500000000004</v>
      </c>
      <c r="C394" s="103">
        <v>602.23500000000001</v>
      </c>
    </row>
    <row r="395" spans="1:3" x14ac:dyDescent="0.25">
      <c r="A395" s="108">
        <v>3411393</v>
      </c>
      <c r="B395" s="103">
        <v>617.59</v>
      </c>
      <c r="C395" s="103">
        <v>603.29000000000008</v>
      </c>
    </row>
    <row r="396" spans="1:3" x14ac:dyDescent="0.25">
      <c r="A396" s="108">
        <v>3511243</v>
      </c>
      <c r="B396" s="103">
        <v>619.18500000000006</v>
      </c>
      <c r="C396" s="103">
        <v>604.995</v>
      </c>
    </row>
    <row r="397" spans="1:3" x14ac:dyDescent="0.25">
      <c r="A397" s="108">
        <v>3411234</v>
      </c>
      <c r="B397" s="103">
        <v>621.83000000000004</v>
      </c>
      <c r="C397" s="103">
        <v>604.59</v>
      </c>
    </row>
    <row r="398" spans="1:3" x14ac:dyDescent="0.25">
      <c r="A398" s="108">
        <v>3621165</v>
      </c>
      <c r="B398" s="103">
        <v>615.48500000000001</v>
      </c>
      <c r="C398" s="103">
        <v>602.47500000000002</v>
      </c>
    </row>
    <row r="399" spans="1:3" x14ac:dyDescent="0.25">
      <c r="A399" s="108">
        <v>3731137</v>
      </c>
      <c r="B399" s="103">
        <v>612.16</v>
      </c>
      <c r="C399" s="103">
        <v>599.38</v>
      </c>
    </row>
    <row r="400" spans="1:3" x14ac:dyDescent="0.25">
      <c r="A400" s="108">
        <v>3511146</v>
      </c>
      <c r="B400" s="103">
        <v>617.755</v>
      </c>
      <c r="C400" s="103">
        <v>601.22500000000002</v>
      </c>
    </row>
    <row r="401" spans="1:3" x14ac:dyDescent="0.25">
      <c r="A401" s="108">
        <v>6111037</v>
      </c>
      <c r="B401" s="103">
        <v>617.38</v>
      </c>
      <c r="C401" s="103">
        <v>602.34</v>
      </c>
    </row>
    <row r="402" spans="1:3" x14ac:dyDescent="0.25">
      <c r="A402" s="108">
        <v>3621157</v>
      </c>
      <c r="B402" s="103">
        <v>614.82500000000005</v>
      </c>
      <c r="C402" s="103">
        <v>602.41499999999996</v>
      </c>
    </row>
    <row r="403" spans="1:3" x14ac:dyDescent="0.25">
      <c r="A403" s="108">
        <v>3411412</v>
      </c>
      <c r="B403" s="103">
        <v>618.79999999999995</v>
      </c>
      <c r="C403" s="103">
        <v>605.18000000000006</v>
      </c>
    </row>
    <row r="404" spans="1:3" x14ac:dyDescent="0.25">
      <c r="A404" s="108">
        <v>3411385</v>
      </c>
      <c r="B404" s="103">
        <v>623.86</v>
      </c>
      <c r="C404" s="103">
        <v>603.12</v>
      </c>
    </row>
    <row r="405" spans="1:3" x14ac:dyDescent="0.25">
      <c r="A405" s="108">
        <v>3231082</v>
      </c>
      <c r="B405" s="103">
        <v>615.06999999999994</v>
      </c>
      <c r="C405" s="103">
        <v>600.77</v>
      </c>
    </row>
    <row r="406" spans="1:3" x14ac:dyDescent="0.25">
      <c r="A406" s="108">
        <v>3531313</v>
      </c>
      <c r="B406" s="103">
        <v>610.29999999999995</v>
      </c>
      <c r="C406" s="103">
        <v>599.52</v>
      </c>
    </row>
    <row r="407" spans="1:3" x14ac:dyDescent="0.25">
      <c r="A407" s="108">
        <v>1411137</v>
      </c>
      <c r="B407" s="103">
        <v>620.995</v>
      </c>
      <c r="C407" s="103">
        <v>603.90500000000009</v>
      </c>
    </row>
    <row r="408" spans="1:3" x14ac:dyDescent="0.25">
      <c r="A408" s="108">
        <v>3561231</v>
      </c>
      <c r="B408" s="103">
        <v>615.29499999999996</v>
      </c>
      <c r="C408" s="103">
        <v>602.18500000000006</v>
      </c>
    </row>
    <row r="409" spans="1:3" x14ac:dyDescent="0.25">
      <c r="A409" s="108">
        <v>3651067</v>
      </c>
      <c r="B409" s="103">
        <v>618.59</v>
      </c>
      <c r="C409" s="103">
        <v>602.81000000000006</v>
      </c>
    </row>
    <row r="410" spans="1:3" x14ac:dyDescent="0.25">
      <c r="A410" s="108">
        <v>1411273</v>
      </c>
      <c r="B410" s="103">
        <v>614.46500000000003</v>
      </c>
      <c r="C410" s="103">
        <v>598.83499999999992</v>
      </c>
    </row>
    <row r="411" spans="1:3" x14ac:dyDescent="0.25">
      <c r="A411" s="108">
        <v>3551147</v>
      </c>
      <c r="B411" s="103">
        <v>621.09500000000003</v>
      </c>
      <c r="C411" s="103">
        <v>601.64499999999998</v>
      </c>
    </row>
    <row r="412" spans="1:3" x14ac:dyDescent="0.25">
      <c r="A412" s="108">
        <v>3621432</v>
      </c>
      <c r="B412" s="103">
        <v>608.86</v>
      </c>
      <c r="C412" s="103">
        <v>598.6</v>
      </c>
    </row>
    <row r="413" spans="1:3" x14ac:dyDescent="0.25">
      <c r="A413" s="108">
        <v>3331156</v>
      </c>
      <c r="B413" s="103">
        <v>617.38</v>
      </c>
      <c r="C413" s="103">
        <v>602.4799999999999</v>
      </c>
    </row>
    <row r="414" spans="1:3" x14ac:dyDescent="0.25">
      <c r="A414" s="108">
        <v>3741074</v>
      </c>
      <c r="B414" s="103">
        <v>621.6099999999999</v>
      </c>
      <c r="C414" s="103">
        <v>605.51</v>
      </c>
    </row>
    <row r="415" spans="1:3" x14ac:dyDescent="0.25">
      <c r="A415" s="108">
        <v>3721321</v>
      </c>
      <c r="B415" s="103">
        <v>620.005</v>
      </c>
      <c r="C415" s="103">
        <v>604.07499999999993</v>
      </c>
    </row>
    <row r="416" spans="1:3" x14ac:dyDescent="0.25">
      <c r="A416" s="108">
        <v>3411466</v>
      </c>
      <c r="B416" s="103">
        <v>620.13499999999999</v>
      </c>
      <c r="C416" s="103">
        <v>600.06500000000005</v>
      </c>
    </row>
    <row r="417" spans="1:3" x14ac:dyDescent="0.25">
      <c r="A417" s="108">
        <v>3511042</v>
      </c>
      <c r="B417" s="103">
        <v>615.27</v>
      </c>
      <c r="C417" s="103">
        <v>600.15000000000009</v>
      </c>
    </row>
    <row r="418" spans="1:3" x14ac:dyDescent="0.25">
      <c r="A418" s="108">
        <v>3551035</v>
      </c>
      <c r="B418" s="103">
        <v>621.54</v>
      </c>
      <c r="C418" s="103">
        <v>605.48</v>
      </c>
    </row>
    <row r="419" spans="1:3" x14ac:dyDescent="0.25">
      <c r="A419" s="108">
        <v>3561246</v>
      </c>
      <c r="B419" s="103">
        <v>607.27499999999998</v>
      </c>
      <c r="C419" s="103">
        <v>598.005</v>
      </c>
    </row>
    <row r="420" spans="1:3" x14ac:dyDescent="0.25">
      <c r="A420" s="108">
        <v>3851093</v>
      </c>
      <c r="B420" s="103">
        <v>612.63</v>
      </c>
      <c r="C420" s="103">
        <v>600.96999999999991</v>
      </c>
    </row>
    <row r="421" spans="1:3" x14ac:dyDescent="0.25">
      <c r="A421" s="108">
        <v>5111215</v>
      </c>
      <c r="B421" s="103">
        <v>618.47500000000002</v>
      </c>
      <c r="C421" s="103">
        <v>602.005</v>
      </c>
    </row>
    <row r="422" spans="1:3" x14ac:dyDescent="0.25">
      <c r="A422" s="108">
        <v>3411153</v>
      </c>
      <c r="B422" s="103">
        <v>612.61</v>
      </c>
      <c r="C422" s="103">
        <v>598.89</v>
      </c>
    </row>
    <row r="423" spans="1:3" x14ac:dyDescent="0.25">
      <c r="A423" s="108">
        <v>1711036</v>
      </c>
      <c r="B423" s="103">
        <v>623.33499999999992</v>
      </c>
      <c r="C423" s="103">
        <v>605.78499999999997</v>
      </c>
    </row>
    <row r="424" spans="1:3" x14ac:dyDescent="0.25">
      <c r="A424" s="108">
        <v>3851046</v>
      </c>
      <c r="B424" s="103">
        <v>612.38</v>
      </c>
      <c r="C424" s="103">
        <v>599.95999999999992</v>
      </c>
    </row>
    <row r="425" spans="1:3" x14ac:dyDescent="0.25">
      <c r="A425" s="108">
        <v>1211232</v>
      </c>
      <c r="B425" s="103">
        <v>625.65</v>
      </c>
      <c r="C425" s="103">
        <v>604.16999999999996</v>
      </c>
    </row>
    <row r="426" spans="1:3" x14ac:dyDescent="0.25">
      <c r="A426" s="108">
        <v>3721271</v>
      </c>
      <c r="B426" s="103">
        <v>615.34</v>
      </c>
      <c r="C426" s="103">
        <v>600.36</v>
      </c>
    </row>
    <row r="427" spans="1:3" x14ac:dyDescent="0.25">
      <c r="A427" s="108">
        <v>3531182</v>
      </c>
      <c r="B427" s="103">
        <v>608.9899999999999</v>
      </c>
      <c r="C427" s="103">
        <v>598.87</v>
      </c>
    </row>
    <row r="428" spans="1:3" x14ac:dyDescent="0.25">
      <c r="A428" s="108">
        <v>1711326</v>
      </c>
      <c r="B428" s="103">
        <v>618.96500000000003</v>
      </c>
      <c r="C428" s="103">
        <v>601.19500000000005</v>
      </c>
    </row>
    <row r="429" spans="1:3" x14ac:dyDescent="0.25">
      <c r="A429" s="108">
        <v>3221041</v>
      </c>
      <c r="B429" s="103">
        <v>611.74</v>
      </c>
      <c r="C429" s="103">
        <v>598.83999999999992</v>
      </c>
    </row>
    <row r="430" spans="1:3" x14ac:dyDescent="0.25">
      <c r="A430" s="108">
        <v>3811076</v>
      </c>
      <c r="B430" s="103">
        <v>609.47499999999991</v>
      </c>
      <c r="C430" s="103">
        <v>599.38499999999999</v>
      </c>
    </row>
    <row r="431" spans="1:3" x14ac:dyDescent="0.25">
      <c r="A431" s="108">
        <v>3811061</v>
      </c>
      <c r="B431" s="103">
        <v>628.43999999999994</v>
      </c>
      <c r="C431" s="103">
        <v>602.1</v>
      </c>
    </row>
    <row r="432" spans="1:3" x14ac:dyDescent="0.25">
      <c r="A432" s="108">
        <v>3851104</v>
      </c>
      <c r="B432" s="103">
        <v>611.55500000000006</v>
      </c>
      <c r="C432" s="103">
        <v>598.82500000000005</v>
      </c>
    </row>
    <row r="433" spans="1:3" x14ac:dyDescent="0.25">
      <c r="A433" s="108">
        <v>3411281</v>
      </c>
      <c r="B433" s="103">
        <v>622.78499999999997</v>
      </c>
      <c r="C433" s="103">
        <v>601.495</v>
      </c>
    </row>
    <row r="434" spans="1:3" x14ac:dyDescent="0.25">
      <c r="A434" s="108">
        <v>3511011</v>
      </c>
      <c r="B434" s="103">
        <v>610.9849999999999</v>
      </c>
      <c r="C434" s="103">
        <v>597.375</v>
      </c>
    </row>
    <row r="435" spans="1:3" x14ac:dyDescent="0.25">
      <c r="A435" s="108">
        <v>3331133</v>
      </c>
      <c r="B435" s="103">
        <v>620.22500000000002</v>
      </c>
      <c r="C435" s="103">
        <v>602.83499999999992</v>
      </c>
    </row>
    <row r="436" spans="1:3" x14ac:dyDescent="0.25">
      <c r="A436" s="108">
        <v>3831011</v>
      </c>
      <c r="B436" s="103">
        <v>620.07499999999993</v>
      </c>
      <c r="C436" s="103">
        <v>601.22500000000002</v>
      </c>
    </row>
    <row r="437" spans="1:3" x14ac:dyDescent="0.25">
      <c r="A437" s="108">
        <v>3551124</v>
      </c>
      <c r="B437" s="103">
        <v>615.02</v>
      </c>
      <c r="C437" s="103">
        <v>595.70000000000005</v>
      </c>
    </row>
    <row r="438" spans="1:3" x14ac:dyDescent="0.25">
      <c r="A438" s="108">
        <v>3341046</v>
      </c>
      <c r="B438" s="103">
        <v>610.505</v>
      </c>
      <c r="C438" s="103">
        <v>598.995</v>
      </c>
    </row>
    <row r="439" spans="1:3" x14ac:dyDescent="0.25">
      <c r="A439" s="108">
        <v>1211062</v>
      </c>
      <c r="B439" s="103">
        <v>618.22500000000002</v>
      </c>
      <c r="C439" s="103">
        <v>600.59499999999991</v>
      </c>
    </row>
    <row r="440" spans="1:3" x14ac:dyDescent="0.25">
      <c r="A440" s="108">
        <v>3731033</v>
      </c>
      <c r="B440" s="103">
        <v>610.58000000000004</v>
      </c>
      <c r="C440" s="103">
        <v>597.58000000000004</v>
      </c>
    </row>
    <row r="441" spans="1:3" x14ac:dyDescent="0.25">
      <c r="A441" s="108">
        <v>1711021</v>
      </c>
      <c r="B441" s="103">
        <v>616.53499999999997</v>
      </c>
      <c r="C441" s="103">
        <v>601.30499999999995</v>
      </c>
    </row>
    <row r="442" spans="1:3" x14ac:dyDescent="0.25">
      <c r="A442" s="108">
        <v>3241014</v>
      </c>
      <c r="B442" s="103">
        <v>612.42499999999995</v>
      </c>
      <c r="C442" s="103">
        <v>600.07500000000005</v>
      </c>
    </row>
    <row r="443" spans="1:3" x14ac:dyDescent="0.25">
      <c r="A443" s="108">
        <v>3561126</v>
      </c>
      <c r="B443" s="103">
        <v>606.38</v>
      </c>
      <c r="C443" s="103">
        <v>594.64</v>
      </c>
    </row>
    <row r="444" spans="1:3" x14ac:dyDescent="0.25">
      <c r="A444" s="108">
        <v>6111223</v>
      </c>
      <c r="B444" s="103">
        <v>623.93499999999995</v>
      </c>
      <c r="C444" s="103">
        <v>606.125</v>
      </c>
    </row>
    <row r="445" spans="1:3" x14ac:dyDescent="0.25">
      <c r="A445" s="108">
        <v>3851077</v>
      </c>
      <c r="B445" s="103">
        <v>608.83500000000004</v>
      </c>
      <c r="C445" s="103">
        <v>596.92499999999995</v>
      </c>
    </row>
    <row r="446" spans="1:3" x14ac:dyDescent="0.25">
      <c r="A446" s="108">
        <v>3561134</v>
      </c>
      <c r="B446" s="103">
        <v>610.47</v>
      </c>
      <c r="C446" s="103">
        <v>598.82999999999993</v>
      </c>
    </row>
    <row r="447" spans="1:3" x14ac:dyDescent="0.25">
      <c r="A447" s="108">
        <v>3831073</v>
      </c>
      <c r="B447" s="103">
        <v>610.52</v>
      </c>
      <c r="C447" s="103">
        <v>597.78</v>
      </c>
    </row>
    <row r="448" spans="1:3" x14ac:dyDescent="0.25">
      <c r="A448" s="108">
        <v>6111022</v>
      </c>
      <c r="B448" s="103">
        <v>623.94999999999993</v>
      </c>
      <c r="C448" s="103">
        <v>596.59</v>
      </c>
    </row>
    <row r="449" spans="1:3" x14ac:dyDescent="0.25">
      <c r="A449" s="108">
        <v>3231035</v>
      </c>
      <c r="B449" s="103">
        <v>613.62</v>
      </c>
      <c r="C449" s="103">
        <v>597.91999999999996</v>
      </c>
    </row>
    <row r="450" spans="1:3" x14ac:dyDescent="0.25">
      <c r="A450" s="108">
        <v>3511177</v>
      </c>
      <c r="B450" s="103">
        <v>607.82499999999993</v>
      </c>
      <c r="C450" s="103">
        <v>594.77499999999998</v>
      </c>
    </row>
    <row r="451" spans="1:3" x14ac:dyDescent="0.25">
      <c r="A451" s="108">
        <v>3631094</v>
      </c>
      <c r="B451" s="103">
        <v>606.02499999999998</v>
      </c>
      <c r="C451" s="103">
        <v>594.91500000000008</v>
      </c>
    </row>
    <row r="452" spans="1:3" x14ac:dyDescent="0.25">
      <c r="A452" s="108">
        <v>3221087</v>
      </c>
      <c r="B452" s="103">
        <v>610.88499999999999</v>
      </c>
      <c r="C452" s="103">
        <v>597.29500000000007</v>
      </c>
    </row>
    <row r="453" spans="1:3" x14ac:dyDescent="0.25">
      <c r="A453" s="108">
        <v>3341112</v>
      </c>
      <c r="B453" s="103">
        <v>611.56000000000006</v>
      </c>
      <c r="C453" s="103">
        <v>597.08000000000004</v>
      </c>
    </row>
    <row r="454" spans="1:3" x14ac:dyDescent="0.25">
      <c r="A454" s="108">
        <v>3341023</v>
      </c>
      <c r="B454" s="103">
        <v>612.32500000000005</v>
      </c>
      <c r="C454" s="103">
        <v>597.39499999999998</v>
      </c>
    </row>
    <row r="455" spans="1:3" x14ac:dyDescent="0.25">
      <c r="A455" s="108">
        <v>3521021</v>
      </c>
      <c r="B455" s="103">
        <v>603.14499999999998</v>
      </c>
      <c r="C455" s="103">
        <v>594.79500000000007</v>
      </c>
    </row>
    <row r="456" spans="1:3" x14ac:dyDescent="0.25">
      <c r="A456" s="108">
        <v>3561196</v>
      </c>
      <c r="B456" s="103">
        <v>607</v>
      </c>
      <c r="C456" s="103">
        <v>595.18000000000006</v>
      </c>
    </row>
    <row r="457" spans="1:3" x14ac:dyDescent="0.25">
      <c r="A457" s="108">
        <v>6111045</v>
      </c>
      <c r="B457" s="103">
        <v>617.15</v>
      </c>
      <c r="C457" s="103">
        <v>598.53000000000009</v>
      </c>
    </row>
    <row r="458" spans="1:3" x14ac:dyDescent="0.25">
      <c r="A458" s="108">
        <v>3231043</v>
      </c>
      <c r="B458" s="103">
        <v>604.3950000000001</v>
      </c>
      <c r="C458" s="103">
        <v>592.005</v>
      </c>
    </row>
    <row r="459" spans="1:3" x14ac:dyDescent="0.25">
      <c r="A459" s="108">
        <v>3411427</v>
      </c>
      <c r="B459" s="103">
        <v>605.41000000000008</v>
      </c>
      <c r="C459" s="103">
        <v>594.51</v>
      </c>
    </row>
    <row r="460" spans="1:3" x14ac:dyDescent="0.25">
      <c r="A460" s="108">
        <v>3731203</v>
      </c>
      <c r="B460" s="103">
        <v>609.875</v>
      </c>
      <c r="C460" s="103">
        <v>597.46499999999992</v>
      </c>
    </row>
    <row r="461" spans="1:3" x14ac:dyDescent="0.25">
      <c r="A461" s="108">
        <v>3721313</v>
      </c>
      <c r="B461" s="103">
        <v>612.79</v>
      </c>
      <c r="C461" s="103">
        <v>597.49</v>
      </c>
    </row>
    <row r="462" spans="1:3" x14ac:dyDescent="0.25">
      <c r="A462" s="108">
        <v>3551317</v>
      </c>
      <c r="B462" s="103">
        <v>612.54499999999996</v>
      </c>
      <c r="C462" s="103">
        <v>595.93500000000006</v>
      </c>
    </row>
    <row r="463" spans="1:3" x14ac:dyDescent="0.25">
      <c r="A463" s="108">
        <v>3631121</v>
      </c>
      <c r="B463" s="103">
        <v>603.60500000000002</v>
      </c>
      <c r="C463" s="103">
        <v>591.05500000000006</v>
      </c>
    </row>
    <row r="464" spans="1:3" x14ac:dyDescent="0.25">
      <c r="A464" s="108">
        <v>1211023</v>
      </c>
      <c r="B464" s="103">
        <v>616.79999999999995</v>
      </c>
      <c r="C464" s="103">
        <v>599.55999999999995</v>
      </c>
    </row>
    <row r="465" spans="1:3" x14ac:dyDescent="0.25">
      <c r="A465" s="108">
        <v>7211023</v>
      </c>
      <c r="B465" s="103">
        <v>600.99</v>
      </c>
      <c r="C465" s="103">
        <v>590.34999999999991</v>
      </c>
    </row>
    <row r="466" spans="1:3" x14ac:dyDescent="0.25">
      <c r="A466" s="108">
        <v>3651013</v>
      </c>
      <c r="B466" s="103">
        <v>612.57500000000005</v>
      </c>
      <c r="C466" s="103">
        <v>596.34500000000003</v>
      </c>
    </row>
    <row r="467" spans="1:3" x14ac:dyDescent="0.25">
      <c r="A467" s="108">
        <v>3561103</v>
      </c>
      <c r="B467" s="103">
        <v>602.61</v>
      </c>
      <c r="C467" s="103">
        <v>590.61</v>
      </c>
    </row>
    <row r="468" spans="1:3" x14ac:dyDescent="0.25">
      <c r="A468" s="108">
        <v>3531305</v>
      </c>
      <c r="B468" s="103">
        <v>602.51</v>
      </c>
      <c r="C468" s="103">
        <v>590.73</v>
      </c>
    </row>
    <row r="469" spans="1:3" x14ac:dyDescent="0.25">
      <c r="A469" s="108">
        <v>3561037</v>
      </c>
      <c r="B469" s="103">
        <v>605.95500000000004</v>
      </c>
      <c r="C469" s="103">
        <v>593.04499999999996</v>
      </c>
    </row>
    <row r="470" spans="1:3" x14ac:dyDescent="0.25">
      <c r="A470" s="108">
        <v>1311167</v>
      </c>
      <c r="B470" s="103">
        <v>608.77499999999998</v>
      </c>
      <c r="C470" s="103">
        <v>594.66500000000008</v>
      </c>
    </row>
    <row r="471" spans="1:3" x14ac:dyDescent="0.25">
      <c r="A471" s="108">
        <v>1411072</v>
      </c>
      <c r="B471" s="103">
        <v>607.41</v>
      </c>
      <c r="C471" s="103">
        <v>592.37</v>
      </c>
    </row>
    <row r="472" spans="1:3" x14ac:dyDescent="0.25">
      <c r="A472" s="108">
        <v>3711141</v>
      </c>
      <c r="B472" s="103">
        <v>611.55000000000007</v>
      </c>
      <c r="C472" s="103">
        <v>594.61</v>
      </c>
    </row>
    <row r="473" spans="1:3" x14ac:dyDescent="0.25">
      <c r="A473" s="108">
        <v>1911352</v>
      </c>
      <c r="B473" s="103">
        <v>607.755</v>
      </c>
      <c r="C473" s="103">
        <v>594.3649999999999</v>
      </c>
    </row>
    <row r="474" spans="1:3" x14ac:dyDescent="0.25">
      <c r="A474" s="108">
        <v>3711206</v>
      </c>
      <c r="B474" s="103">
        <v>616.71999999999991</v>
      </c>
      <c r="C474" s="103">
        <v>596.6</v>
      </c>
    </row>
    <row r="475" spans="1:3" x14ac:dyDescent="0.25">
      <c r="A475" s="108">
        <v>3411404</v>
      </c>
      <c r="B475" s="103">
        <v>616.04</v>
      </c>
      <c r="C475" s="103">
        <v>597.79999999999995</v>
      </c>
    </row>
    <row r="476" spans="1:3" x14ac:dyDescent="0.25">
      <c r="A476" s="108">
        <v>3811103</v>
      </c>
      <c r="B476" s="103">
        <v>621.88499999999999</v>
      </c>
      <c r="C476" s="103">
        <v>598.17499999999995</v>
      </c>
    </row>
    <row r="477" spans="1:3" x14ac:dyDescent="0.25">
      <c r="A477" s="108">
        <v>3651036</v>
      </c>
      <c r="B477" s="103">
        <v>605.57999999999993</v>
      </c>
      <c r="C477" s="103">
        <v>593.72</v>
      </c>
    </row>
    <row r="478" spans="1:3" x14ac:dyDescent="0.25">
      <c r="A478" s="108">
        <v>3221064</v>
      </c>
      <c r="B478" s="103">
        <v>605.79500000000007</v>
      </c>
      <c r="C478" s="103">
        <v>593.10500000000002</v>
      </c>
    </row>
    <row r="479" spans="1:3" x14ac:dyDescent="0.25">
      <c r="A479" s="108">
        <v>3561022</v>
      </c>
      <c r="B479" s="103">
        <v>602.67000000000007</v>
      </c>
      <c r="C479" s="103">
        <v>590.29</v>
      </c>
    </row>
    <row r="480" spans="1:3" x14ac:dyDescent="0.25">
      <c r="A480" s="108">
        <v>3621092</v>
      </c>
      <c r="B480" s="103">
        <v>608.625</v>
      </c>
      <c r="C480" s="103">
        <v>593.45499999999993</v>
      </c>
    </row>
    <row r="481" spans="1:3" x14ac:dyDescent="0.25">
      <c r="A481" s="108">
        <v>3221025</v>
      </c>
      <c r="B481" s="103">
        <v>615.15499999999997</v>
      </c>
      <c r="C481" s="103">
        <v>596.14499999999998</v>
      </c>
    </row>
    <row r="482" spans="1:3" x14ac:dyDescent="0.25">
      <c r="A482" s="108">
        <v>3621455</v>
      </c>
      <c r="B482" s="103">
        <v>608.65499999999997</v>
      </c>
      <c r="C482" s="103">
        <v>592.84500000000003</v>
      </c>
    </row>
    <row r="483" spans="1:3" x14ac:dyDescent="0.25">
      <c r="A483" s="108">
        <v>3531263</v>
      </c>
      <c r="B483" s="103">
        <v>603.58500000000004</v>
      </c>
      <c r="C483" s="103">
        <v>588.61500000000001</v>
      </c>
    </row>
    <row r="484" spans="1:3" x14ac:dyDescent="0.25">
      <c r="A484" s="108">
        <v>3561045</v>
      </c>
      <c r="B484" s="103">
        <v>605.9</v>
      </c>
      <c r="C484" s="103">
        <v>591.93999999999994</v>
      </c>
    </row>
    <row r="485" spans="1:3" x14ac:dyDescent="0.25">
      <c r="A485" s="108">
        <v>3361066</v>
      </c>
      <c r="B485" s="103">
        <v>612.255</v>
      </c>
      <c r="C485" s="103">
        <v>595.505</v>
      </c>
    </row>
    <row r="486" spans="1:3" x14ac:dyDescent="0.25">
      <c r="A486" s="108">
        <v>1411056</v>
      </c>
      <c r="B486" s="103">
        <v>608.54</v>
      </c>
      <c r="C486" s="103">
        <v>594.44000000000005</v>
      </c>
    </row>
    <row r="487" spans="1:3" x14ac:dyDescent="0.25">
      <c r="A487" s="108">
        <v>3411482</v>
      </c>
      <c r="B487" s="103">
        <v>613.0100000000001</v>
      </c>
      <c r="C487" s="103">
        <v>596.87</v>
      </c>
    </row>
    <row r="488" spans="1:3" x14ac:dyDescent="0.25">
      <c r="A488" s="108">
        <v>3731192</v>
      </c>
      <c r="B488" s="103">
        <v>612.79</v>
      </c>
      <c r="C488" s="103">
        <v>593.49</v>
      </c>
    </row>
    <row r="489" spans="1:3" x14ac:dyDescent="0.25">
      <c r="A489" s="108">
        <v>3731226</v>
      </c>
      <c r="B489" s="103">
        <v>604.58499999999992</v>
      </c>
      <c r="C489" s="103">
        <v>591.23500000000001</v>
      </c>
    </row>
    <row r="490" spans="1:3" x14ac:dyDescent="0.25">
      <c r="A490" s="108">
        <v>3551325</v>
      </c>
      <c r="B490" s="103">
        <v>611.15499999999997</v>
      </c>
      <c r="C490" s="103">
        <v>597.58500000000004</v>
      </c>
    </row>
    <row r="491" spans="1:3" x14ac:dyDescent="0.25">
      <c r="A491" s="108">
        <v>6111207</v>
      </c>
      <c r="B491" s="103">
        <v>625.23</v>
      </c>
      <c r="C491" s="103">
        <v>599.54999999999995</v>
      </c>
    </row>
    <row r="492" spans="1:3" x14ac:dyDescent="0.25">
      <c r="A492" s="108">
        <v>3241076</v>
      </c>
      <c r="B492" s="103">
        <v>603.84500000000003</v>
      </c>
      <c r="C492" s="103">
        <v>591.57500000000005</v>
      </c>
    </row>
    <row r="493" spans="1:3" x14ac:dyDescent="0.25">
      <c r="A493" s="108">
        <v>3241022</v>
      </c>
      <c r="B493" s="103">
        <v>605.36500000000001</v>
      </c>
      <c r="C493" s="103">
        <v>592.95499999999993</v>
      </c>
    </row>
    <row r="494" spans="1:3" x14ac:dyDescent="0.25">
      <c r="A494" s="108">
        <v>3341201</v>
      </c>
      <c r="B494" s="103">
        <v>607.72500000000002</v>
      </c>
      <c r="C494" s="103">
        <v>585.23500000000001</v>
      </c>
    </row>
    <row r="495" spans="1:3" x14ac:dyDescent="0.25">
      <c r="A495" s="108">
        <v>3731145</v>
      </c>
      <c r="B495" s="103">
        <v>605.94000000000005</v>
      </c>
      <c r="C495" s="103">
        <v>590</v>
      </c>
    </row>
    <row r="496" spans="1:3" x14ac:dyDescent="0.25">
      <c r="A496" s="108">
        <v>1711284</v>
      </c>
      <c r="B496" s="103">
        <v>619.48</v>
      </c>
      <c r="C496" s="103">
        <v>595.81999999999994</v>
      </c>
    </row>
    <row r="497" spans="1:3" x14ac:dyDescent="0.25">
      <c r="A497" s="108">
        <v>1411114</v>
      </c>
      <c r="B497" s="103">
        <v>606.46</v>
      </c>
      <c r="C497" s="103">
        <v>590.44000000000005</v>
      </c>
    </row>
    <row r="498" spans="1:3" x14ac:dyDescent="0.25">
      <c r="A498" s="108">
        <v>3561142</v>
      </c>
      <c r="B498" s="103">
        <v>601.12</v>
      </c>
      <c r="C498" s="103">
        <v>588.08000000000004</v>
      </c>
    </row>
    <row r="499" spans="1:3" x14ac:dyDescent="0.25">
      <c r="A499" s="108">
        <v>3731184</v>
      </c>
      <c r="B499" s="103">
        <v>607.52</v>
      </c>
      <c r="C499" s="103">
        <v>590.05999999999995</v>
      </c>
    </row>
    <row r="500" spans="1:3" x14ac:dyDescent="0.25">
      <c r="A500" s="108">
        <v>1711342</v>
      </c>
      <c r="B500" s="103">
        <v>620.91</v>
      </c>
      <c r="C500" s="103">
        <v>604.15</v>
      </c>
    </row>
    <row r="501" spans="1:3" x14ac:dyDescent="0.25">
      <c r="A501" s="108">
        <v>3721263</v>
      </c>
      <c r="B501" s="103">
        <v>604.36</v>
      </c>
      <c r="C501" s="103">
        <v>590.82000000000005</v>
      </c>
    </row>
    <row r="502" spans="1:3" x14ac:dyDescent="0.25">
      <c r="A502" s="100">
        <v>3212123</v>
      </c>
      <c r="B502" s="103">
        <v>707.59773000000007</v>
      </c>
      <c r="C502" s="103">
        <v>691.32227</v>
      </c>
    </row>
    <row r="503" spans="1:3" x14ac:dyDescent="0.25">
      <c r="A503" s="100">
        <v>3212177</v>
      </c>
      <c r="B503" s="103">
        <v>710.30772999999999</v>
      </c>
      <c r="C503" s="103">
        <v>694.03226999999993</v>
      </c>
    </row>
    <row r="504" spans="1:3" x14ac:dyDescent="0.25">
      <c r="A504" s="100">
        <v>3612174</v>
      </c>
      <c r="B504" s="103">
        <v>702.06772999999998</v>
      </c>
      <c r="C504" s="103">
        <v>685.79226999999992</v>
      </c>
    </row>
    <row r="505" spans="1:3" x14ac:dyDescent="0.25">
      <c r="A505" s="100">
        <v>3212162</v>
      </c>
      <c r="B505" s="103">
        <v>693.10773000000006</v>
      </c>
      <c r="C505" s="103">
        <v>676.83226999999999</v>
      </c>
    </row>
    <row r="506" spans="1:3" x14ac:dyDescent="0.25">
      <c r="A506" s="100">
        <v>3322022</v>
      </c>
      <c r="B506" s="103">
        <v>691.64773000000002</v>
      </c>
      <c r="C506" s="103">
        <v>675.37226999999996</v>
      </c>
    </row>
    <row r="507" spans="1:3" x14ac:dyDescent="0.25">
      <c r="A507" s="100">
        <v>3212042</v>
      </c>
      <c r="B507" s="103">
        <v>692.18772999999999</v>
      </c>
      <c r="C507" s="103">
        <v>675.91226999999992</v>
      </c>
    </row>
    <row r="508" spans="1:3" x14ac:dyDescent="0.25">
      <c r="A508" s="100">
        <v>3612015</v>
      </c>
      <c r="B508" s="103">
        <v>693.56772999999998</v>
      </c>
      <c r="C508" s="103">
        <v>677.29226999999992</v>
      </c>
    </row>
    <row r="509" spans="1:3" x14ac:dyDescent="0.25">
      <c r="A509" s="100">
        <v>3612201</v>
      </c>
      <c r="B509" s="103">
        <v>685.81772999999998</v>
      </c>
      <c r="C509" s="103">
        <v>669.54226999999992</v>
      </c>
    </row>
    <row r="510" spans="1:3" x14ac:dyDescent="0.25">
      <c r="A510" s="100">
        <v>3212316</v>
      </c>
      <c r="B510" s="103">
        <v>680.78773000000001</v>
      </c>
      <c r="C510" s="103">
        <v>664.51226999999994</v>
      </c>
    </row>
    <row r="511" spans="1:3" x14ac:dyDescent="0.25">
      <c r="A511" s="100">
        <v>3612023</v>
      </c>
      <c r="B511" s="103">
        <v>681.19772999999998</v>
      </c>
      <c r="C511" s="103">
        <v>664.92226999999991</v>
      </c>
    </row>
    <row r="512" spans="1:3" x14ac:dyDescent="0.25">
      <c r="A512" s="100">
        <v>3212154</v>
      </c>
      <c r="B512" s="103">
        <v>689.39773000000002</v>
      </c>
      <c r="C512" s="103">
        <v>673.12226999999996</v>
      </c>
    </row>
    <row r="513" spans="1:3" x14ac:dyDescent="0.25">
      <c r="A513" s="100">
        <v>3612143</v>
      </c>
      <c r="B513" s="103">
        <v>678.53773000000001</v>
      </c>
      <c r="C513" s="103">
        <v>662.26226999999994</v>
      </c>
    </row>
    <row r="514" spans="1:3" x14ac:dyDescent="0.25">
      <c r="A514" s="100">
        <v>3212057</v>
      </c>
      <c r="B514" s="103">
        <v>680.87773000000004</v>
      </c>
      <c r="C514" s="103">
        <v>664.60226999999998</v>
      </c>
    </row>
    <row r="515" spans="1:3" x14ac:dyDescent="0.25">
      <c r="A515" s="100">
        <v>3212011</v>
      </c>
      <c r="B515" s="103">
        <v>684.38773000000003</v>
      </c>
      <c r="C515" s="103">
        <v>668.11226999999997</v>
      </c>
    </row>
    <row r="516" spans="1:3" x14ac:dyDescent="0.25">
      <c r="A516" s="100">
        <v>3612031</v>
      </c>
      <c r="B516" s="103">
        <v>691.00773000000004</v>
      </c>
      <c r="C516" s="103">
        <v>674.73226999999997</v>
      </c>
    </row>
    <row r="517" spans="1:3" x14ac:dyDescent="0.25">
      <c r="A517" s="100">
        <v>3612224</v>
      </c>
      <c r="B517" s="103">
        <v>681.58773000000008</v>
      </c>
      <c r="C517" s="103">
        <v>665.31227000000001</v>
      </c>
    </row>
    <row r="518" spans="1:3" x14ac:dyDescent="0.25">
      <c r="A518" s="100">
        <v>3612166</v>
      </c>
      <c r="B518" s="103">
        <v>676.54773</v>
      </c>
      <c r="C518" s="103">
        <v>660.27226999999993</v>
      </c>
    </row>
    <row r="519" spans="1:3" x14ac:dyDescent="0.25">
      <c r="A519" s="100">
        <v>3332063</v>
      </c>
      <c r="B519" s="103">
        <v>674.90773000000002</v>
      </c>
      <c r="C519" s="103">
        <v>658.63226999999995</v>
      </c>
    </row>
    <row r="520" spans="1:3" x14ac:dyDescent="0.25">
      <c r="A520" s="100">
        <v>3212146</v>
      </c>
      <c r="B520" s="103">
        <v>675.24773000000005</v>
      </c>
      <c r="C520" s="103">
        <v>658.97226999999998</v>
      </c>
    </row>
    <row r="521" spans="1:3" x14ac:dyDescent="0.25">
      <c r="A521" s="100">
        <v>3212131</v>
      </c>
      <c r="B521" s="103">
        <v>668.89773000000002</v>
      </c>
      <c r="C521" s="103">
        <v>652.62226999999996</v>
      </c>
    </row>
    <row r="522" spans="1:3" x14ac:dyDescent="0.25">
      <c r="A522" s="100">
        <v>3612054</v>
      </c>
      <c r="B522" s="103">
        <v>670.95773000000008</v>
      </c>
      <c r="C522" s="103">
        <v>654.68227000000002</v>
      </c>
    </row>
    <row r="523" spans="1:3" x14ac:dyDescent="0.25">
      <c r="A523" s="100">
        <v>3212073</v>
      </c>
      <c r="B523" s="103">
        <v>664.65773000000002</v>
      </c>
      <c r="C523" s="103">
        <v>648.38226999999995</v>
      </c>
    </row>
    <row r="524" spans="1:3" x14ac:dyDescent="0.25">
      <c r="A524" s="100">
        <v>3212301</v>
      </c>
      <c r="B524" s="103">
        <v>664.02773000000002</v>
      </c>
      <c r="C524" s="103">
        <v>647.75226999999995</v>
      </c>
    </row>
    <row r="525" spans="1:3" x14ac:dyDescent="0.25">
      <c r="A525" s="100">
        <v>3612197</v>
      </c>
      <c r="B525" s="103">
        <v>661.24773000000005</v>
      </c>
      <c r="C525" s="103">
        <v>644.97226999999998</v>
      </c>
    </row>
    <row r="526" spans="1:3" x14ac:dyDescent="0.25">
      <c r="A526" s="100">
        <v>3612182</v>
      </c>
      <c r="B526" s="103">
        <v>663.64773000000002</v>
      </c>
      <c r="C526" s="103">
        <v>647.37226999999996</v>
      </c>
    </row>
    <row r="527" spans="1:3" x14ac:dyDescent="0.25">
      <c r="A527" s="100">
        <v>3212081</v>
      </c>
      <c r="B527" s="103">
        <v>666.92773</v>
      </c>
      <c r="C527" s="103">
        <v>650.65226999999993</v>
      </c>
    </row>
    <row r="528" spans="1:3" x14ac:dyDescent="0.25">
      <c r="A528" s="100">
        <v>3332024</v>
      </c>
      <c r="B528" s="103">
        <v>670.17773</v>
      </c>
      <c r="C528" s="103">
        <v>653.90226999999993</v>
      </c>
    </row>
    <row r="529" spans="1:3" x14ac:dyDescent="0.25">
      <c r="A529" s="100">
        <v>3212065</v>
      </c>
      <c r="B529" s="103">
        <v>662.75773000000004</v>
      </c>
      <c r="C529" s="103">
        <v>646.48226999999997</v>
      </c>
    </row>
    <row r="530" spans="1:3" x14ac:dyDescent="0.25">
      <c r="A530" s="100">
        <v>3612112</v>
      </c>
      <c r="B530" s="103">
        <v>664.84773000000007</v>
      </c>
      <c r="C530" s="103">
        <v>648.57227</v>
      </c>
    </row>
    <row r="531" spans="1:3" x14ac:dyDescent="0.25">
      <c r="A531" s="100">
        <v>3322014</v>
      </c>
      <c r="B531" s="103">
        <v>656.77773000000002</v>
      </c>
      <c r="C531" s="103">
        <v>640.50226999999995</v>
      </c>
    </row>
    <row r="532" spans="1:3" x14ac:dyDescent="0.25">
      <c r="A532" s="104">
        <v>3212227</v>
      </c>
      <c r="B532" s="103">
        <v>669.50773000000004</v>
      </c>
      <c r="C532" s="103">
        <v>653.23226999999997</v>
      </c>
    </row>
    <row r="533" spans="1:3" x14ac:dyDescent="0.25">
      <c r="A533" s="108">
        <v>3212115</v>
      </c>
      <c r="B533" s="103">
        <v>655.97773000000007</v>
      </c>
      <c r="C533" s="103">
        <v>639.70227</v>
      </c>
    </row>
    <row r="534" spans="1:3" x14ac:dyDescent="0.25">
      <c r="A534" s="108">
        <v>3612232</v>
      </c>
      <c r="B534" s="103">
        <v>657.44772999999998</v>
      </c>
      <c r="C534" s="103">
        <v>641.17226999999991</v>
      </c>
    </row>
    <row r="535" spans="1:3" x14ac:dyDescent="0.25">
      <c r="A535" s="108">
        <v>3212324</v>
      </c>
      <c r="B535" s="103">
        <v>659.58773000000008</v>
      </c>
      <c r="C535" s="103">
        <v>643.31227000000001</v>
      </c>
    </row>
    <row r="536" spans="1:3" x14ac:dyDescent="0.25">
      <c r="A536" s="108">
        <v>3612151</v>
      </c>
      <c r="B536" s="103">
        <v>659.80772999999999</v>
      </c>
      <c r="C536" s="103">
        <v>643.53226999999993</v>
      </c>
    </row>
    <row r="537" spans="1:3" x14ac:dyDescent="0.25">
      <c r="A537" s="108">
        <v>3612085</v>
      </c>
      <c r="B537" s="103">
        <v>664.64773000000002</v>
      </c>
      <c r="C537" s="103">
        <v>648.37226999999996</v>
      </c>
    </row>
    <row r="538" spans="1:3" x14ac:dyDescent="0.25">
      <c r="A538" s="108">
        <v>3212266</v>
      </c>
      <c r="B538" s="103">
        <v>664.48773000000006</v>
      </c>
      <c r="C538" s="103">
        <v>648.21226999999999</v>
      </c>
    </row>
    <row r="539" spans="1:3" x14ac:dyDescent="0.25">
      <c r="A539" s="108">
        <v>3212096</v>
      </c>
      <c r="B539" s="103">
        <v>656.80772999999999</v>
      </c>
      <c r="C539" s="103">
        <v>640.53226999999993</v>
      </c>
    </row>
    <row r="540" spans="1:3" x14ac:dyDescent="0.25">
      <c r="A540" s="108">
        <v>3612216</v>
      </c>
      <c r="B540" s="103">
        <v>653.38773000000003</v>
      </c>
      <c r="C540" s="103">
        <v>637.11226999999997</v>
      </c>
    </row>
    <row r="541" spans="1:3" x14ac:dyDescent="0.25">
      <c r="A541" s="108">
        <v>3332322</v>
      </c>
      <c r="B541" s="103">
        <v>658.11773000000005</v>
      </c>
      <c r="C541" s="103">
        <v>641.84226999999998</v>
      </c>
    </row>
    <row r="542" spans="1:3" x14ac:dyDescent="0.25">
      <c r="A542" s="108">
        <v>3612062</v>
      </c>
      <c r="B542" s="103">
        <v>654.41773000000001</v>
      </c>
      <c r="C542" s="103">
        <v>638.14226999999994</v>
      </c>
    </row>
    <row r="543" spans="1:3" x14ac:dyDescent="0.25">
      <c r="A543" s="108">
        <v>3552151</v>
      </c>
      <c r="B543" s="103">
        <v>657.89773000000002</v>
      </c>
      <c r="C543" s="103">
        <v>641.62226999999996</v>
      </c>
    </row>
    <row r="544" spans="1:3" x14ac:dyDescent="0.25">
      <c r="A544" s="108">
        <v>3812064</v>
      </c>
      <c r="B544" s="103">
        <v>657.91773000000001</v>
      </c>
      <c r="C544" s="103">
        <v>641.64226999999994</v>
      </c>
    </row>
    <row r="545" spans="1:3" x14ac:dyDescent="0.25">
      <c r="A545" s="108">
        <v>3212107</v>
      </c>
      <c r="B545" s="103">
        <v>657.46773000000007</v>
      </c>
      <c r="C545" s="103">
        <v>641.19227000000001</v>
      </c>
    </row>
    <row r="546" spans="1:3" x14ac:dyDescent="0.25">
      <c r="A546" s="108">
        <v>3552085</v>
      </c>
      <c r="B546" s="103">
        <v>660.12773000000004</v>
      </c>
      <c r="C546" s="103">
        <v>643.85226999999998</v>
      </c>
    </row>
    <row r="547" spans="1:3" x14ac:dyDescent="0.25">
      <c r="A547" s="108">
        <v>3332105</v>
      </c>
      <c r="B547" s="103">
        <v>649.33773000000008</v>
      </c>
      <c r="C547" s="103">
        <v>633.06227000000001</v>
      </c>
    </row>
    <row r="548" spans="1:3" x14ac:dyDescent="0.25">
      <c r="A548" s="108">
        <v>3212235</v>
      </c>
      <c r="B548" s="103">
        <v>648.79773</v>
      </c>
      <c r="C548" s="103">
        <v>632.52226999999993</v>
      </c>
    </row>
    <row r="549" spans="1:3" x14ac:dyDescent="0.25">
      <c r="A549" s="108">
        <v>3212204</v>
      </c>
      <c r="B549" s="103">
        <v>647.44772999999998</v>
      </c>
      <c r="C549" s="103">
        <v>631.17226999999991</v>
      </c>
    </row>
    <row r="550" spans="1:3" x14ac:dyDescent="0.25">
      <c r="A550" s="108">
        <v>3332264</v>
      </c>
      <c r="B550" s="103">
        <v>650.59773000000007</v>
      </c>
      <c r="C550" s="103">
        <v>634.32227</v>
      </c>
    </row>
    <row r="551" spans="1:3" x14ac:dyDescent="0.25">
      <c r="A551" s="108">
        <v>3332047</v>
      </c>
      <c r="B551" s="103">
        <v>652.39773000000002</v>
      </c>
      <c r="C551" s="103">
        <v>636.12226999999996</v>
      </c>
    </row>
    <row r="552" spans="1:3" x14ac:dyDescent="0.25">
      <c r="A552" s="108">
        <v>3622192</v>
      </c>
      <c r="B552" s="103">
        <v>647.97773000000007</v>
      </c>
      <c r="C552" s="103">
        <v>631.70227</v>
      </c>
    </row>
    <row r="553" spans="1:3" x14ac:dyDescent="0.25">
      <c r="A553" s="108">
        <v>3532073</v>
      </c>
      <c r="B553" s="103">
        <v>649.22773000000007</v>
      </c>
      <c r="C553" s="103">
        <v>632.95227</v>
      </c>
    </row>
    <row r="554" spans="1:3" x14ac:dyDescent="0.25">
      <c r="A554" s="108">
        <v>3812106</v>
      </c>
      <c r="B554" s="103">
        <v>657.92773</v>
      </c>
      <c r="C554" s="103">
        <v>641.65226999999993</v>
      </c>
    </row>
    <row r="555" spans="1:3" x14ac:dyDescent="0.25">
      <c r="A555" s="108">
        <v>3212274</v>
      </c>
      <c r="B555" s="103">
        <v>648.43772999999999</v>
      </c>
      <c r="C555" s="103">
        <v>632.16226999999992</v>
      </c>
    </row>
    <row r="556" spans="1:3" x14ac:dyDescent="0.25">
      <c r="A556" s="108">
        <v>3332016</v>
      </c>
      <c r="B556" s="103">
        <v>651.59773000000007</v>
      </c>
      <c r="C556" s="103">
        <v>635.32227</v>
      </c>
    </row>
    <row r="557" spans="1:3" x14ac:dyDescent="0.25">
      <c r="A557" s="108">
        <v>3212034</v>
      </c>
      <c r="B557" s="103">
        <v>657.74773000000005</v>
      </c>
      <c r="C557" s="103">
        <v>641.47226999999998</v>
      </c>
    </row>
    <row r="558" spans="1:3" x14ac:dyDescent="0.25">
      <c r="A558" s="108">
        <v>3332032</v>
      </c>
      <c r="B558" s="103">
        <v>651.43772999999999</v>
      </c>
      <c r="C558" s="103">
        <v>635.16226999999992</v>
      </c>
    </row>
    <row r="559" spans="1:3" x14ac:dyDescent="0.25">
      <c r="A559" s="108">
        <v>3552135</v>
      </c>
      <c r="B559" s="103">
        <v>649.42773</v>
      </c>
      <c r="C559" s="103">
        <v>633.15226999999993</v>
      </c>
    </row>
    <row r="560" spans="1:3" x14ac:dyDescent="0.25">
      <c r="A560" s="108">
        <v>3722107</v>
      </c>
      <c r="B560" s="103">
        <v>648.54773</v>
      </c>
      <c r="C560" s="103">
        <v>632.27226999999993</v>
      </c>
    </row>
    <row r="561" spans="1:3" x14ac:dyDescent="0.25">
      <c r="A561" s="108">
        <v>3212282</v>
      </c>
      <c r="B561" s="103">
        <v>639.56772999999998</v>
      </c>
      <c r="C561" s="103">
        <v>623.29226999999992</v>
      </c>
    </row>
    <row r="562" spans="1:3" x14ac:dyDescent="0.25">
      <c r="A562" s="108">
        <v>3212251</v>
      </c>
      <c r="B562" s="103">
        <v>641.55772999999999</v>
      </c>
      <c r="C562" s="103">
        <v>625.28226999999993</v>
      </c>
    </row>
    <row r="563" spans="1:3" x14ac:dyDescent="0.25">
      <c r="A563" s="108">
        <v>3212243</v>
      </c>
      <c r="B563" s="103">
        <v>645.38773000000003</v>
      </c>
      <c r="C563" s="103">
        <v>629.11226999999997</v>
      </c>
    </row>
    <row r="564" spans="1:3" x14ac:dyDescent="0.25">
      <c r="A564" s="108">
        <v>3812095</v>
      </c>
      <c r="B564" s="103">
        <v>650.19772999999998</v>
      </c>
      <c r="C564" s="103">
        <v>633.92226999999991</v>
      </c>
    </row>
    <row r="565" spans="1:3" x14ac:dyDescent="0.25">
      <c r="A565" s="108">
        <v>3332241</v>
      </c>
      <c r="B565" s="103">
        <v>647.01773000000003</v>
      </c>
      <c r="C565" s="103">
        <v>630.74226999999996</v>
      </c>
    </row>
    <row r="566" spans="1:3" x14ac:dyDescent="0.25">
      <c r="A566" s="108">
        <v>3552077</v>
      </c>
      <c r="B566" s="103">
        <v>645.54773</v>
      </c>
      <c r="C566" s="103">
        <v>629.27226999999993</v>
      </c>
    </row>
    <row r="567" spans="1:3" x14ac:dyDescent="0.25">
      <c r="A567" s="108">
        <v>3332202</v>
      </c>
      <c r="B567" s="103">
        <v>648.43772999999999</v>
      </c>
      <c r="C567" s="103">
        <v>632.16226999999992</v>
      </c>
    </row>
    <row r="568" spans="1:3" x14ac:dyDescent="0.25">
      <c r="A568" s="108">
        <v>3722065</v>
      </c>
      <c r="B568" s="103">
        <v>649.03773000000001</v>
      </c>
      <c r="C568" s="103">
        <v>632.76226999999994</v>
      </c>
    </row>
    <row r="569" spans="1:3" x14ac:dyDescent="0.25">
      <c r="A569" s="108">
        <v>3212185</v>
      </c>
      <c r="B569" s="103">
        <v>658.15773000000002</v>
      </c>
      <c r="C569" s="103">
        <v>641.88226999999995</v>
      </c>
    </row>
    <row r="570" spans="1:3" x14ac:dyDescent="0.25">
      <c r="A570" s="108">
        <v>3552062</v>
      </c>
      <c r="B570" s="103">
        <v>649.39773000000002</v>
      </c>
      <c r="C570" s="103">
        <v>633.12226999999996</v>
      </c>
    </row>
    <row r="571" spans="1:3" x14ac:dyDescent="0.25">
      <c r="A571" s="108">
        <v>3532332</v>
      </c>
      <c r="B571" s="103">
        <v>643.01773000000003</v>
      </c>
      <c r="C571" s="103">
        <v>626.74226999999996</v>
      </c>
    </row>
    <row r="572" spans="1:3" x14ac:dyDescent="0.25">
      <c r="A572" s="108">
        <v>3532065</v>
      </c>
      <c r="B572" s="103">
        <v>646.39773000000002</v>
      </c>
      <c r="C572" s="103">
        <v>630.12226999999996</v>
      </c>
    </row>
    <row r="573" spans="1:3" x14ac:dyDescent="0.25">
      <c r="A573" s="108">
        <v>3622385</v>
      </c>
      <c r="B573" s="103">
        <v>635.12773000000004</v>
      </c>
      <c r="C573" s="103">
        <v>618.85226999999998</v>
      </c>
    </row>
    <row r="574" spans="1:3" x14ac:dyDescent="0.25">
      <c r="A574" s="108">
        <v>3532026</v>
      </c>
      <c r="B574" s="103">
        <v>646.75773000000004</v>
      </c>
      <c r="C574" s="103">
        <v>630.48226999999997</v>
      </c>
    </row>
    <row r="575" spans="1:3" x14ac:dyDescent="0.25">
      <c r="A575" s="108">
        <v>3642103</v>
      </c>
      <c r="B575" s="103">
        <v>636.42773</v>
      </c>
      <c r="C575" s="103">
        <v>620.15226999999993</v>
      </c>
    </row>
    <row r="576" spans="1:3" x14ac:dyDescent="0.25">
      <c r="A576" s="108">
        <v>3332055</v>
      </c>
      <c r="B576" s="103">
        <v>639.28773000000001</v>
      </c>
      <c r="C576" s="103">
        <v>623.01226999999994</v>
      </c>
    </row>
    <row r="577" spans="1:3" x14ac:dyDescent="0.25">
      <c r="A577" s="108">
        <v>3812017</v>
      </c>
      <c r="B577" s="103">
        <v>645.59773000000007</v>
      </c>
      <c r="C577" s="103">
        <v>629.32227</v>
      </c>
    </row>
    <row r="578" spans="1:3" x14ac:dyDescent="0.25">
      <c r="A578" s="108">
        <v>3332256</v>
      </c>
      <c r="B578" s="103">
        <v>647.13773000000003</v>
      </c>
      <c r="C578" s="103">
        <v>630.86226999999997</v>
      </c>
    </row>
    <row r="579" spans="1:3" x14ac:dyDescent="0.25">
      <c r="A579" s="108">
        <v>3332272</v>
      </c>
      <c r="B579" s="103">
        <v>639.57773000000009</v>
      </c>
      <c r="C579" s="103">
        <v>623.30227000000002</v>
      </c>
    </row>
    <row r="580" spans="1:3" x14ac:dyDescent="0.25">
      <c r="A580" s="108">
        <v>3532154</v>
      </c>
      <c r="B580" s="103">
        <v>633.75773000000004</v>
      </c>
      <c r="C580" s="103">
        <v>617.48226999999997</v>
      </c>
    </row>
    <row r="581" spans="1:3" x14ac:dyDescent="0.25">
      <c r="A581" s="108">
        <v>3552054</v>
      </c>
      <c r="B581" s="103">
        <v>640.97773000000007</v>
      </c>
      <c r="C581" s="103">
        <v>624.70227</v>
      </c>
    </row>
    <row r="582" spans="1:3" x14ac:dyDescent="0.25">
      <c r="A582" s="108">
        <v>3722057</v>
      </c>
      <c r="B582" s="103">
        <v>642.78773000000001</v>
      </c>
      <c r="C582" s="103">
        <v>626.51226999999994</v>
      </c>
    </row>
    <row r="583" spans="1:3" x14ac:dyDescent="0.25">
      <c r="A583" s="108">
        <v>3332144</v>
      </c>
      <c r="B583" s="103">
        <v>639.25773000000004</v>
      </c>
      <c r="C583" s="103">
        <v>622.98226999999997</v>
      </c>
    </row>
    <row r="584" spans="1:3" x14ac:dyDescent="0.25">
      <c r="A584" s="108">
        <v>3612077</v>
      </c>
      <c r="B584" s="103">
        <v>640.77773000000002</v>
      </c>
      <c r="C584" s="103">
        <v>624.50226999999995</v>
      </c>
    </row>
    <row r="585" spans="1:3" x14ac:dyDescent="0.25">
      <c r="A585" s="108">
        <v>3612104</v>
      </c>
      <c r="B585" s="103">
        <v>645.38773000000003</v>
      </c>
      <c r="C585" s="103">
        <v>629.11226999999997</v>
      </c>
    </row>
    <row r="586" spans="1:3" x14ac:dyDescent="0.25">
      <c r="A586" s="108">
        <v>3532057</v>
      </c>
      <c r="B586" s="103">
        <v>637.41773000000001</v>
      </c>
      <c r="C586" s="103">
        <v>621.14226999999994</v>
      </c>
    </row>
    <row r="587" spans="1:3" x14ac:dyDescent="0.25">
      <c r="A587" s="108">
        <v>3632066</v>
      </c>
      <c r="B587" s="103">
        <v>634.46773000000007</v>
      </c>
      <c r="C587" s="103">
        <v>618.19227000000001</v>
      </c>
    </row>
    <row r="588" spans="1:3" x14ac:dyDescent="0.25">
      <c r="A588" s="108">
        <v>3552104</v>
      </c>
      <c r="B588" s="103">
        <v>640.29773</v>
      </c>
      <c r="C588" s="103">
        <v>624.02226999999993</v>
      </c>
    </row>
    <row r="589" spans="1:3" x14ac:dyDescent="0.25">
      <c r="A589" s="108">
        <v>3812114</v>
      </c>
      <c r="B589" s="103">
        <v>646.03773000000001</v>
      </c>
      <c r="C589" s="103">
        <v>629.76226999999994</v>
      </c>
    </row>
    <row r="590" spans="1:3" x14ac:dyDescent="0.25">
      <c r="A590" s="108">
        <v>3332071</v>
      </c>
      <c r="B590" s="103">
        <v>632.17773</v>
      </c>
      <c r="C590" s="103">
        <v>615.90226999999993</v>
      </c>
    </row>
    <row r="591" spans="1:3" x14ac:dyDescent="0.25">
      <c r="A591" s="108">
        <v>3212026</v>
      </c>
      <c r="B591" s="103">
        <v>631.62773000000004</v>
      </c>
      <c r="C591" s="103">
        <v>615.35226999999998</v>
      </c>
    </row>
    <row r="592" spans="1:3" x14ac:dyDescent="0.25">
      <c r="A592" s="108">
        <v>3232313</v>
      </c>
      <c r="B592" s="103">
        <v>636.46773000000007</v>
      </c>
      <c r="C592" s="103">
        <v>620.19227000000001</v>
      </c>
    </row>
    <row r="593" spans="1:3" x14ac:dyDescent="0.25">
      <c r="A593" s="108">
        <v>3212297</v>
      </c>
      <c r="B593" s="103">
        <v>633.96773000000007</v>
      </c>
      <c r="C593" s="103">
        <v>617.69227000000001</v>
      </c>
    </row>
    <row r="594" spans="1:3" x14ac:dyDescent="0.25">
      <c r="A594" s="108">
        <v>3532107</v>
      </c>
      <c r="B594" s="103">
        <v>631.52773000000002</v>
      </c>
      <c r="C594" s="103">
        <v>615.25226999999995</v>
      </c>
    </row>
    <row r="595" spans="1:3" x14ac:dyDescent="0.25">
      <c r="A595" s="108">
        <v>3612135</v>
      </c>
      <c r="B595" s="103">
        <v>641.50773000000004</v>
      </c>
      <c r="C595" s="103">
        <v>625.23226999999997</v>
      </c>
    </row>
    <row r="596" spans="1:3" x14ac:dyDescent="0.25">
      <c r="A596" s="108">
        <v>3342363</v>
      </c>
      <c r="B596" s="103">
        <v>630.43772999999999</v>
      </c>
      <c r="C596" s="103">
        <v>614.16226999999992</v>
      </c>
    </row>
    <row r="597" spans="1:3" x14ac:dyDescent="0.25">
      <c r="A597" s="108">
        <v>3812033</v>
      </c>
      <c r="B597" s="103">
        <v>644.14773000000002</v>
      </c>
      <c r="C597" s="103">
        <v>627.87226999999996</v>
      </c>
    </row>
    <row r="598" spans="1:3" x14ac:dyDescent="0.25">
      <c r="A598" s="108">
        <v>3722096</v>
      </c>
      <c r="B598" s="103">
        <v>633.86773000000005</v>
      </c>
      <c r="C598" s="103">
        <v>617.59226999999998</v>
      </c>
    </row>
    <row r="599" spans="1:3" x14ac:dyDescent="0.25">
      <c r="A599" s="108">
        <v>3622226</v>
      </c>
      <c r="B599" s="103">
        <v>629.95773000000008</v>
      </c>
      <c r="C599" s="103">
        <v>613.68227000000002</v>
      </c>
    </row>
    <row r="600" spans="1:3" x14ac:dyDescent="0.25">
      <c r="A600" s="108">
        <v>3232127</v>
      </c>
      <c r="B600" s="103">
        <v>632.02773000000002</v>
      </c>
      <c r="C600" s="103">
        <v>615.75226999999995</v>
      </c>
    </row>
    <row r="601" spans="1:3" x14ac:dyDescent="0.25">
      <c r="A601" s="108">
        <v>3622176</v>
      </c>
      <c r="B601" s="103">
        <v>634.69772999999998</v>
      </c>
      <c r="C601" s="103">
        <v>618.42226999999991</v>
      </c>
    </row>
    <row r="602" spans="1:3" x14ac:dyDescent="0.25">
      <c r="A602" s="108">
        <v>3552127</v>
      </c>
      <c r="B602" s="103">
        <v>638.98773000000006</v>
      </c>
      <c r="C602" s="103">
        <v>622.71226999999999</v>
      </c>
    </row>
    <row r="603" spans="1:3" x14ac:dyDescent="0.25">
      <c r="A603" s="108">
        <v>3552093</v>
      </c>
      <c r="B603" s="103">
        <v>632.24773000000005</v>
      </c>
      <c r="C603" s="103">
        <v>615.97226999999998</v>
      </c>
    </row>
    <row r="604" spans="1:3" x14ac:dyDescent="0.25">
      <c r="A604" s="108">
        <v>3332086</v>
      </c>
      <c r="B604" s="103">
        <v>634.09773000000007</v>
      </c>
      <c r="C604" s="103">
        <v>617.82227</v>
      </c>
    </row>
    <row r="605" spans="1:3" x14ac:dyDescent="0.25">
      <c r="A605" s="108">
        <v>3512061</v>
      </c>
      <c r="B605" s="103">
        <v>633.84773000000007</v>
      </c>
      <c r="C605" s="103">
        <v>617.57227</v>
      </c>
    </row>
    <row r="606" spans="1:3" x14ac:dyDescent="0.25">
      <c r="A606" s="108">
        <v>3822012</v>
      </c>
      <c r="B606" s="103">
        <v>645.42773</v>
      </c>
      <c r="C606" s="103">
        <v>629.15226999999993</v>
      </c>
    </row>
    <row r="607" spans="1:3" x14ac:dyDescent="0.25">
      <c r="A607" s="108">
        <v>3722026</v>
      </c>
      <c r="B607" s="103">
        <v>629.12773000000004</v>
      </c>
      <c r="C607" s="103">
        <v>612.85226999999998</v>
      </c>
    </row>
    <row r="608" spans="1:3" x14ac:dyDescent="0.25">
      <c r="A608" s="108">
        <v>3532042</v>
      </c>
      <c r="B608" s="103">
        <v>629.57773000000009</v>
      </c>
      <c r="C608" s="103">
        <v>613.30227000000002</v>
      </c>
    </row>
    <row r="609" spans="1:3" x14ac:dyDescent="0.25">
      <c r="A609" s="108">
        <v>3722081</v>
      </c>
      <c r="B609" s="103">
        <v>632.81772999999998</v>
      </c>
      <c r="C609" s="103">
        <v>616.54226999999992</v>
      </c>
    </row>
    <row r="610" spans="1:3" x14ac:dyDescent="0.25">
      <c r="A610" s="108">
        <v>3612093</v>
      </c>
      <c r="B610" s="103">
        <v>634.99773000000005</v>
      </c>
      <c r="C610" s="103">
        <v>618.72226999999998</v>
      </c>
    </row>
    <row r="611" spans="1:3" x14ac:dyDescent="0.25">
      <c r="A611" s="108">
        <v>3532011</v>
      </c>
      <c r="B611" s="103">
        <v>631.41773000000001</v>
      </c>
      <c r="C611" s="103">
        <v>615.14226999999994</v>
      </c>
    </row>
    <row r="612" spans="1:3" x14ac:dyDescent="0.25">
      <c r="A612" s="108">
        <v>3622377</v>
      </c>
      <c r="B612" s="103">
        <v>623.55772999999999</v>
      </c>
      <c r="C612" s="103">
        <v>607.28226999999993</v>
      </c>
    </row>
    <row r="613" spans="1:3" x14ac:dyDescent="0.25">
      <c r="A613" s="108">
        <v>3332094</v>
      </c>
      <c r="B613" s="103">
        <v>627.38773000000003</v>
      </c>
      <c r="C613" s="103">
        <v>611.11226999999997</v>
      </c>
    </row>
    <row r="614" spans="1:3" x14ac:dyDescent="0.25">
      <c r="A614" s="108">
        <v>3232085</v>
      </c>
      <c r="B614" s="103">
        <v>627.57773000000009</v>
      </c>
      <c r="C614" s="103">
        <v>611.30227000000002</v>
      </c>
    </row>
    <row r="615" spans="1:3" x14ac:dyDescent="0.25">
      <c r="A615" s="108">
        <v>3622273</v>
      </c>
      <c r="B615" s="103">
        <v>629.54773</v>
      </c>
      <c r="C615" s="103">
        <v>613.27226999999993</v>
      </c>
    </row>
    <row r="616" spans="1:3" x14ac:dyDescent="0.25">
      <c r="A616" s="108">
        <v>3632027</v>
      </c>
      <c r="B616" s="103">
        <v>627.32773000000009</v>
      </c>
      <c r="C616" s="103">
        <v>611.05227000000002</v>
      </c>
    </row>
    <row r="617" spans="1:3" x14ac:dyDescent="0.25">
      <c r="A617" s="108">
        <v>3612046</v>
      </c>
      <c r="B617" s="103">
        <v>634.55772999999999</v>
      </c>
      <c r="C617" s="103">
        <v>618.28226999999993</v>
      </c>
    </row>
    <row r="618" spans="1:3" x14ac:dyDescent="0.25">
      <c r="A618" s="108">
        <v>3812087</v>
      </c>
      <c r="B618" s="103">
        <v>636.12773000000004</v>
      </c>
      <c r="C618" s="103">
        <v>619.85226999999998</v>
      </c>
    </row>
    <row r="619" spans="1:3" x14ac:dyDescent="0.25">
      <c r="A619" s="108">
        <v>3212193</v>
      </c>
      <c r="B619" s="103">
        <v>635.97773000000007</v>
      </c>
      <c r="C619" s="103">
        <v>619.70227</v>
      </c>
    </row>
    <row r="620" spans="1:3" x14ac:dyDescent="0.25">
      <c r="A620" s="108">
        <v>3332167</v>
      </c>
      <c r="B620" s="103">
        <v>634.43772999999999</v>
      </c>
      <c r="C620" s="103">
        <v>618.16226999999992</v>
      </c>
    </row>
    <row r="621" spans="1:3" x14ac:dyDescent="0.25">
      <c r="A621" s="108">
        <v>9132014</v>
      </c>
      <c r="B621" s="103">
        <v>610.76773000000003</v>
      </c>
      <c r="C621" s="103">
        <v>594.49226999999996</v>
      </c>
    </row>
    <row r="622" spans="1:3" x14ac:dyDescent="0.25">
      <c r="A622" s="108">
        <v>3722042</v>
      </c>
      <c r="B622" s="103">
        <v>627.82773000000009</v>
      </c>
      <c r="C622" s="103">
        <v>611.55227000000002</v>
      </c>
    </row>
    <row r="623" spans="1:3" x14ac:dyDescent="0.25">
      <c r="A623" s="108">
        <v>3332233</v>
      </c>
      <c r="B623" s="103">
        <v>626.98773000000006</v>
      </c>
      <c r="C623" s="103">
        <v>610.71226999999999</v>
      </c>
    </row>
    <row r="624" spans="1:3" x14ac:dyDescent="0.25">
      <c r="A624" s="108">
        <v>3722193</v>
      </c>
      <c r="B624" s="103">
        <v>627.82773000000009</v>
      </c>
      <c r="C624" s="103">
        <v>611.55227000000002</v>
      </c>
    </row>
    <row r="625" spans="1:3" x14ac:dyDescent="0.25">
      <c r="A625" s="108">
        <v>3822027</v>
      </c>
      <c r="B625" s="103">
        <v>630.79773</v>
      </c>
      <c r="C625" s="103">
        <v>614.52226999999993</v>
      </c>
    </row>
    <row r="626" spans="1:3" x14ac:dyDescent="0.25">
      <c r="A626" s="108">
        <v>3632043</v>
      </c>
      <c r="B626" s="103">
        <v>624.30772999999999</v>
      </c>
      <c r="C626" s="103">
        <v>608.03226999999993</v>
      </c>
    </row>
    <row r="627" spans="1:3" x14ac:dyDescent="0.25">
      <c r="A627" s="108">
        <v>3512111</v>
      </c>
      <c r="B627" s="103">
        <v>626.14773000000002</v>
      </c>
      <c r="C627" s="103">
        <v>609.87226999999996</v>
      </c>
    </row>
    <row r="628" spans="1:3" x14ac:dyDescent="0.25">
      <c r="A628" s="108">
        <v>3722011</v>
      </c>
      <c r="B628" s="103">
        <v>626.52773000000002</v>
      </c>
      <c r="C628" s="103">
        <v>610.25226999999995</v>
      </c>
    </row>
    <row r="629" spans="1:3" x14ac:dyDescent="0.25">
      <c r="A629" s="108">
        <v>3332287</v>
      </c>
      <c r="B629" s="103">
        <v>627.98773000000006</v>
      </c>
      <c r="C629" s="103">
        <v>611.71226999999999</v>
      </c>
    </row>
    <row r="630" spans="1:3" x14ac:dyDescent="0.25">
      <c r="A630" s="108">
        <v>3622323</v>
      </c>
      <c r="B630" s="103">
        <v>622.76773000000003</v>
      </c>
      <c r="C630" s="103">
        <v>606.49226999999996</v>
      </c>
    </row>
    <row r="631" spans="1:3" x14ac:dyDescent="0.25">
      <c r="A631" s="108">
        <v>3322037</v>
      </c>
      <c r="B631" s="103">
        <v>620.41773000000001</v>
      </c>
      <c r="C631" s="103">
        <v>604.14226999999994</v>
      </c>
    </row>
    <row r="632" spans="1:3" x14ac:dyDescent="0.25">
      <c r="A632" s="108">
        <v>3342355</v>
      </c>
      <c r="B632" s="103">
        <v>623.22773000000007</v>
      </c>
      <c r="C632" s="103">
        <v>606.95227</v>
      </c>
    </row>
    <row r="633" spans="1:3" x14ac:dyDescent="0.25">
      <c r="A633" s="108">
        <v>3532243</v>
      </c>
      <c r="B633" s="103">
        <v>619.87773000000004</v>
      </c>
      <c r="C633" s="103">
        <v>603.60226999999998</v>
      </c>
    </row>
    <row r="634" spans="1:3" x14ac:dyDescent="0.25">
      <c r="A634" s="108">
        <v>3512045</v>
      </c>
      <c r="B634" s="103">
        <v>626.30772999999999</v>
      </c>
      <c r="C634" s="103">
        <v>610.03226999999993</v>
      </c>
    </row>
    <row r="635" spans="1:3" x14ac:dyDescent="0.25">
      <c r="A635" s="108">
        <v>3512076</v>
      </c>
      <c r="B635" s="103">
        <v>622.62773000000004</v>
      </c>
      <c r="C635" s="103">
        <v>606.35226999999998</v>
      </c>
    </row>
    <row r="636" spans="1:3" x14ac:dyDescent="0.25">
      <c r="A636" s="108">
        <v>3242025</v>
      </c>
      <c r="B636" s="103">
        <v>625.76773000000003</v>
      </c>
      <c r="C636" s="103">
        <v>609.49226999999996</v>
      </c>
    </row>
    <row r="637" spans="1:3" x14ac:dyDescent="0.25">
      <c r="A637" s="108">
        <v>3342502</v>
      </c>
      <c r="B637" s="103">
        <v>622.95773000000008</v>
      </c>
      <c r="C637" s="103">
        <v>606.68227000000002</v>
      </c>
    </row>
    <row r="638" spans="1:3" x14ac:dyDescent="0.25">
      <c r="A638" s="108">
        <v>3332225</v>
      </c>
      <c r="B638" s="103">
        <v>628.29773</v>
      </c>
      <c r="C638" s="103">
        <v>612.02226999999993</v>
      </c>
    </row>
    <row r="639" spans="1:3" x14ac:dyDescent="0.25">
      <c r="A639" s="108">
        <v>3552174</v>
      </c>
      <c r="B639" s="103">
        <v>623.53773000000001</v>
      </c>
      <c r="C639" s="103">
        <v>607.26226999999994</v>
      </c>
    </row>
    <row r="640" spans="1:3" x14ac:dyDescent="0.25">
      <c r="A640" s="108">
        <v>3342065</v>
      </c>
      <c r="B640" s="103">
        <v>629.83773000000008</v>
      </c>
      <c r="C640" s="103">
        <v>613.56227000000001</v>
      </c>
    </row>
    <row r="641" spans="1:3" x14ac:dyDescent="0.25">
      <c r="A641" s="108">
        <v>3512053</v>
      </c>
      <c r="B641" s="103">
        <v>623.63773000000003</v>
      </c>
      <c r="C641" s="103">
        <v>607.36226999999997</v>
      </c>
    </row>
    <row r="642" spans="1:3" x14ac:dyDescent="0.25">
      <c r="A642" s="108">
        <v>3722227</v>
      </c>
      <c r="B642" s="103">
        <v>629.17773</v>
      </c>
      <c r="C642" s="103">
        <v>612.90226999999993</v>
      </c>
    </row>
    <row r="643" spans="1:3" x14ac:dyDescent="0.25">
      <c r="A643" s="108">
        <v>3342587</v>
      </c>
      <c r="B643" s="103">
        <v>624.22773000000007</v>
      </c>
      <c r="C643" s="103">
        <v>607.95227</v>
      </c>
    </row>
    <row r="644" spans="1:3" x14ac:dyDescent="0.25">
      <c r="A644" s="108">
        <v>3722115</v>
      </c>
      <c r="B644" s="103">
        <v>623.09773000000007</v>
      </c>
      <c r="C644" s="103">
        <v>606.82227</v>
      </c>
    </row>
    <row r="645" spans="1:3" x14ac:dyDescent="0.25">
      <c r="A645" s="108">
        <v>3722235</v>
      </c>
      <c r="B645" s="103">
        <v>624.59773000000007</v>
      </c>
      <c r="C645" s="103">
        <v>608.32227</v>
      </c>
    </row>
    <row r="646" spans="1:3" x14ac:dyDescent="0.25">
      <c r="A646" s="108">
        <v>3212212</v>
      </c>
      <c r="B646" s="103">
        <v>618.44772999999998</v>
      </c>
      <c r="C646" s="103">
        <v>602.17226999999991</v>
      </c>
    </row>
    <row r="647" spans="1:3" x14ac:dyDescent="0.25">
      <c r="A647" s="108">
        <v>3562145</v>
      </c>
      <c r="B647" s="103">
        <v>617.05772999999999</v>
      </c>
      <c r="C647" s="103">
        <v>600.78226999999993</v>
      </c>
    </row>
    <row r="648" spans="1:3" x14ac:dyDescent="0.25">
      <c r="A648" s="108">
        <v>3632012</v>
      </c>
      <c r="B648" s="103">
        <v>621.50773000000004</v>
      </c>
      <c r="C648" s="103">
        <v>605.23226999999997</v>
      </c>
    </row>
    <row r="649" spans="1:3" x14ac:dyDescent="0.25">
      <c r="A649" s="108">
        <v>3552023</v>
      </c>
      <c r="B649" s="103">
        <v>622.21773000000007</v>
      </c>
      <c r="C649" s="103">
        <v>605.94227000000001</v>
      </c>
    </row>
    <row r="650" spans="1:3" x14ac:dyDescent="0.25">
      <c r="A650" s="108">
        <v>3812176</v>
      </c>
      <c r="B650" s="103">
        <v>627.03773000000001</v>
      </c>
      <c r="C650" s="103">
        <v>610.76226999999994</v>
      </c>
    </row>
    <row r="651" spans="1:3" x14ac:dyDescent="0.25">
      <c r="A651" s="108">
        <v>3632035</v>
      </c>
      <c r="B651" s="103">
        <v>618.13773000000003</v>
      </c>
      <c r="C651" s="103">
        <v>601.86226999999997</v>
      </c>
    </row>
    <row r="652" spans="1:3" x14ac:dyDescent="0.25">
      <c r="A652" s="108">
        <v>3552112</v>
      </c>
      <c r="B652" s="103">
        <v>620.70773000000008</v>
      </c>
      <c r="C652" s="103">
        <v>604.43227000000002</v>
      </c>
    </row>
    <row r="653" spans="1:3" x14ac:dyDescent="0.25">
      <c r="A653" s="108">
        <v>3562176</v>
      </c>
      <c r="B653" s="103">
        <v>620.98773000000006</v>
      </c>
      <c r="C653" s="103">
        <v>604.71226999999999</v>
      </c>
    </row>
    <row r="654" spans="1:3" x14ac:dyDescent="0.25">
      <c r="A654" s="108">
        <v>3332152</v>
      </c>
      <c r="B654" s="103">
        <v>620.58773000000008</v>
      </c>
      <c r="C654" s="103">
        <v>604.31227000000001</v>
      </c>
    </row>
    <row r="655" spans="1:3" x14ac:dyDescent="0.25">
      <c r="A655" s="108">
        <v>3722123</v>
      </c>
      <c r="B655" s="103">
        <v>622.89773000000002</v>
      </c>
      <c r="C655" s="103">
        <v>606.62226999999996</v>
      </c>
    </row>
    <row r="656" spans="1:3" x14ac:dyDescent="0.25">
      <c r="A656" s="108">
        <v>3722363</v>
      </c>
      <c r="B656" s="103">
        <v>622.31772999999998</v>
      </c>
      <c r="C656" s="103">
        <v>606.04226999999992</v>
      </c>
    </row>
    <row r="657" spans="1:3" x14ac:dyDescent="0.25">
      <c r="A657" s="108">
        <v>3232305</v>
      </c>
      <c r="B657" s="103">
        <v>619.30772999999999</v>
      </c>
      <c r="C657" s="103">
        <v>603.03226999999993</v>
      </c>
    </row>
    <row r="658" spans="1:3" x14ac:dyDescent="0.25">
      <c r="A658" s="108">
        <v>3532034</v>
      </c>
      <c r="B658" s="103">
        <v>616.03773000000001</v>
      </c>
      <c r="C658" s="103">
        <v>599.76226999999994</v>
      </c>
    </row>
    <row r="659" spans="1:3" x14ac:dyDescent="0.25">
      <c r="A659" s="108">
        <v>1412075</v>
      </c>
      <c r="B659" s="103">
        <v>627.73773000000006</v>
      </c>
      <c r="C659" s="103">
        <v>611.46226999999999</v>
      </c>
    </row>
    <row r="660" spans="1:3" x14ac:dyDescent="0.25">
      <c r="A660" s="108">
        <v>3632051</v>
      </c>
      <c r="B660" s="103">
        <v>615.45773000000008</v>
      </c>
      <c r="C660" s="103">
        <v>599.18227000000002</v>
      </c>
    </row>
    <row r="661" spans="1:3" x14ac:dyDescent="0.25">
      <c r="A661" s="108">
        <v>3232112</v>
      </c>
      <c r="B661" s="103">
        <v>622.54773</v>
      </c>
      <c r="C661" s="103">
        <v>606.27226999999993</v>
      </c>
    </row>
    <row r="662" spans="1:3" x14ac:dyDescent="0.25">
      <c r="A662" s="108">
        <v>3812145</v>
      </c>
      <c r="B662" s="103">
        <v>624.21773000000007</v>
      </c>
      <c r="C662" s="103">
        <v>607.94227000000001</v>
      </c>
    </row>
    <row r="663" spans="1:3" x14ac:dyDescent="0.25">
      <c r="A663" s="108">
        <v>3622161</v>
      </c>
      <c r="B663" s="103">
        <v>615.29773</v>
      </c>
      <c r="C663" s="103">
        <v>599.02226999999993</v>
      </c>
    </row>
    <row r="664" spans="1:3" x14ac:dyDescent="0.25">
      <c r="A664" s="108">
        <v>3812041</v>
      </c>
      <c r="B664" s="103">
        <v>615.29773</v>
      </c>
      <c r="C664" s="103">
        <v>599.02226999999993</v>
      </c>
    </row>
    <row r="665" spans="1:3" x14ac:dyDescent="0.25">
      <c r="A665" s="108">
        <v>3512037</v>
      </c>
      <c r="B665" s="103">
        <v>615.27773000000002</v>
      </c>
      <c r="C665" s="103">
        <v>599.00226999999995</v>
      </c>
    </row>
    <row r="666" spans="1:3" x14ac:dyDescent="0.25">
      <c r="A666" s="108">
        <v>3222083</v>
      </c>
      <c r="B666" s="103">
        <v>619.98773000000006</v>
      </c>
      <c r="C666" s="103">
        <v>603.71226999999999</v>
      </c>
    </row>
    <row r="667" spans="1:3" x14ac:dyDescent="0.25">
      <c r="A667" s="108">
        <v>3812025</v>
      </c>
      <c r="B667" s="103">
        <v>622.29773</v>
      </c>
      <c r="C667" s="103">
        <v>606.02226999999993</v>
      </c>
    </row>
    <row r="668" spans="1:3" x14ac:dyDescent="0.25">
      <c r="A668" s="108">
        <v>3342243</v>
      </c>
      <c r="B668" s="103">
        <v>617.49773000000005</v>
      </c>
      <c r="C668" s="103">
        <v>601.22226999999998</v>
      </c>
    </row>
    <row r="669" spans="1:3" x14ac:dyDescent="0.25">
      <c r="A669" s="108">
        <v>3512014</v>
      </c>
      <c r="B669" s="103">
        <v>615.03773000000001</v>
      </c>
      <c r="C669" s="103">
        <v>598.76226999999994</v>
      </c>
    </row>
    <row r="670" spans="1:3" x14ac:dyDescent="0.25">
      <c r="A670" s="108">
        <v>3232417</v>
      </c>
      <c r="B670" s="103">
        <v>620.80772999999999</v>
      </c>
      <c r="C670" s="103">
        <v>604.53226999999993</v>
      </c>
    </row>
    <row r="671" spans="1:3" x14ac:dyDescent="0.25">
      <c r="A671" s="108">
        <v>3622153</v>
      </c>
      <c r="B671" s="103">
        <v>620.03773000000001</v>
      </c>
      <c r="C671" s="103">
        <v>603.76226999999994</v>
      </c>
    </row>
    <row r="672" spans="1:3" x14ac:dyDescent="0.25">
      <c r="A672" s="108">
        <v>3622017</v>
      </c>
      <c r="B672" s="103">
        <v>615.54773</v>
      </c>
      <c r="C672" s="103">
        <v>599.27226999999993</v>
      </c>
    </row>
    <row r="673" spans="1:3" x14ac:dyDescent="0.25">
      <c r="A673" s="108">
        <v>3562273</v>
      </c>
      <c r="B673" s="103">
        <v>618.24773000000005</v>
      </c>
      <c r="C673" s="103">
        <v>601.97226999999998</v>
      </c>
    </row>
    <row r="674" spans="1:3" x14ac:dyDescent="0.25">
      <c r="A674" s="108">
        <v>3622095</v>
      </c>
      <c r="B674" s="103">
        <v>619.97773000000007</v>
      </c>
      <c r="C674" s="103">
        <v>603.70227</v>
      </c>
    </row>
    <row r="675" spans="1:3" x14ac:dyDescent="0.25">
      <c r="A675" s="108">
        <v>3232247</v>
      </c>
      <c r="B675" s="103">
        <v>613.79773</v>
      </c>
      <c r="C675" s="103">
        <v>597.52226999999993</v>
      </c>
    </row>
    <row r="676" spans="1:3" x14ac:dyDescent="0.25">
      <c r="A676" s="108">
        <v>3722034</v>
      </c>
      <c r="B676" s="103">
        <v>616.38773000000003</v>
      </c>
      <c r="C676" s="103">
        <v>600.11226999999997</v>
      </c>
    </row>
    <row r="677" spans="1:3" x14ac:dyDescent="0.25">
      <c r="A677" s="108">
        <v>1412141</v>
      </c>
      <c r="B677" s="103">
        <v>611.73773000000006</v>
      </c>
      <c r="C677" s="103">
        <v>595.46226999999999</v>
      </c>
    </row>
    <row r="678" spans="1:3" x14ac:dyDescent="0.25">
      <c r="A678" s="108">
        <v>3562161</v>
      </c>
      <c r="B678" s="103">
        <v>611.35773000000006</v>
      </c>
      <c r="C678" s="103">
        <v>595.08226999999999</v>
      </c>
    </row>
    <row r="679" spans="1:3" x14ac:dyDescent="0.25">
      <c r="A679" s="108">
        <v>3612127</v>
      </c>
      <c r="B679" s="103">
        <v>613.63773000000003</v>
      </c>
      <c r="C679" s="103">
        <v>597.36226999999997</v>
      </c>
    </row>
    <row r="680" spans="1:3" x14ac:dyDescent="0.25">
      <c r="A680" s="108">
        <v>3232166</v>
      </c>
      <c r="B680" s="103">
        <v>620.16773000000001</v>
      </c>
      <c r="C680" s="103">
        <v>603.89226999999994</v>
      </c>
    </row>
    <row r="681" spans="1:3" x14ac:dyDescent="0.25">
      <c r="A681" s="108">
        <v>3342162</v>
      </c>
      <c r="B681" s="103">
        <v>611.73773000000006</v>
      </c>
      <c r="C681" s="103">
        <v>595.46226999999999</v>
      </c>
    </row>
    <row r="682" spans="1:3" x14ac:dyDescent="0.25">
      <c r="A682" s="108">
        <v>3332217</v>
      </c>
      <c r="B682" s="103">
        <v>615.28773000000001</v>
      </c>
      <c r="C682" s="103">
        <v>599.01226999999994</v>
      </c>
    </row>
    <row r="683" spans="1:3" x14ac:dyDescent="0.25">
      <c r="A683" s="108">
        <v>3732245</v>
      </c>
      <c r="B683" s="103">
        <v>613.55772999999999</v>
      </c>
      <c r="C683" s="103">
        <v>597.28226999999993</v>
      </c>
    </row>
    <row r="684" spans="1:3" x14ac:dyDescent="0.25">
      <c r="A684" s="108">
        <v>3722146</v>
      </c>
      <c r="B684" s="103">
        <v>611.01773000000003</v>
      </c>
      <c r="C684" s="103">
        <v>594.74226999999996</v>
      </c>
    </row>
    <row r="685" spans="1:3" x14ac:dyDescent="0.25">
      <c r="A685" s="108">
        <v>3562122</v>
      </c>
      <c r="B685" s="103">
        <v>609.72773000000007</v>
      </c>
      <c r="C685" s="103">
        <v>593.45227</v>
      </c>
    </row>
    <row r="686" spans="1:3" x14ac:dyDescent="0.25">
      <c r="A686" s="108">
        <v>3552166</v>
      </c>
      <c r="B686" s="103">
        <v>611.38773000000003</v>
      </c>
      <c r="C686" s="103">
        <v>595.11226999999997</v>
      </c>
    </row>
    <row r="687" spans="1:3" x14ac:dyDescent="0.25">
      <c r="A687" s="108">
        <v>3622242</v>
      </c>
      <c r="B687" s="103">
        <v>618.76773000000003</v>
      </c>
      <c r="C687" s="103">
        <v>602.49226999999996</v>
      </c>
    </row>
    <row r="688" spans="1:3" x14ac:dyDescent="0.25">
      <c r="A688" s="108">
        <v>3242056</v>
      </c>
      <c r="B688" s="103">
        <v>612.42773</v>
      </c>
      <c r="C688" s="103">
        <v>596.15226999999993</v>
      </c>
    </row>
    <row r="689" spans="1:3" x14ac:dyDescent="0.25">
      <c r="A689" s="108">
        <v>3512103</v>
      </c>
      <c r="B689" s="103">
        <v>606.28773000000001</v>
      </c>
      <c r="C689" s="103">
        <v>590.01226999999994</v>
      </c>
    </row>
    <row r="690" spans="1:3" x14ac:dyDescent="0.25">
      <c r="A690" s="108">
        <v>3622137</v>
      </c>
      <c r="B690" s="103">
        <v>612.61773000000005</v>
      </c>
      <c r="C690" s="103">
        <v>596.34226999999998</v>
      </c>
    </row>
    <row r="691" spans="1:3" x14ac:dyDescent="0.25">
      <c r="A691" s="108">
        <v>3242041</v>
      </c>
      <c r="B691" s="103">
        <v>615.10773000000006</v>
      </c>
      <c r="C691" s="103">
        <v>598.83226999999999</v>
      </c>
    </row>
    <row r="692" spans="1:3" x14ac:dyDescent="0.25">
      <c r="A692" s="108">
        <v>3562137</v>
      </c>
      <c r="B692" s="103">
        <v>610.45773000000008</v>
      </c>
      <c r="C692" s="103">
        <v>594.18227000000002</v>
      </c>
    </row>
    <row r="693" spans="1:3" x14ac:dyDescent="0.25">
      <c r="A693" s="108">
        <v>3722177</v>
      </c>
      <c r="B693" s="103">
        <v>608.69772999999998</v>
      </c>
      <c r="C693" s="103">
        <v>592.42226999999991</v>
      </c>
    </row>
    <row r="694" spans="1:3" x14ac:dyDescent="0.25">
      <c r="A694" s="108">
        <v>3642126</v>
      </c>
      <c r="B694" s="103">
        <v>629.37773000000004</v>
      </c>
      <c r="C694" s="103">
        <v>613.10226999999998</v>
      </c>
    </row>
    <row r="695" spans="1:3" x14ac:dyDescent="0.25">
      <c r="A695" s="108">
        <v>3532146</v>
      </c>
      <c r="B695" s="103">
        <v>611.66773000000001</v>
      </c>
      <c r="C695" s="103">
        <v>595.39226999999994</v>
      </c>
    </row>
    <row r="696" spans="1:3" x14ac:dyDescent="0.25">
      <c r="A696" s="108">
        <v>3332183</v>
      </c>
      <c r="B696" s="103">
        <v>615.34773000000007</v>
      </c>
      <c r="C696" s="103">
        <v>599.07227</v>
      </c>
    </row>
    <row r="697" spans="1:3" x14ac:dyDescent="0.25">
      <c r="A697" s="108">
        <v>3342556</v>
      </c>
      <c r="B697" s="103">
        <v>609.96773000000007</v>
      </c>
      <c r="C697" s="103">
        <v>593.69227000000001</v>
      </c>
    </row>
    <row r="698" spans="1:3" x14ac:dyDescent="0.25">
      <c r="A698" s="108">
        <v>3622203</v>
      </c>
      <c r="B698" s="103">
        <v>614.83773000000008</v>
      </c>
      <c r="C698" s="103">
        <v>598.56227000000001</v>
      </c>
    </row>
    <row r="699" spans="1:3" x14ac:dyDescent="0.25">
      <c r="A699" s="108">
        <v>3812072</v>
      </c>
      <c r="B699" s="103">
        <v>609.87773000000004</v>
      </c>
      <c r="C699" s="103">
        <v>593.60226999999998</v>
      </c>
    </row>
    <row r="700" spans="1:3" x14ac:dyDescent="0.25">
      <c r="A700" s="108">
        <v>3722131</v>
      </c>
      <c r="B700" s="103">
        <v>606.38773000000003</v>
      </c>
      <c r="C700" s="103">
        <v>590.11226999999997</v>
      </c>
    </row>
    <row r="701" spans="1:3" x14ac:dyDescent="0.25">
      <c r="A701" s="108">
        <v>3242017</v>
      </c>
      <c r="B701" s="103">
        <v>613.54773</v>
      </c>
      <c r="C701" s="103">
        <v>597.27226999999993</v>
      </c>
    </row>
    <row r="702" spans="1:3" x14ac:dyDescent="0.25">
      <c r="A702" s="108">
        <v>3712024</v>
      </c>
      <c r="B702" s="103">
        <v>616.46773000000007</v>
      </c>
      <c r="C702" s="103">
        <v>600.19227000000001</v>
      </c>
    </row>
    <row r="703" spans="1:3" x14ac:dyDescent="0.25">
      <c r="A703" s="108">
        <v>3532266</v>
      </c>
      <c r="B703" s="103">
        <v>610.43772999999999</v>
      </c>
      <c r="C703" s="103">
        <v>594.16226999999992</v>
      </c>
    </row>
    <row r="704" spans="1:3" x14ac:dyDescent="0.25">
      <c r="A704" s="108">
        <v>3512084</v>
      </c>
      <c r="B704" s="103">
        <v>609.96773000000007</v>
      </c>
      <c r="C704" s="103">
        <v>593.69227000000001</v>
      </c>
    </row>
    <row r="705" spans="1:3" x14ac:dyDescent="0.25">
      <c r="A705" s="108">
        <v>3532347</v>
      </c>
      <c r="B705" s="103">
        <v>606.69772999999998</v>
      </c>
      <c r="C705" s="103">
        <v>590.42226999999991</v>
      </c>
    </row>
    <row r="706" spans="1:3" x14ac:dyDescent="0.25">
      <c r="A706" s="108">
        <v>3242033</v>
      </c>
      <c r="B706" s="103">
        <v>616.59773000000007</v>
      </c>
      <c r="C706" s="103">
        <v>600.32227</v>
      </c>
    </row>
    <row r="707" spans="1:3" x14ac:dyDescent="0.25">
      <c r="A707" s="108">
        <v>3812161</v>
      </c>
      <c r="B707" s="103">
        <v>613.69772999999998</v>
      </c>
      <c r="C707" s="103">
        <v>597.42226999999991</v>
      </c>
    </row>
    <row r="708" spans="1:3" x14ac:dyDescent="0.25">
      <c r="A708" s="108">
        <v>3242064</v>
      </c>
      <c r="B708" s="103">
        <v>614.63773000000003</v>
      </c>
      <c r="C708" s="103">
        <v>598.36226999999997</v>
      </c>
    </row>
    <row r="709" spans="1:3" x14ac:dyDescent="0.25">
      <c r="A709" s="108">
        <v>3532363</v>
      </c>
      <c r="B709" s="103">
        <v>610.49773000000005</v>
      </c>
      <c r="C709" s="103">
        <v>594.22226999999998</v>
      </c>
    </row>
    <row r="710" spans="1:3" x14ac:dyDescent="0.25">
      <c r="A710" s="108">
        <v>3532081</v>
      </c>
      <c r="B710" s="103">
        <v>610.15773000000002</v>
      </c>
      <c r="C710" s="103">
        <v>593.88226999999995</v>
      </c>
    </row>
    <row r="711" spans="1:3" x14ac:dyDescent="0.25">
      <c r="A711" s="108">
        <v>3622025</v>
      </c>
      <c r="B711" s="103">
        <v>611.35773000000006</v>
      </c>
      <c r="C711" s="103">
        <v>595.08226999999999</v>
      </c>
    </row>
    <row r="712" spans="1:3" x14ac:dyDescent="0.25">
      <c r="A712" s="108">
        <v>3232015</v>
      </c>
      <c r="B712" s="103">
        <v>607.65773000000002</v>
      </c>
      <c r="C712" s="103">
        <v>591.38226999999995</v>
      </c>
    </row>
    <row r="713" spans="1:3" x14ac:dyDescent="0.25">
      <c r="A713" s="108">
        <v>3722073</v>
      </c>
      <c r="B713" s="103">
        <v>606.71773000000007</v>
      </c>
      <c r="C713" s="103">
        <v>590.44227000000001</v>
      </c>
    </row>
    <row r="714" spans="1:3" x14ac:dyDescent="0.25">
      <c r="A714" s="108">
        <v>3622211</v>
      </c>
      <c r="B714" s="103">
        <v>604.07773000000009</v>
      </c>
      <c r="C714" s="103">
        <v>587.80227000000002</v>
      </c>
    </row>
    <row r="715" spans="1:3" x14ac:dyDescent="0.25">
      <c r="A715" s="108">
        <v>3622087</v>
      </c>
      <c r="B715" s="103">
        <v>609.91773000000001</v>
      </c>
      <c r="C715" s="103">
        <v>593.64226999999994</v>
      </c>
    </row>
    <row r="716" spans="1:3" x14ac:dyDescent="0.25">
      <c r="A716" s="108">
        <v>3552143</v>
      </c>
      <c r="B716" s="103">
        <v>605.08773000000008</v>
      </c>
      <c r="C716" s="103">
        <v>588.81227000000001</v>
      </c>
    </row>
    <row r="717" spans="1:3" x14ac:dyDescent="0.25">
      <c r="A717" s="108">
        <v>3622145</v>
      </c>
      <c r="B717" s="103">
        <v>613.83773000000008</v>
      </c>
      <c r="C717" s="103">
        <v>597.56227000000001</v>
      </c>
    </row>
    <row r="718" spans="1:3" x14ac:dyDescent="0.25">
      <c r="A718" s="108">
        <v>3622122</v>
      </c>
      <c r="B718" s="103">
        <v>607.93772999999999</v>
      </c>
      <c r="C718" s="103">
        <v>591.66226999999992</v>
      </c>
    </row>
    <row r="719" spans="1:3" x14ac:dyDescent="0.25">
      <c r="A719" s="108">
        <v>3732276</v>
      </c>
      <c r="B719" s="103">
        <v>613.39773000000002</v>
      </c>
      <c r="C719" s="103">
        <v>597.12226999999996</v>
      </c>
    </row>
    <row r="720" spans="1:3" x14ac:dyDescent="0.25">
      <c r="A720" s="108">
        <v>3632074</v>
      </c>
      <c r="B720" s="103">
        <v>605.49773000000005</v>
      </c>
      <c r="C720" s="103">
        <v>589.22226999999998</v>
      </c>
    </row>
    <row r="721" spans="1:3" x14ac:dyDescent="0.25">
      <c r="A721" s="108">
        <v>3622033</v>
      </c>
      <c r="B721" s="103">
        <v>607.66773000000001</v>
      </c>
      <c r="C721" s="103">
        <v>591.39226999999994</v>
      </c>
    </row>
    <row r="722" spans="1:3" x14ac:dyDescent="0.25">
      <c r="A722" s="108">
        <v>3852073</v>
      </c>
      <c r="B722" s="103">
        <v>604.30772999999999</v>
      </c>
      <c r="C722" s="103">
        <v>588.03226999999993</v>
      </c>
    </row>
    <row r="723" spans="1:3" x14ac:dyDescent="0.25">
      <c r="A723" s="108">
        <v>3732222</v>
      </c>
      <c r="B723" s="103">
        <v>607.94772999999998</v>
      </c>
      <c r="C723" s="103">
        <v>591.67226999999991</v>
      </c>
    </row>
    <row r="724" spans="1:3" x14ac:dyDescent="0.25">
      <c r="A724" s="108">
        <v>3622184</v>
      </c>
      <c r="B724" s="103">
        <v>606.55772999999999</v>
      </c>
      <c r="C724" s="103">
        <v>590.28226999999993</v>
      </c>
    </row>
    <row r="725" spans="1:3" x14ac:dyDescent="0.25">
      <c r="A725" s="108">
        <v>3532096</v>
      </c>
      <c r="B725" s="103">
        <v>603.77773000000002</v>
      </c>
      <c r="C725" s="103">
        <v>587.50226999999995</v>
      </c>
    </row>
    <row r="726" spans="1:3" x14ac:dyDescent="0.25">
      <c r="A726" s="108">
        <v>1212042</v>
      </c>
      <c r="B726" s="103">
        <v>612.17773</v>
      </c>
      <c r="C726" s="103">
        <v>595.90226999999993</v>
      </c>
    </row>
    <row r="727" spans="1:3" x14ac:dyDescent="0.25">
      <c r="A727" s="108">
        <v>3222214</v>
      </c>
      <c r="B727" s="103">
        <v>613.35773000000006</v>
      </c>
      <c r="C727" s="103">
        <v>597.08226999999999</v>
      </c>
    </row>
    <row r="728" spans="1:3" x14ac:dyDescent="0.25">
      <c r="A728" s="108">
        <v>3512022</v>
      </c>
      <c r="B728" s="103">
        <v>604.86773000000005</v>
      </c>
      <c r="C728" s="103">
        <v>588.59226999999998</v>
      </c>
    </row>
    <row r="729" spans="1:3" x14ac:dyDescent="0.25">
      <c r="A729" s="108">
        <v>6112211</v>
      </c>
      <c r="B729" s="103">
        <v>606.37773000000004</v>
      </c>
      <c r="C729" s="103">
        <v>590.10226999999998</v>
      </c>
    </row>
    <row r="730" spans="1:3" x14ac:dyDescent="0.25">
      <c r="A730" s="108">
        <v>3562234</v>
      </c>
      <c r="B730" s="103">
        <v>607.86773000000005</v>
      </c>
      <c r="C730" s="103">
        <v>591.59226999999998</v>
      </c>
    </row>
    <row r="731" spans="1:3" x14ac:dyDescent="0.25">
      <c r="A731" s="108">
        <v>1912065</v>
      </c>
      <c r="B731" s="103">
        <v>613.84773000000007</v>
      </c>
      <c r="C731" s="103">
        <v>597.57227</v>
      </c>
    </row>
    <row r="732" spans="1:3" x14ac:dyDescent="0.25">
      <c r="A732" s="108">
        <v>6112161</v>
      </c>
      <c r="B732" s="103">
        <v>613.10773000000006</v>
      </c>
      <c r="C732" s="103">
        <v>596.83226999999999</v>
      </c>
    </row>
    <row r="733" spans="1:3" x14ac:dyDescent="0.25">
      <c r="A733" s="108">
        <v>3222021</v>
      </c>
      <c r="B733" s="103">
        <v>613.02773000000002</v>
      </c>
      <c r="C733" s="103">
        <v>596.75226999999995</v>
      </c>
    </row>
    <row r="734" spans="1:3" x14ac:dyDescent="0.25">
      <c r="A734" s="108">
        <v>3622354</v>
      </c>
      <c r="B734" s="103">
        <v>605.32773000000009</v>
      </c>
      <c r="C734" s="103">
        <v>589.05227000000002</v>
      </c>
    </row>
    <row r="735" spans="1:3" x14ac:dyDescent="0.25">
      <c r="A735" s="108">
        <v>3562153</v>
      </c>
      <c r="B735" s="103">
        <v>603.40773000000002</v>
      </c>
      <c r="C735" s="103">
        <v>587.13226999999995</v>
      </c>
    </row>
    <row r="736" spans="1:3" x14ac:dyDescent="0.25">
      <c r="A736" s="108">
        <v>3342185</v>
      </c>
      <c r="B736" s="103">
        <v>604.22773000000007</v>
      </c>
      <c r="C736" s="103">
        <v>587.95227</v>
      </c>
    </row>
    <row r="737" spans="1:3" x14ac:dyDescent="0.25">
      <c r="A737" s="108">
        <v>3332113</v>
      </c>
      <c r="B737" s="103">
        <v>608.61773000000005</v>
      </c>
      <c r="C737" s="103">
        <v>592.34226999999998</v>
      </c>
    </row>
    <row r="738" spans="1:3" x14ac:dyDescent="0.25">
      <c r="A738" s="108">
        <v>3552031</v>
      </c>
      <c r="B738" s="103">
        <v>610.21773000000007</v>
      </c>
      <c r="C738" s="103">
        <v>593.94227000000001</v>
      </c>
    </row>
    <row r="739" spans="1:3" x14ac:dyDescent="0.25">
      <c r="A739" s="108">
        <v>3232294</v>
      </c>
      <c r="B739" s="103">
        <v>603.65773000000002</v>
      </c>
      <c r="C739" s="103">
        <v>587.38226999999995</v>
      </c>
    </row>
    <row r="740" spans="1:3" x14ac:dyDescent="0.25">
      <c r="A740" s="108">
        <v>3552046</v>
      </c>
      <c r="B740" s="103">
        <v>607.47773000000007</v>
      </c>
      <c r="C740" s="103">
        <v>591.20227</v>
      </c>
    </row>
    <row r="741" spans="1:3" x14ac:dyDescent="0.25">
      <c r="A741" s="108">
        <v>3342525</v>
      </c>
      <c r="B741" s="103">
        <v>601.93772999999999</v>
      </c>
      <c r="C741" s="103">
        <v>585.66226999999992</v>
      </c>
    </row>
    <row r="742" spans="1:3" x14ac:dyDescent="0.25">
      <c r="A742" s="108">
        <v>3532274</v>
      </c>
      <c r="B742" s="103">
        <v>605.08773000000008</v>
      </c>
      <c r="C742" s="103">
        <v>588.81227000000001</v>
      </c>
    </row>
    <row r="743" spans="1:3" x14ac:dyDescent="0.25">
      <c r="A743" s="108">
        <v>3622234</v>
      </c>
      <c r="B743" s="103">
        <v>605.81772999999998</v>
      </c>
      <c r="C743" s="103">
        <v>589.54226999999992</v>
      </c>
    </row>
    <row r="744" spans="1:3" x14ac:dyDescent="0.25">
      <c r="A744" s="108">
        <v>3242072</v>
      </c>
      <c r="B744" s="103">
        <v>604.89773000000002</v>
      </c>
      <c r="C744" s="103">
        <v>588.62226999999996</v>
      </c>
    </row>
    <row r="745" spans="1:3" x14ac:dyDescent="0.25">
      <c r="A745" s="108">
        <v>3542075</v>
      </c>
      <c r="B745" s="103">
        <v>603.33773000000008</v>
      </c>
      <c r="C745" s="103">
        <v>587.06227000000001</v>
      </c>
    </row>
    <row r="746" spans="1:3" x14ac:dyDescent="0.25">
      <c r="A746" s="108">
        <v>3512157</v>
      </c>
      <c r="B746" s="103">
        <v>600.15773000000002</v>
      </c>
      <c r="C746" s="103">
        <v>583.88226999999995</v>
      </c>
    </row>
    <row r="747" spans="1:3" x14ac:dyDescent="0.25">
      <c r="A747" s="108">
        <v>3722355</v>
      </c>
      <c r="B747" s="103">
        <v>604.37773000000004</v>
      </c>
      <c r="C747" s="103">
        <v>588.10226999999998</v>
      </c>
    </row>
    <row r="748" spans="1:3" x14ac:dyDescent="0.25">
      <c r="A748" s="108">
        <v>3652225</v>
      </c>
      <c r="B748" s="103">
        <v>601.67773</v>
      </c>
      <c r="C748" s="103">
        <v>585.40226999999993</v>
      </c>
    </row>
    <row r="749" spans="1:3" x14ac:dyDescent="0.25">
      <c r="A749" s="108">
        <v>3722251</v>
      </c>
      <c r="B749" s="103">
        <v>606.46773000000007</v>
      </c>
      <c r="C749" s="103">
        <v>590.19227000000001</v>
      </c>
    </row>
    <row r="750" spans="1:3" x14ac:dyDescent="0.25">
      <c r="A750" s="108">
        <v>3622072</v>
      </c>
      <c r="B750" s="103">
        <v>598.70773000000008</v>
      </c>
      <c r="C750" s="103">
        <v>582.43227000000002</v>
      </c>
    </row>
    <row r="751" spans="1:3" x14ac:dyDescent="0.25">
      <c r="A751" s="108">
        <v>3722347</v>
      </c>
      <c r="B751" s="103">
        <v>605.20773000000008</v>
      </c>
      <c r="C751" s="103">
        <v>588.93227000000002</v>
      </c>
    </row>
    <row r="752" spans="1:3" x14ac:dyDescent="0.25">
      <c r="A752" s="108">
        <v>3232224</v>
      </c>
      <c r="B752" s="103">
        <v>606.19772999999998</v>
      </c>
      <c r="C752" s="103">
        <v>589.92226999999991</v>
      </c>
    </row>
    <row r="753" spans="1:3" x14ac:dyDescent="0.25">
      <c r="A753" s="108">
        <v>3342572</v>
      </c>
      <c r="B753" s="103">
        <v>604.32773000000009</v>
      </c>
      <c r="C753" s="103">
        <v>588.05227000000002</v>
      </c>
    </row>
    <row r="754" spans="1:3" x14ac:dyDescent="0.25">
      <c r="A754" s="108">
        <v>3512126</v>
      </c>
      <c r="B754" s="103">
        <v>599.99773000000005</v>
      </c>
      <c r="C754" s="103">
        <v>583.72226999999998</v>
      </c>
    </row>
    <row r="755" spans="1:3" x14ac:dyDescent="0.25">
      <c r="A755" s="108">
        <v>3622315</v>
      </c>
      <c r="B755" s="103">
        <v>604.32773000000009</v>
      </c>
      <c r="C755" s="103">
        <v>588.05227000000002</v>
      </c>
    </row>
    <row r="756" spans="1:3" x14ac:dyDescent="0.25">
      <c r="A756" s="108">
        <v>3342115</v>
      </c>
      <c r="B756" s="103">
        <v>606.09773000000007</v>
      </c>
      <c r="C756" s="103">
        <v>589.82227</v>
      </c>
    </row>
    <row r="757" spans="1:3" x14ac:dyDescent="0.25">
      <c r="A757" s="108">
        <v>3732357</v>
      </c>
      <c r="B757" s="103">
        <v>604.43772999999999</v>
      </c>
      <c r="C757" s="103">
        <v>588.16226999999992</v>
      </c>
    </row>
    <row r="758" spans="1:3" x14ac:dyDescent="0.25">
      <c r="A758" s="108">
        <v>3812122</v>
      </c>
      <c r="B758" s="103">
        <v>604.06772999999998</v>
      </c>
      <c r="C758" s="103">
        <v>587.79226999999992</v>
      </c>
    </row>
    <row r="759" spans="1:3" x14ac:dyDescent="0.25">
      <c r="A759" s="108">
        <v>3332136</v>
      </c>
      <c r="B759" s="103">
        <v>602.92773</v>
      </c>
      <c r="C759" s="103">
        <v>586.65226999999993</v>
      </c>
    </row>
    <row r="760" spans="1:3" x14ac:dyDescent="0.25">
      <c r="A760" s="108">
        <v>3642092</v>
      </c>
      <c r="B760" s="103">
        <v>610.26773000000003</v>
      </c>
      <c r="C760" s="103">
        <v>593.99226999999996</v>
      </c>
    </row>
    <row r="761" spans="1:3" x14ac:dyDescent="0.25">
      <c r="A761" s="108">
        <v>1412156</v>
      </c>
      <c r="B761" s="103">
        <v>601.57773000000009</v>
      </c>
      <c r="C761" s="103">
        <v>585.30227000000002</v>
      </c>
    </row>
    <row r="762" spans="1:3" x14ac:dyDescent="0.25">
      <c r="A762" s="108">
        <v>3532162</v>
      </c>
      <c r="B762" s="103">
        <v>600.98773000000006</v>
      </c>
      <c r="C762" s="103">
        <v>584.71226999999999</v>
      </c>
    </row>
    <row r="763" spans="1:3" x14ac:dyDescent="0.25">
      <c r="A763" s="108">
        <v>3832285</v>
      </c>
      <c r="B763" s="103">
        <v>603.87773000000004</v>
      </c>
      <c r="C763" s="103">
        <v>587.60226999999998</v>
      </c>
    </row>
    <row r="764" spans="1:3" x14ac:dyDescent="0.25">
      <c r="A764" s="108">
        <v>3532177</v>
      </c>
      <c r="B764" s="103">
        <v>597.42773</v>
      </c>
      <c r="C764" s="103">
        <v>581.15226999999993</v>
      </c>
    </row>
    <row r="765" spans="1:3" x14ac:dyDescent="0.25">
      <c r="A765" s="108">
        <v>3562192</v>
      </c>
      <c r="B765" s="103">
        <v>599.60773000000006</v>
      </c>
      <c r="C765" s="103">
        <v>583.33226999999999</v>
      </c>
    </row>
    <row r="766" spans="1:3" x14ac:dyDescent="0.25">
      <c r="A766" s="108">
        <v>3532355</v>
      </c>
      <c r="B766" s="103">
        <v>599.27773000000002</v>
      </c>
      <c r="C766" s="103">
        <v>583.00226999999995</v>
      </c>
    </row>
    <row r="767" spans="1:3" x14ac:dyDescent="0.25">
      <c r="A767" s="108">
        <v>3652202</v>
      </c>
      <c r="B767" s="103">
        <v>602.25773000000004</v>
      </c>
      <c r="C767" s="103">
        <v>585.98226999999997</v>
      </c>
    </row>
    <row r="768" spans="1:3" x14ac:dyDescent="0.25">
      <c r="A768" s="108">
        <v>3232031</v>
      </c>
      <c r="B768" s="103">
        <v>603.18772999999999</v>
      </c>
      <c r="C768" s="103">
        <v>586.91226999999992</v>
      </c>
    </row>
    <row r="769" spans="1:3" x14ac:dyDescent="0.25">
      <c r="A769" s="108">
        <v>3832165</v>
      </c>
      <c r="B769" s="103">
        <v>597.03773000000001</v>
      </c>
      <c r="C769" s="103">
        <v>580.76226999999994</v>
      </c>
    </row>
    <row r="770" spans="1:3" x14ac:dyDescent="0.25">
      <c r="A770" s="108">
        <v>3722243</v>
      </c>
      <c r="B770" s="103">
        <v>599.81772999999998</v>
      </c>
      <c r="C770" s="103">
        <v>583.54226999999992</v>
      </c>
    </row>
    <row r="771" spans="1:3" x14ac:dyDescent="0.25">
      <c r="A771" s="108">
        <v>6112184</v>
      </c>
      <c r="B771" s="103">
        <v>604.78773000000001</v>
      </c>
      <c r="C771" s="103">
        <v>588.51226999999994</v>
      </c>
    </row>
    <row r="772" spans="1:3" x14ac:dyDescent="0.25">
      <c r="A772" s="108">
        <v>3222075</v>
      </c>
      <c r="B772" s="103">
        <v>596.25773000000004</v>
      </c>
      <c r="C772" s="103">
        <v>579.98226999999997</v>
      </c>
    </row>
    <row r="773" spans="1:3" x14ac:dyDescent="0.25">
      <c r="A773" s="108">
        <v>3532282</v>
      </c>
      <c r="B773" s="103">
        <v>601.20773000000008</v>
      </c>
      <c r="C773" s="103">
        <v>584.93227000000002</v>
      </c>
    </row>
    <row r="774" spans="1:3" x14ac:dyDescent="0.25">
      <c r="A774" s="108">
        <v>3232255</v>
      </c>
      <c r="B774" s="103">
        <v>605.00773000000004</v>
      </c>
      <c r="C774" s="103">
        <v>588.73226999999997</v>
      </c>
    </row>
    <row r="775" spans="1:3" x14ac:dyDescent="0.25">
      <c r="A775" s="108">
        <v>3732284</v>
      </c>
      <c r="B775" s="103">
        <v>597.06772999999998</v>
      </c>
      <c r="C775" s="103">
        <v>580.79226999999992</v>
      </c>
    </row>
    <row r="776" spans="1:3" x14ac:dyDescent="0.25">
      <c r="A776" s="108">
        <v>3232135</v>
      </c>
      <c r="B776" s="103">
        <v>596.51773000000003</v>
      </c>
      <c r="C776" s="103">
        <v>580.24226999999996</v>
      </c>
    </row>
    <row r="777" spans="1:3" x14ac:dyDescent="0.25">
      <c r="A777" s="108">
        <v>3222102</v>
      </c>
      <c r="B777" s="103">
        <v>600.22773000000007</v>
      </c>
      <c r="C777" s="103">
        <v>583.95227</v>
      </c>
    </row>
    <row r="778" spans="1:3" x14ac:dyDescent="0.25">
      <c r="A778" s="108">
        <v>3332191</v>
      </c>
      <c r="B778" s="103">
        <v>601.41773000000001</v>
      </c>
      <c r="C778" s="103">
        <v>585.14226999999994</v>
      </c>
    </row>
    <row r="779" spans="1:3" x14ac:dyDescent="0.25">
      <c r="A779" s="108">
        <v>3852034</v>
      </c>
      <c r="B779" s="103">
        <v>600.19772999999998</v>
      </c>
      <c r="C779" s="103">
        <v>583.92226999999991</v>
      </c>
    </row>
    <row r="780" spans="1:3" x14ac:dyDescent="0.25">
      <c r="A780" s="108">
        <v>1412067</v>
      </c>
      <c r="B780" s="103">
        <v>607.41773000000001</v>
      </c>
      <c r="C780" s="103">
        <v>591.14226999999994</v>
      </c>
    </row>
    <row r="781" spans="1:3" x14ac:dyDescent="0.25">
      <c r="A781" s="108">
        <v>3712094</v>
      </c>
      <c r="B781" s="103">
        <v>602.47773000000007</v>
      </c>
      <c r="C781" s="103">
        <v>586.20227</v>
      </c>
    </row>
    <row r="782" spans="1:3" x14ac:dyDescent="0.25">
      <c r="A782" s="108">
        <v>3342123</v>
      </c>
      <c r="B782" s="103">
        <v>595.56772999999998</v>
      </c>
      <c r="C782" s="103">
        <v>579.29226999999992</v>
      </c>
    </row>
    <row r="783" spans="1:3" x14ac:dyDescent="0.25">
      <c r="A783" s="108">
        <v>3222141</v>
      </c>
      <c r="B783" s="103">
        <v>602.15773000000002</v>
      </c>
      <c r="C783" s="103">
        <v>585.88226999999995</v>
      </c>
    </row>
    <row r="784" spans="1:3" x14ac:dyDescent="0.25">
      <c r="A784" s="108">
        <v>3852065</v>
      </c>
      <c r="B784" s="103">
        <v>599.27773000000002</v>
      </c>
      <c r="C784" s="103">
        <v>583.00226999999995</v>
      </c>
    </row>
    <row r="785" spans="1:3" x14ac:dyDescent="0.25">
      <c r="A785" s="108">
        <v>3232216</v>
      </c>
      <c r="B785" s="103">
        <v>603.23773000000006</v>
      </c>
      <c r="C785" s="103">
        <v>586.96226999999999</v>
      </c>
    </row>
    <row r="786" spans="1:3" x14ac:dyDescent="0.25">
      <c r="A786" s="108">
        <v>6112064</v>
      </c>
      <c r="B786" s="103">
        <v>612.63773000000003</v>
      </c>
      <c r="C786" s="103">
        <v>596.36226999999997</v>
      </c>
    </row>
    <row r="787" spans="1:3" x14ac:dyDescent="0.25">
      <c r="A787" s="108">
        <v>3232062</v>
      </c>
      <c r="B787" s="103">
        <v>601.16773000000001</v>
      </c>
      <c r="C787" s="103">
        <v>584.89226999999994</v>
      </c>
    </row>
    <row r="788" spans="1:3" x14ac:dyDescent="0.25">
      <c r="A788" s="108">
        <v>3622056</v>
      </c>
      <c r="B788" s="103">
        <v>593.36773000000005</v>
      </c>
      <c r="C788" s="103">
        <v>577.09226999999998</v>
      </c>
    </row>
    <row r="789" spans="1:3" x14ac:dyDescent="0.25">
      <c r="A789" s="108">
        <v>3832061</v>
      </c>
      <c r="B789" s="103">
        <v>601.23773000000006</v>
      </c>
      <c r="C789" s="103">
        <v>584.96226999999999</v>
      </c>
    </row>
    <row r="790" spans="1:3" x14ac:dyDescent="0.25">
      <c r="A790" s="108">
        <v>3232104</v>
      </c>
      <c r="B790" s="103">
        <v>595.51773000000003</v>
      </c>
      <c r="C790" s="103">
        <v>579.24226999999996</v>
      </c>
    </row>
    <row r="791" spans="1:3" x14ac:dyDescent="0.25">
      <c r="A791" s="108">
        <v>3562281</v>
      </c>
      <c r="B791" s="103">
        <v>596.84773000000007</v>
      </c>
      <c r="C791" s="103">
        <v>580.57227</v>
      </c>
    </row>
    <row r="792" spans="1:3" x14ac:dyDescent="0.25">
      <c r="A792" s="108">
        <v>3732292</v>
      </c>
      <c r="B792" s="103">
        <v>601.30772999999999</v>
      </c>
      <c r="C792" s="103">
        <v>585.03226999999993</v>
      </c>
    </row>
    <row r="793" spans="1:3" x14ac:dyDescent="0.25">
      <c r="A793" s="108">
        <v>3332175</v>
      </c>
      <c r="B793" s="103">
        <v>599.95773000000008</v>
      </c>
      <c r="C793" s="103">
        <v>583.68227000000002</v>
      </c>
    </row>
    <row r="794" spans="1:3" x14ac:dyDescent="0.25">
      <c r="A794" s="108">
        <v>3232143</v>
      </c>
      <c r="B794" s="103">
        <v>594.90773000000002</v>
      </c>
      <c r="C794" s="103">
        <v>578.63226999999995</v>
      </c>
    </row>
    <row r="795" spans="1:3" x14ac:dyDescent="0.25">
      <c r="A795" s="108">
        <v>3532235</v>
      </c>
      <c r="B795" s="103">
        <v>600.38773000000003</v>
      </c>
      <c r="C795" s="103">
        <v>584.11226999999997</v>
      </c>
    </row>
    <row r="796" spans="1:3" x14ac:dyDescent="0.25">
      <c r="A796" s="108">
        <v>3222454</v>
      </c>
      <c r="B796" s="103">
        <v>597.84773000000007</v>
      </c>
      <c r="C796" s="103">
        <v>581.57227</v>
      </c>
    </row>
    <row r="797" spans="1:3" x14ac:dyDescent="0.25">
      <c r="A797" s="108">
        <v>3232375</v>
      </c>
      <c r="B797" s="103">
        <v>595.67773</v>
      </c>
      <c r="C797" s="103">
        <v>579.40226999999993</v>
      </c>
    </row>
    <row r="798" spans="1:3" x14ac:dyDescent="0.25">
      <c r="A798" s="108">
        <v>3552015</v>
      </c>
      <c r="B798" s="103">
        <v>596.32773000000009</v>
      </c>
      <c r="C798" s="103">
        <v>580.05227000000002</v>
      </c>
    </row>
    <row r="799" spans="1:3" x14ac:dyDescent="0.25">
      <c r="A799" s="108">
        <v>3532185</v>
      </c>
      <c r="B799" s="103">
        <v>597.46773000000007</v>
      </c>
      <c r="C799" s="103">
        <v>581.19227000000001</v>
      </c>
    </row>
    <row r="800" spans="1:3" x14ac:dyDescent="0.25">
      <c r="A800" s="108">
        <v>3562114</v>
      </c>
      <c r="B800" s="103">
        <v>598.47773000000007</v>
      </c>
      <c r="C800" s="103">
        <v>582.20227</v>
      </c>
    </row>
    <row r="801" spans="1:3" x14ac:dyDescent="0.25">
      <c r="A801" s="108">
        <v>3342057</v>
      </c>
      <c r="B801" s="103">
        <v>602.05772999999999</v>
      </c>
      <c r="C801" s="103">
        <v>585.78226999999993</v>
      </c>
    </row>
    <row r="802" spans="1:3" x14ac:dyDescent="0.25">
      <c r="A802" s="108">
        <v>3622281</v>
      </c>
      <c r="B802" s="103">
        <v>598.51773000000003</v>
      </c>
      <c r="C802" s="103">
        <v>582.24226999999996</v>
      </c>
    </row>
    <row r="803" spans="1:3" x14ac:dyDescent="0.25">
      <c r="A803" s="108">
        <v>3332345</v>
      </c>
      <c r="B803" s="103">
        <v>593.77773000000002</v>
      </c>
      <c r="C803" s="103">
        <v>577.50226999999995</v>
      </c>
    </row>
    <row r="804" spans="1:3" x14ac:dyDescent="0.25">
      <c r="A804" s="108">
        <v>3522016</v>
      </c>
      <c r="B804" s="103">
        <v>596.78773000000001</v>
      </c>
      <c r="C804" s="103">
        <v>580.51226999999994</v>
      </c>
    </row>
    <row r="805" spans="1:3" x14ac:dyDescent="0.25">
      <c r="A805" s="108">
        <v>3332337</v>
      </c>
      <c r="B805" s="103">
        <v>598.80772999999999</v>
      </c>
      <c r="C805" s="103">
        <v>582.53226999999993</v>
      </c>
    </row>
    <row r="806" spans="1:3" x14ac:dyDescent="0.25">
      <c r="A806" s="108">
        <v>3812056</v>
      </c>
      <c r="B806" s="103">
        <v>602.77773000000002</v>
      </c>
      <c r="C806" s="103">
        <v>586.50226999999995</v>
      </c>
    </row>
    <row r="807" spans="1:3" x14ac:dyDescent="0.25">
      <c r="A807" s="108">
        <v>3342371</v>
      </c>
      <c r="B807" s="103">
        <v>595.26773000000003</v>
      </c>
      <c r="C807" s="103">
        <v>578.99226999999996</v>
      </c>
    </row>
    <row r="808" spans="1:3" x14ac:dyDescent="0.25">
      <c r="A808" s="108">
        <v>3562404</v>
      </c>
      <c r="B808" s="103">
        <v>594.89773000000002</v>
      </c>
      <c r="C808" s="103">
        <v>578.62226999999996</v>
      </c>
    </row>
    <row r="809" spans="1:3" x14ac:dyDescent="0.25">
      <c r="A809" s="108">
        <v>3532301</v>
      </c>
      <c r="B809" s="103">
        <v>590.12773000000004</v>
      </c>
      <c r="C809" s="103">
        <v>573.85226999999998</v>
      </c>
    </row>
    <row r="810" spans="1:3" x14ac:dyDescent="0.25">
      <c r="A810" s="108">
        <v>3832312</v>
      </c>
      <c r="B810" s="103">
        <v>596.11773000000005</v>
      </c>
      <c r="C810" s="103">
        <v>579.84226999999998</v>
      </c>
    </row>
    <row r="811" spans="1:3" x14ac:dyDescent="0.25">
      <c r="A811" s="108">
        <v>3222187</v>
      </c>
      <c r="B811" s="103">
        <v>596.46773000000007</v>
      </c>
      <c r="C811" s="103">
        <v>580.19227000000001</v>
      </c>
    </row>
    <row r="812" spans="1:3" x14ac:dyDescent="0.25">
      <c r="A812" s="108">
        <v>3342347</v>
      </c>
      <c r="B812" s="103">
        <v>593.12773000000004</v>
      </c>
      <c r="C812" s="103">
        <v>576.85226999999998</v>
      </c>
    </row>
    <row r="813" spans="1:3" x14ac:dyDescent="0.25">
      <c r="A813" s="108">
        <v>3512134</v>
      </c>
      <c r="B813" s="103">
        <v>588.56772999999998</v>
      </c>
      <c r="C813" s="103">
        <v>572.29226999999992</v>
      </c>
    </row>
    <row r="814" spans="1:3" x14ac:dyDescent="0.25">
      <c r="A814" s="108">
        <v>3722274</v>
      </c>
      <c r="B814" s="103">
        <v>596.02773000000002</v>
      </c>
      <c r="C814" s="103">
        <v>579.75226999999995</v>
      </c>
    </row>
    <row r="815" spans="1:3" x14ac:dyDescent="0.25">
      <c r="A815" s="108">
        <v>7112114</v>
      </c>
      <c r="B815" s="103">
        <v>599.10773000000006</v>
      </c>
      <c r="C815" s="103">
        <v>582.83226999999999</v>
      </c>
    </row>
    <row r="816" spans="1:3" x14ac:dyDescent="0.25">
      <c r="A816" s="108">
        <v>3732261</v>
      </c>
      <c r="B816" s="103">
        <v>599.43772999999999</v>
      </c>
      <c r="C816" s="103">
        <v>583.16226999999992</v>
      </c>
    </row>
    <row r="817" spans="1:3" x14ac:dyDescent="0.25">
      <c r="A817" s="108">
        <v>3242087</v>
      </c>
      <c r="B817" s="103">
        <v>595.02773000000002</v>
      </c>
      <c r="C817" s="103">
        <v>578.75226999999995</v>
      </c>
    </row>
    <row r="818" spans="1:3" x14ac:dyDescent="0.25">
      <c r="A818" s="108">
        <v>3832382</v>
      </c>
      <c r="B818" s="103">
        <v>595.97773000000007</v>
      </c>
      <c r="C818" s="103">
        <v>579.70227</v>
      </c>
    </row>
    <row r="819" spans="1:3" x14ac:dyDescent="0.25">
      <c r="A819" s="108">
        <v>3832277</v>
      </c>
      <c r="B819" s="103">
        <v>599.50773000000004</v>
      </c>
      <c r="C819" s="103">
        <v>583.23226999999997</v>
      </c>
    </row>
    <row r="820" spans="1:3" x14ac:dyDescent="0.25">
      <c r="A820" s="108">
        <v>3652272</v>
      </c>
      <c r="B820" s="103">
        <v>596.30772999999999</v>
      </c>
      <c r="C820" s="103">
        <v>580.03226999999993</v>
      </c>
    </row>
    <row r="821" spans="1:3" x14ac:dyDescent="0.25">
      <c r="A821" s="108">
        <v>3722282</v>
      </c>
      <c r="B821" s="103">
        <v>595.95773000000008</v>
      </c>
      <c r="C821" s="103">
        <v>579.68227000000002</v>
      </c>
    </row>
    <row r="822" spans="1:3" x14ac:dyDescent="0.25">
      <c r="A822" s="108">
        <v>3232352</v>
      </c>
      <c r="B822" s="103">
        <v>595.53773000000001</v>
      </c>
      <c r="C822" s="103">
        <v>579.26226999999994</v>
      </c>
    </row>
    <row r="823" spans="1:3" x14ac:dyDescent="0.25">
      <c r="A823" s="108">
        <v>3562025</v>
      </c>
      <c r="B823" s="103">
        <v>588.80772999999999</v>
      </c>
      <c r="C823" s="103">
        <v>572.53226999999993</v>
      </c>
    </row>
    <row r="824" spans="1:3" x14ac:dyDescent="0.25">
      <c r="A824" s="108">
        <v>3222431</v>
      </c>
      <c r="B824" s="103">
        <v>589.46773000000007</v>
      </c>
      <c r="C824" s="103">
        <v>573.19227000000001</v>
      </c>
    </row>
    <row r="825" spans="1:3" x14ac:dyDescent="0.25">
      <c r="A825" s="108">
        <v>3562064</v>
      </c>
      <c r="B825" s="103">
        <v>597.54773</v>
      </c>
      <c r="C825" s="103">
        <v>581.27226999999993</v>
      </c>
    </row>
    <row r="826" spans="1:3" x14ac:dyDescent="0.25">
      <c r="A826" s="108">
        <v>3342081</v>
      </c>
      <c r="B826" s="103">
        <v>597.94772999999998</v>
      </c>
      <c r="C826" s="103">
        <v>581.67226999999991</v>
      </c>
    </row>
    <row r="827" spans="1:3" x14ac:dyDescent="0.25">
      <c r="A827" s="108">
        <v>3562296</v>
      </c>
      <c r="B827" s="103">
        <v>591.69772999999998</v>
      </c>
      <c r="C827" s="103">
        <v>575.42226999999991</v>
      </c>
    </row>
    <row r="828" spans="1:3" x14ac:dyDescent="0.25">
      <c r="A828" s="108">
        <v>3112033</v>
      </c>
      <c r="B828" s="103">
        <v>595.15773000000002</v>
      </c>
      <c r="C828" s="103">
        <v>578.88226999999995</v>
      </c>
    </row>
    <row r="829" spans="1:3" x14ac:dyDescent="0.25">
      <c r="A829" s="108">
        <v>3732102</v>
      </c>
      <c r="B829" s="103">
        <v>604.35773000000006</v>
      </c>
      <c r="C829" s="103">
        <v>588.08226999999999</v>
      </c>
    </row>
    <row r="830" spans="1:3" x14ac:dyDescent="0.25">
      <c r="A830" s="108">
        <v>3832092</v>
      </c>
      <c r="B830" s="103">
        <v>597.25773000000004</v>
      </c>
      <c r="C830" s="103">
        <v>580.98226999999997</v>
      </c>
    </row>
    <row r="831" spans="1:3" x14ac:dyDescent="0.25">
      <c r="A831" s="108">
        <v>3342026</v>
      </c>
      <c r="B831" s="103">
        <v>589.17773</v>
      </c>
      <c r="C831" s="103">
        <v>572.90226999999993</v>
      </c>
    </row>
    <row r="832" spans="1:3" x14ac:dyDescent="0.25">
      <c r="A832" s="108">
        <v>3522024</v>
      </c>
      <c r="B832" s="103">
        <v>590.80772999999999</v>
      </c>
      <c r="C832" s="103">
        <v>574.53226999999993</v>
      </c>
    </row>
    <row r="833" spans="1:3" x14ac:dyDescent="0.25">
      <c r="A833" s="108">
        <v>3642111</v>
      </c>
      <c r="B833" s="103">
        <v>593.41773000000001</v>
      </c>
      <c r="C833" s="103">
        <v>577.14226999999994</v>
      </c>
    </row>
    <row r="834" spans="1:3" x14ac:dyDescent="0.25">
      <c r="A834" s="108">
        <v>3232367</v>
      </c>
      <c r="B834" s="103">
        <v>592.42773</v>
      </c>
      <c r="C834" s="103">
        <v>576.15226999999993</v>
      </c>
    </row>
    <row r="835" spans="1:3" x14ac:dyDescent="0.25">
      <c r="A835" s="108">
        <v>1412117</v>
      </c>
      <c r="B835" s="103">
        <v>594.96773000000007</v>
      </c>
      <c r="C835" s="103">
        <v>578.69227000000001</v>
      </c>
    </row>
    <row r="836" spans="1:3" x14ac:dyDescent="0.25">
      <c r="A836" s="108">
        <v>1412013</v>
      </c>
      <c r="B836" s="103">
        <v>592.79773</v>
      </c>
      <c r="C836" s="103">
        <v>576.52226999999993</v>
      </c>
    </row>
    <row r="837" spans="1:3" x14ac:dyDescent="0.25">
      <c r="A837" s="108">
        <v>3342394</v>
      </c>
      <c r="B837" s="103">
        <v>586.48773000000006</v>
      </c>
      <c r="C837" s="103">
        <v>570.21226999999999</v>
      </c>
    </row>
    <row r="838" spans="1:3" x14ac:dyDescent="0.25">
      <c r="A838" s="108">
        <v>3622362</v>
      </c>
      <c r="B838" s="103">
        <v>588.24773000000005</v>
      </c>
      <c r="C838" s="103">
        <v>571.97226999999998</v>
      </c>
    </row>
    <row r="839" spans="1:3" x14ac:dyDescent="0.25">
      <c r="A839" s="108">
        <v>3512142</v>
      </c>
      <c r="B839" s="103">
        <v>590.45773000000008</v>
      </c>
      <c r="C839" s="103">
        <v>574.18227000000002</v>
      </c>
    </row>
    <row r="840" spans="1:3" x14ac:dyDescent="0.25">
      <c r="A840" s="108">
        <v>3722324</v>
      </c>
      <c r="B840" s="103">
        <v>586.28773000000001</v>
      </c>
      <c r="C840" s="103">
        <v>570.01226999999994</v>
      </c>
    </row>
    <row r="841" spans="1:3" x14ac:dyDescent="0.25">
      <c r="A841" s="108">
        <v>3832215</v>
      </c>
      <c r="B841" s="103">
        <v>590.19772999999998</v>
      </c>
      <c r="C841" s="103">
        <v>573.92226999999991</v>
      </c>
    </row>
    <row r="842" spans="1:3" x14ac:dyDescent="0.25">
      <c r="A842" s="108">
        <v>3342316</v>
      </c>
      <c r="B842" s="103">
        <v>592.60773000000006</v>
      </c>
      <c r="C842" s="103">
        <v>576.33226999999999</v>
      </c>
    </row>
    <row r="843" spans="1:3" x14ac:dyDescent="0.25">
      <c r="A843" s="108">
        <v>3512092</v>
      </c>
      <c r="B843" s="103">
        <v>592.06772999999998</v>
      </c>
      <c r="C843" s="103">
        <v>575.79226999999992</v>
      </c>
    </row>
    <row r="844" spans="1:3" x14ac:dyDescent="0.25">
      <c r="A844" s="108">
        <v>3832173</v>
      </c>
      <c r="B844" s="103">
        <v>586.42773</v>
      </c>
      <c r="C844" s="103">
        <v>570.15226999999993</v>
      </c>
    </row>
    <row r="845" spans="1:3" x14ac:dyDescent="0.25">
      <c r="A845" s="108">
        <v>3642076</v>
      </c>
      <c r="B845" s="103">
        <v>599.29773</v>
      </c>
      <c r="C845" s="103">
        <v>583.02226999999993</v>
      </c>
    </row>
    <row r="846" spans="1:3" x14ac:dyDescent="0.25">
      <c r="A846" s="108">
        <v>3812153</v>
      </c>
      <c r="B846" s="103">
        <v>590.15773000000002</v>
      </c>
      <c r="C846" s="103">
        <v>573.88226999999995</v>
      </c>
    </row>
    <row r="847" spans="1:3" x14ac:dyDescent="0.25">
      <c r="A847" s="108">
        <v>3852026</v>
      </c>
      <c r="B847" s="103">
        <v>591.56772999999998</v>
      </c>
      <c r="C847" s="103">
        <v>575.29226999999992</v>
      </c>
    </row>
    <row r="848" spans="1:3" x14ac:dyDescent="0.25">
      <c r="A848" s="108">
        <v>3652287</v>
      </c>
      <c r="B848" s="103">
        <v>592.25773000000004</v>
      </c>
      <c r="C848" s="103">
        <v>575.98226999999997</v>
      </c>
    </row>
    <row r="849" spans="1:3" x14ac:dyDescent="0.25">
      <c r="A849" s="108">
        <v>3562211</v>
      </c>
      <c r="B849" s="103">
        <v>591.16773000000001</v>
      </c>
      <c r="C849" s="103">
        <v>574.89226999999994</v>
      </c>
    </row>
    <row r="850" spans="1:3" x14ac:dyDescent="0.25">
      <c r="A850" s="108">
        <v>3232093</v>
      </c>
      <c r="B850" s="103">
        <v>589.76773000000003</v>
      </c>
      <c r="C850" s="103">
        <v>573.49226999999996</v>
      </c>
    </row>
    <row r="851" spans="1:3" x14ac:dyDescent="0.25">
      <c r="A851" s="108">
        <v>3622296</v>
      </c>
      <c r="B851" s="103">
        <v>588.71773000000007</v>
      </c>
      <c r="C851" s="103">
        <v>572.44227000000001</v>
      </c>
    </row>
    <row r="852" spans="1:3" x14ac:dyDescent="0.25">
      <c r="A852" s="108">
        <v>3852081</v>
      </c>
      <c r="B852" s="103">
        <v>591.34773000000007</v>
      </c>
      <c r="C852" s="103">
        <v>575.07227</v>
      </c>
    </row>
    <row r="853" spans="1:3" x14ac:dyDescent="0.25">
      <c r="A853" s="108">
        <v>5412195</v>
      </c>
      <c r="B853" s="103">
        <v>595.79773</v>
      </c>
      <c r="C853" s="103">
        <v>579.52226999999993</v>
      </c>
    </row>
    <row r="854" spans="1:3" x14ac:dyDescent="0.25">
      <c r="A854" s="108">
        <v>3562265</v>
      </c>
      <c r="B854" s="103">
        <v>585.74773000000005</v>
      </c>
      <c r="C854" s="103">
        <v>569.47226999999998</v>
      </c>
    </row>
    <row r="855" spans="1:3" x14ac:dyDescent="0.25">
      <c r="A855" s="108">
        <v>3832447</v>
      </c>
      <c r="B855" s="103">
        <v>584.84773000000007</v>
      </c>
      <c r="C855" s="103">
        <v>568.57227</v>
      </c>
    </row>
    <row r="856" spans="1:3" x14ac:dyDescent="0.25">
      <c r="A856" s="108">
        <v>3832262</v>
      </c>
      <c r="B856" s="103">
        <v>585.39773000000002</v>
      </c>
      <c r="C856" s="103">
        <v>569.12226999999996</v>
      </c>
    </row>
    <row r="857" spans="1:3" x14ac:dyDescent="0.25">
      <c r="A857" s="108">
        <v>3232344</v>
      </c>
      <c r="B857" s="103">
        <v>594.06772999999998</v>
      </c>
      <c r="C857" s="103">
        <v>577.79226999999992</v>
      </c>
    </row>
    <row r="858" spans="1:3" x14ac:dyDescent="0.25">
      <c r="A858" s="108">
        <v>3562017</v>
      </c>
      <c r="B858" s="103">
        <v>588.24773000000005</v>
      </c>
      <c r="C858" s="103">
        <v>571.97226999999998</v>
      </c>
    </row>
    <row r="859" spans="1:3" x14ac:dyDescent="0.25">
      <c r="A859" s="108">
        <v>3812137</v>
      </c>
      <c r="B859" s="103">
        <v>597.04773</v>
      </c>
      <c r="C859" s="103">
        <v>580.77226999999993</v>
      </c>
    </row>
    <row r="860" spans="1:3" x14ac:dyDescent="0.25">
      <c r="A860" s="108">
        <v>3832111</v>
      </c>
      <c r="B860" s="103">
        <v>588.84773000000007</v>
      </c>
      <c r="C860" s="103">
        <v>572.57227</v>
      </c>
    </row>
    <row r="861" spans="1:3" x14ac:dyDescent="0.25">
      <c r="A861" s="108">
        <v>3622041</v>
      </c>
      <c r="B861" s="103">
        <v>588.91773000000001</v>
      </c>
      <c r="C861" s="103">
        <v>572.64226999999994</v>
      </c>
    </row>
    <row r="862" spans="1:3" x14ac:dyDescent="0.25">
      <c r="A862" s="108">
        <v>3732253</v>
      </c>
      <c r="B862" s="103">
        <v>590.25773000000004</v>
      </c>
      <c r="C862" s="103">
        <v>573.98226999999997</v>
      </c>
    </row>
    <row r="863" spans="1:3" x14ac:dyDescent="0.25">
      <c r="A863" s="108">
        <v>3562056</v>
      </c>
      <c r="B863" s="103">
        <v>587.22773000000007</v>
      </c>
      <c r="C863" s="103">
        <v>570.95227</v>
      </c>
    </row>
    <row r="864" spans="1:3" x14ac:dyDescent="0.25">
      <c r="A864" s="108">
        <v>3652217</v>
      </c>
      <c r="B864" s="103">
        <v>584.84773000000007</v>
      </c>
      <c r="C864" s="103">
        <v>568.57227</v>
      </c>
    </row>
    <row r="865" spans="1:3" x14ac:dyDescent="0.25">
      <c r="A865" s="108">
        <v>3562435</v>
      </c>
      <c r="B865" s="103">
        <v>581.94772999999998</v>
      </c>
      <c r="C865" s="103">
        <v>565.67226999999991</v>
      </c>
    </row>
    <row r="866" spans="1:3" x14ac:dyDescent="0.25">
      <c r="A866" s="108">
        <v>3232336</v>
      </c>
      <c r="B866" s="103">
        <v>591.40773000000002</v>
      </c>
      <c r="C866" s="103">
        <v>575.13226999999995</v>
      </c>
    </row>
    <row r="867" spans="1:3" x14ac:dyDescent="0.25">
      <c r="A867" s="108">
        <v>3562346</v>
      </c>
      <c r="B867" s="103">
        <v>585.63773000000003</v>
      </c>
      <c r="C867" s="103">
        <v>569.36226999999997</v>
      </c>
    </row>
    <row r="868" spans="1:3" x14ac:dyDescent="0.25">
      <c r="A868" s="108">
        <v>1212107</v>
      </c>
      <c r="B868" s="103">
        <v>594.33773000000008</v>
      </c>
      <c r="C868" s="103">
        <v>578.06227000000001</v>
      </c>
    </row>
    <row r="869" spans="1:3" x14ac:dyDescent="0.25">
      <c r="A869" s="108">
        <v>3232321</v>
      </c>
      <c r="B869" s="103">
        <v>589.63773000000003</v>
      </c>
      <c r="C869" s="103">
        <v>573.36226999999997</v>
      </c>
    </row>
    <row r="870" spans="1:3" x14ac:dyDescent="0.25">
      <c r="A870" s="108">
        <v>3532193</v>
      </c>
      <c r="B870" s="103">
        <v>586.94772999999998</v>
      </c>
      <c r="C870" s="103">
        <v>570.67226999999991</v>
      </c>
    </row>
    <row r="871" spans="1:3" x14ac:dyDescent="0.25">
      <c r="A871" s="108">
        <v>3342193</v>
      </c>
      <c r="B871" s="103">
        <v>592.85773000000006</v>
      </c>
      <c r="C871" s="103">
        <v>576.58226999999999</v>
      </c>
    </row>
    <row r="872" spans="1:3" x14ac:dyDescent="0.25">
      <c r="A872" s="108">
        <v>3732036</v>
      </c>
      <c r="B872" s="103">
        <v>586.28773000000001</v>
      </c>
      <c r="C872" s="103">
        <v>570.01226999999994</v>
      </c>
    </row>
    <row r="873" spans="1:3" x14ac:dyDescent="0.25">
      <c r="A873" s="108">
        <v>1312012</v>
      </c>
      <c r="B873" s="103">
        <v>595.78773000000001</v>
      </c>
      <c r="C873" s="103">
        <v>579.51226999999994</v>
      </c>
    </row>
    <row r="874" spans="1:3" x14ac:dyDescent="0.25">
      <c r="A874" s="108">
        <v>3652241</v>
      </c>
      <c r="B874" s="103">
        <v>585.20773000000008</v>
      </c>
      <c r="C874" s="103">
        <v>568.93227000000002</v>
      </c>
    </row>
    <row r="875" spans="1:3" x14ac:dyDescent="0.25">
      <c r="A875" s="108">
        <v>3342131</v>
      </c>
      <c r="B875" s="103">
        <v>588.69772999999998</v>
      </c>
      <c r="C875" s="103">
        <v>572.42226999999991</v>
      </c>
    </row>
    <row r="876" spans="1:3" x14ac:dyDescent="0.25">
      <c r="A876" s="108">
        <v>3232077</v>
      </c>
      <c r="B876" s="103">
        <v>591.76773000000003</v>
      </c>
      <c r="C876" s="103">
        <v>575.49226999999996</v>
      </c>
    </row>
    <row r="877" spans="1:3" x14ac:dyDescent="0.25">
      <c r="A877" s="108">
        <v>3422085</v>
      </c>
      <c r="B877" s="103">
        <v>593.93772999999999</v>
      </c>
      <c r="C877" s="103">
        <v>577.66226999999992</v>
      </c>
    </row>
    <row r="878" spans="1:3" x14ac:dyDescent="0.25">
      <c r="A878" s="108">
        <v>3222133</v>
      </c>
      <c r="B878" s="103">
        <v>584.85773000000006</v>
      </c>
      <c r="C878" s="103">
        <v>568.58226999999999</v>
      </c>
    </row>
    <row r="879" spans="1:3" x14ac:dyDescent="0.25">
      <c r="A879" s="108">
        <v>3232383</v>
      </c>
      <c r="B879" s="103">
        <v>592.53773000000001</v>
      </c>
      <c r="C879" s="103">
        <v>576.26226999999994</v>
      </c>
    </row>
    <row r="880" spans="1:3" x14ac:dyDescent="0.25">
      <c r="A880" s="108">
        <v>3222117</v>
      </c>
      <c r="B880" s="103">
        <v>586.75773000000004</v>
      </c>
      <c r="C880" s="103">
        <v>570.48226999999997</v>
      </c>
    </row>
    <row r="881" spans="1:3" x14ac:dyDescent="0.25">
      <c r="A881" s="108">
        <v>3832424</v>
      </c>
      <c r="B881" s="103">
        <v>584.22773000000007</v>
      </c>
      <c r="C881" s="103">
        <v>567.95227</v>
      </c>
    </row>
    <row r="882" spans="1:3" x14ac:dyDescent="0.25">
      <c r="A882" s="108">
        <v>6112072</v>
      </c>
      <c r="B882" s="103">
        <v>595.14773000000002</v>
      </c>
      <c r="C882" s="103">
        <v>578.87226999999996</v>
      </c>
    </row>
    <row r="883" spans="1:3" x14ac:dyDescent="0.25">
      <c r="A883" s="108">
        <v>3522032</v>
      </c>
      <c r="B883" s="103">
        <v>587.88773000000003</v>
      </c>
      <c r="C883" s="103">
        <v>571.61226999999997</v>
      </c>
    </row>
    <row r="884" spans="1:3" x14ac:dyDescent="0.25">
      <c r="A884" s="108">
        <v>3732373</v>
      </c>
      <c r="B884" s="103">
        <v>584.87773000000004</v>
      </c>
      <c r="C884" s="103">
        <v>568.60226999999998</v>
      </c>
    </row>
    <row r="885" spans="1:3" x14ac:dyDescent="0.25">
      <c r="A885" s="108">
        <v>3832223</v>
      </c>
      <c r="B885" s="103">
        <v>586.41773000000001</v>
      </c>
      <c r="C885" s="103">
        <v>570.14226999999994</v>
      </c>
    </row>
    <row r="886" spans="1:3" x14ac:dyDescent="0.25">
      <c r="A886" s="108">
        <v>6112145</v>
      </c>
      <c r="B886" s="103">
        <v>587.38773000000003</v>
      </c>
      <c r="C886" s="103">
        <v>571.11226999999997</v>
      </c>
    </row>
    <row r="887" spans="1:3" x14ac:dyDescent="0.25">
      <c r="A887" s="108">
        <v>3712086</v>
      </c>
      <c r="B887" s="103">
        <v>593.64773000000002</v>
      </c>
      <c r="C887" s="103">
        <v>577.37226999999996</v>
      </c>
    </row>
    <row r="888" spans="1:3" x14ac:dyDescent="0.25">
      <c r="A888" s="108">
        <v>1912073</v>
      </c>
      <c r="B888" s="103">
        <v>587.73773000000006</v>
      </c>
      <c r="C888" s="103">
        <v>571.46226999999999</v>
      </c>
    </row>
    <row r="889" spans="1:3" x14ac:dyDescent="0.25">
      <c r="A889" s="108">
        <v>3532115</v>
      </c>
      <c r="B889" s="103">
        <v>581.61773000000005</v>
      </c>
      <c r="C889" s="103">
        <v>565.34226999999998</v>
      </c>
    </row>
    <row r="890" spans="1:3" x14ac:dyDescent="0.25">
      <c r="A890" s="108">
        <v>3562041</v>
      </c>
      <c r="B890" s="103">
        <v>582.99773000000005</v>
      </c>
      <c r="C890" s="103">
        <v>566.72226999999998</v>
      </c>
    </row>
    <row r="891" spans="1:3" x14ac:dyDescent="0.25">
      <c r="A891" s="108">
        <v>1412021</v>
      </c>
      <c r="B891" s="103">
        <v>592.93772999999999</v>
      </c>
      <c r="C891" s="103">
        <v>576.66226999999992</v>
      </c>
    </row>
    <row r="892" spans="1:3" x14ac:dyDescent="0.25">
      <c r="A892" s="108">
        <v>3732365</v>
      </c>
      <c r="B892" s="103">
        <v>587.21773000000007</v>
      </c>
      <c r="C892" s="103">
        <v>570.94227000000001</v>
      </c>
    </row>
    <row r="893" spans="1:3" x14ac:dyDescent="0.25">
      <c r="A893" s="108">
        <v>3522071</v>
      </c>
      <c r="B893" s="103">
        <v>587.48773000000006</v>
      </c>
      <c r="C893" s="103">
        <v>571.21226999999999</v>
      </c>
    </row>
    <row r="894" spans="1:3" x14ac:dyDescent="0.25">
      <c r="A894" s="108">
        <v>3722297</v>
      </c>
      <c r="B894" s="103">
        <v>583.28773000000001</v>
      </c>
      <c r="C894" s="103">
        <v>567.01226999999994</v>
      </c>
    </row>
    <row r="895" spans="1:3" x14ac:dyDescent="0.25">
      <c r="A895" s="108">
        <v>1412091</v>
      </c>
      <c r="B895" s="103">
        <v>587.77773000000002</v>
      </c>
      <c r="C895" s="103">
        <v>571.50226999999995</v>
      </c>
    </row>
    <row r="896" spans="1:3" x14ac:dyDescent="0.25">
      <c r="A896" s="108">
        <v>1422224</v>
      </c>
      <c r="B896" s="103">
        <v>583.41773000000001</v>
      </c>
      <c r="C896" s="103">
        <v>567.14226999999994</v>
      </c>
    </row>
    <row r="897" spans="1:3" x14ac:dyDescent="0.25">
      <c r="A897" s="108">
        <v>3562362</v>
      </c>
      <c r="B897" s="103">
        <v>589.00773000000004</v>
      </c>
      <c r="C897" s="103">
        <v>572.73226999999997</v>
      </c>
    </row>
    <row r="898" spans="1:3" x14ac:dyDescent="0.25">
      <c r="A898" s="108">
        <v>1912042</v>
      </c>
      <c r="B898" s="103">
        <v>593.05772999999999</v>
      </c>
      <c r="C898" s="103">
        <v>576.78226999999993</v>
      </c>
    </row>
    <row r="899" spans="1:3" x14ac:dyDescent="0.25">
      <c r="A899" s="108">
        <v>3342324</v>
      </c>
      <c r="B899" s="103">
        <v>589.66773000000001</v>
      </c>
      <c r="C899" s="103">
        <v>573.39226999999994</v>
      </c>
    </row>
    <row r="900" spans="1:3" x14ac:dyDescent="0.25">
      <c r="A900" s="108">
        <v>3222206</v>
      </c>
      <c r="B900" s="103">
        <v>586.37773000000004</v>
      </c>
      <c r="C900" s="103">
        <v>570.10226999999998</v>
      </c>
    </row>
    <row r="901" spans="1:3" x14ac:dyDescent="0.25">
      <c r="A901" s="108">
        <v>3522086</v>
      </c>
      <c r="B901" s="103">
        <v>587.34773000000007</v>
      </c>
      <c r="C901" s="103">
        <v>571.07227</v>
      </c>
    </row>
    <row r="902" spans="1:3" x14ac:dyDescent="0.25">
      <c r="A902" s="108">
        <v>3562226</v>
      </c>
      <c r="B902" s="103">
        <v>584.69772999999998</v>
      </c>
      <c r="C902" s="103">
        <v>568.42226999999991</v>
      </c>
    </row>
    <row r="903" spans="1:3" x14ac:dyDescent="0.25">
      <c r="A903" s="108">
        <v>3342096</v>
      </c>
      <c r="B903" s="103">
        <v>582.45773000000008</v>
      </c>
      <c r="C903" s="103">
        <v>566.18227000000002</v>
      </c>
    </row>
    <row r="904" spans="1:3" x14ac:dyDescent="0.25">
      <c r="A904" s="108">
        <v>3622257</v>
      </c>
      <c r="B904" s="103">
        <v>587.90773000000002</v>
      </c>
      <c r="C904" s="103">
        <v>571.63226999999995</v>
      </c>
    </row>
    <row r="905" spans="1:3" x14ac:dyDescent="0.25">
      <c r="A905" s="108">
        <v>1212081</v>
      </c>
      <c r="B905" s="103">
        <v>588.77773000000002</v>
      </c>
      <c r="C905" s="103">
        <v>572.50226999999995</v>
      </c>
    </row>
    <row r="906" spans="1:3" x14ac:dyDescent="0.25">
      <c r="A906" s="108">
        <v>3732206</v>
      </c>
      <c r="B906" s="103">
        <v>583.28773000000001</v>
      </c>
      <c r="C906" s="103">
        <v>567.01226999999994</v>
      </c>
    </row>
    <row r="907" spans="1:3" x14ac:dyDescent="0.25">
      <c r="A907" s="108">
        <v>3622346</v>
      </c>
      <c r="B907" s="103">
        <v>593.41773000000001</v>
      </c>
      <c r="C907" s="103">
        <v>577.14226999999994</v>
      </c>
    </row>
    <row r="908" spans="1:3" x14ac:dyDescent="0.25">
      <c r="A908" s="108">
        <v>3732195</v>
      </c>
      <c r="B908" s="103">
        <v>585.14773000000002</v>
      </c>
      <c r="C908" s="103">
        <v>568.87226999999996</v>
      </c>
    </row>
    <row r="909" spans="1:3" x14ac:dyDescent="0.25">
      <c r="A909" s="108">
        <v>3652032</v>
      </c>
      <c r="B909" s="103">
        <v>581.68772999999999</v>
      </c>
      <c r="C909" s="103">
        <v>565.41226999999992</v>
      </c>
    </row>
    <row r="910" spans="1:3" x14ac:dyDescent="0.25">
      <c r="A910" s="108">
        <v>3562203</v>
      </c>
      <c r="B910" s="103">
        <v>581.11773000000005</v>
      </c>
      <c r="C910" s="103">
        <v>564.84226999999998</v>
      </c>
    </row>
    <row r="911" spans="1:3" x14ac:dyDescent="0.25">
      <c r="A911" s="108">
        <v>3712167</v>
      </c>
      <c r="B911" s="103">
        <v>588.76773000000003</v>
      </c>
      <c r="C911" s="103">
        <v>572.49226999999996</v>
      </c>
    </row>
    <row r="912" spans="1:3" x14ac:dyDescent="0.25">
      <c r="A912" s="108">
        <v>1212235</v>
      </c>
      <c r="B912" s="103">
        <v>591.39773000000002</v>
      </c>
      <c r="C912" s="103">
        <v>575.12226999999996</v>
      </c>
    </row>
    <row r="913" spans="1:3" x14ac:dyDescent="0.25">
      <c r="A913" s="108">
        <v>3732214</v>
      </c>
      <c r="B913" s="103">
        <v>590.26773000000003</v>
      </c>
      <c r="C913" s="103">
        <v>573.99226999999996</v>
      </c>
    </row>
    <row r="914" spans="1:3" x14ac:dyDescent="0.25">
      <c r="A914" s="108">
        <v>3232046</v>
      </c>
      <c r="B914" s="103">
        <v>581.68772999999999</v>
      </c>
      <c r="C914" s="103">
        <v>565.41226999999992</v>
      </c>
    </row>
    <row r="915" spans="1:3" x14ac:dyDescent="0.25">
      <c r="A915" s="108">
        <v>3832014</v>
      </c>
      <c r="B915" s="103">
        <v>585.35773000000006</v>
      </c>
      <c r="C915" s="103">
        <v>569.08226999999999</v>
      </c>
    </row>
    <row r="916" spans="1:3" x14ac:dyDescent="0.25">
      <c r="A916" s="108">
        <v>3852057</v>
      </c>
      <c r="B916" s="103">
        <v>581.07773000000009</v>
      </c>
      <c r="C916" s="103">
        <v>564.80227000000002</v>
      </c>
    </row>
    <row r="917" spans="1:3" x14ac:dyDescent="0.25">
      <c r="A917" s="108">
        <v>3712071</v>
      </c>
      <c r="B917" s="103">
        <v>584.64773000000002</v>
      </c>
      <c r="C917" s="103">
        <v>568.37226999999996</v>
      </c>
    </row>
    <row r="918" spans="1:3" x14ac:dyDescent="0.25">
      <c r="A918" s="108">
        <v>3852042</v>
      </c>
      <c r="B918" s="103">
        <v>582.59773000000007</v>
      </c>
      <c r="C918" s="103">
        <v>566.32227</v>
      </c>
    </row>
    <row r="919" spans="1:3" x14ac:dyDescent="0.25">
      <c r="A919" s="108">
        <v>3342251</v>
      </c>
      <c r="B919" s="103">
        <v>582.20773000000008</v>
      </c>
      <c r="C919" s="103">
        <v>565.93227000000002</v>
      </c>
    </row>
    <row r="920" spans="1:3" x14ac:dyDescent="0.25">
      <c r="A920" s="108">
        <v>1212096</v>
      </c>
      <c r="B920" s="103">
        <v>593.20773000000008</v>
      </c>
      <c r="C920" s="103">
        <v>576.93227000000002</v>
      </c>
    </row>
    <row r="921" spans="1:3" x14ac:dyDescent="0.25">
      <c r="A921" s="108">
        <v>3342042</v>
      </c>
      <c r="B921" s="103">
        <v>587.68772999999999</v>
      </c>
      <c r="C921" s="103">
        <v>571.41226999999992</v>
      </c>
    </row>
    <row r="922" spans="1:3" x14ac:dyDescent="0.25">
      <c r="A922" s="108">
        <v>3562095</v>
      </c>
      <c r="B922" s="103">
        <v>583.17773</v>
      </c>
      <c r="C922" s="103">
        <v>566.90226999999993</v>
      </c>
    </row>
    <row r="923" spans="1:3" x14ac:dyDescent="0.25">
      <c r="A923" s="108">
        <v>3342332</v>
      </c>
      <c r="B923" s="103">
        <v>582.93772999999999</v>
      </c>
      <c r="C923" s="103">
        <v>566.66226999999992</v>
      </c>
    </row>
    <row r="924" spans="1:3" x14ac:dyDescent="0.25">
      <c r="A924" s="108">
        <v>5412075</v>
      </c>
      <c r="B924" s="103">
        <v>591.10773000000006</v>
      </c>
      <c r="C924" s="103">
        <v>574.83226999999999</v>
      </c>
    </row>
    <row r="925" spans="1:3" x14ac:dyDescent="0.25">
      <c r="A925" s="108">
        <v>3522055</v>
      </c>
      <c r="B925" s="103">
        <v>579.17773</v>
      </c>
      <c r="C925" s="103">
        <v>562.90226999999993</v>
      </c>
    </row>
    <row r="926" spans="1:3" x14ac:dyDescent="0.25">
      <c r="A926" s="108">
        <v>3312035</v>
      </c>
      <c r="B926" s="103">
        <v>583.11773000000005</v>
      </c>
      <c r="C926" s="103">
        <v>566.84226999999998</v>
      </c>
    </row>
    <row r="927" spans="1:3" x14ac:dyDescent="0.25">
      <c r="A927" s="108">
        <v>6112041</v>
      </c>
      <c r="B927" s="103">
        <v>591.25773000000004</v>
      </c>
      <c r="C927" s="103">
        <v>574.98226999999997</v>
      </c>
    </row>
    <row r="928" spans="1:3" x14ac:dyDescent="0.25">
      <c r="A928" s="108">
        <v>3342282</v>
      </c>
      <c r="B928" s="103">
        <v>582.95773000000008</v>
      </c>
      <c r="C928" s="103">
        <v>566.68227000000002</v>
      </c>
    </row>
    <row r="929" spans="1:3" x14ac:dyDescent="0.25">
      <c r="A929" s="108">
        <v>3342274</v>
      </c>
      <c r="B929" s="103">
        <v>579.11773000000005</v>
      </c>
      <c r="C929" s="103">
        <v>562.84226999999998</v>
      </c>
    </row>
    <row r="930" spans="1:3" x14ac:dyDescent="0.25">
      <c r="A930" s="108">
        <v>3732237</v>
      </c>
      <c r="B930" s="103">
        <v>585.42773</v>
      </c>
      <c r="C930" s="103">
        <v>569.15226999999993</v>
      </c>
    </row>
    <row r="931" spans="1:3" x14ac:dyDescent="0.25">
      <c r="A931" s="108">
        <v>3342146</v>
      </c>
      <c r="B931" s="103">
        <v>588.62773000000004</v>
      </c>
      <c r="C931" s="103">
        <v>572.35226999999998</v>
      </c>
    </row>
    <row r="932" spans="1:3" x14ac:dyDescent="0.25">
      <c r="A932" s="108">
        <v>3232263</v>
      </c>
      <c r="B932" s="103">
        <v>580.50773000000004</v>
      </c>
      <c r="C932" s="103">
        <v>564.23226999999997</v>
      </c>
    </row>
    <row r="933" spans="1:3" x14ac:dyDescent="0.25">
      <c r="A933" s="108">
        <v>3712032</v>
      </c>
      <c r="B933" s="103">
        <v>587.54773</v>
      </c>
      <c r="C933" s="103">
        <v>571.27226999999993</v>
      </c>
    </row>
    <row r="934" spans="1:3" x14ac:dyDescent="0.25">
      <c r="A934" s="108">
        <v>3342011</v>
      </c>
      <c r="B934" s="103">
        <v>584.91773000000001</v>
      </c>
      <c r="C934" s="103">
        <v>568.64226999999994</v>
      </c>
    </row>
    <row r="935" spans="1:3" x14ac:dyDescent="0.25">
      <c r="A935" s="108">
        <v>3232201</v>
      </c>
      <c r="B935" s="103">
        <v>580.87773000000004</v>
      </c>
      <c r="C935" s="103">
        <v>564.60226999999998</v>
      </c>
    </row>
    <row r="936" spans="1:3" x14ac:dyDescent="0.25">
      <c r="A936" s="108">
        <v>3542083</v>
      </c>
      <c r="B936" s="103">
        <v>584.79773</v>
      </c>
      <c r="C936" s="103">
        <v>568.52226999999993</v>
      </c>
    </row>
    <row r="937" spans="1:3" x14ac:dyDescent="0.25">
      <c r="A937" s="108">
        <v>3832351</v>
      </c>
      <c r="B937" s="103">
        <v>582.12773000000004</v>
      </c>
      <c r="C937" s="103">
        <v>565.85226999999998</v>
      </c>
    </row>
    <row r="938" spans="1:3" x14ac:dyDescent="0.25">
      <c r="A938" s="108">
        <v>3732164</v>
      </c>
      <c r="B938" s="103">
        <v>581.62773000000004</v>
      </c>
      <c r="C938" s="103">
        <v>565.35226999999998</v>
      </c>
    </row>
    <row r="939" spans="1:3" x14ac:dyDescent="0.25">
      <c r="A939" s="108">
        <v>1212011</v>
      </c>
      <c r="B939" s="103">
        <v>590.24773000000005</v>
      </c>
      <c r="C939" s="103">
        <v>573.97226999999998</v>
      </c>
    </row>
    <row r="940" spans="1:3" x14ac:dyDescent="0.25">
      <c r="A940" s="108">
        <v>1912096</v>
      </c>
      <c r="B940" s="103">
        <v>581.56772999999998</v>
      </c>
      <c r="C940" s="103">
        <v>565.29226999999992</v>
      </c>
    </row>
    <row r="941" spans="1:3" x14ac:dyDescent="0.25">
      <c r="A941" s="108">
        <v>1912057</v>
      </c>
      <c r="B941" s="103">
        <v>584.12773000000004</v>
      </c>
      <c r="C941" s="103">
        <v>567.85226999999998</v>
      </c>
    </row>
    <row r="942" spans="1:3" x14ac:dyDescent="0.25">
      <c r="A942" s="108">
        <v>3532324</v>
      </c>
      <c r="B942" s="103">
        <v>582.07773000000009</v>
      </c>
      <c r="C942" s="103">
        <v>565.80227000000002</v>
      </c>
    </row>
    <row r="943" spans="1:3" x14ac:dyDescent="0.25">
      <c r="A943" s="108">
        <v>3342034</v>
      </c>
      <c r="B943" s="103">
        <v>578.30772999999999</v>
      </c>
      <c r="C943" s="103">
        <v>562.03226999999993</v>
      </c>
    </row>
    <row r="944" spans="1:3" x14ac:dyDescent="0.25">
      <c r="A944" s="108">
        <v>3732091</v>
      </c>
      <c r="B944" s="103">
        <v>592.27773000000002</v>
      </c>
      <c r="C944" s="103">
        <v>576.00226999999995</v>
      </c>
    </row>
    <row r="945" spans="1:3" x14ac:dyDescent="0.25">
      <c r="A945" s="108">
        <v>3642045</v>
      </c>
      <c r="B945" s="103">
        <v>589.35773000000006</v>
      </c>
      <c r="C945" s="103">
        <v>573.08226999999999</v>
      </c>
    </row>
    <row r="946" spans="1:3" x14ac:dyDescent="0.25">
      <c r="A946" s="108">
        <v>3712016</v>
      </c>
      <c r="B946" s="103">
        <v>585.05772999999999</v>
      </c>
      <c r="C946" s="103">
        <v>568.78226999999993</v>
      </c>
    </row>
    <row r="947" spans="1:3" x14ac:dyDescent="0.25">
      <c r="A947" s="108">
        <v>3832401</v>
      </c>
      <c r="B947" s="103">
        <v>587.03773000000001</v>
      </c>
      <c r="C947" s="103">
        <v>570.76226999999994</v>
      </c>
    </row>
    <row r="948" spans="1:3" x14ac:dyDescent="0.25">
      <c r="A948" s="108">
        <v>3522063</v>
      </c>
      <c r="B948" s="103">
        <v>582.60773000000006</v>
      </c>
      <c r="C948" s="103">
        <v>566.33226999999999</v>
      </c>
    </row>
    <row r="949" spans="1:3" x14ac:dyDescent="0.25">
      <c r="A949" s="108">
        <v>3342204</v>
      </c>
      <c r="B949" s="103">
        <v>578.45773000000008</v>
      </c>
      <c r="C949" s="103">
        <v>562.18227000000002</v>
      </c>
    </row>
    <row r="950" spans="1:3" x14ac:dyDescent="0.25">
      <c r="A950" s="108">
        <v>1912212</v>
      </c>
      <c r="B950" s="103">
        <v>584.17773</v>
      </c>
      <c r="C950" s="103">
        <v>567.90226999999993</v>
      </c>
    </row>
    <row r="951" spans="1:3" x14ac:dyDescent="0.25">
      <c r="A951" s="108">
        <v>3712047</v>
      </c>
      <c r="B951" s="103">
        <v>583.22773000000007</v>
      </c>
      <c r="C951" s="103">
        <v>566.95227</v>
      </c>
    </row>
    <row r="952" spans="1:3" x14ac:dyDescent="0.25">
      <c r="A952" s="108">
        <v>3562184</v>
      </c>
      <c r="B952" s="103">
        <v>583.68772999999999</v>
      </c>
      <c r="C952" s="103">
        <v>567.41226999999992</v>
      </c>
    </row>
    <row r="953" spans="1:3" x14ac:dyDescent="0.25">
      <c r="A953" s="108">
        <v>3362093</v>
      </c>
      <c r="B953" s="103">
        <v>583.69772999999998</v>
      </c>
      <c r="C953" s="103">
        <v>567.42226999999991</v>
      </c>
    </row>
    <row r="954" spans="1:3" x14ac:dyDescent="0.25">
      <c r="A954" s="108">
        <v>3732156</v>
      </c>
      <c r="B954" s="103">
        <v>583.54773</v>
      </c>
      <c r="C954" s="103">
        <v>567.27226999999993</v>
      </c>
    </row>
    <row r="955" spans="1:3" x14ac:dyDescent="0.25">
      <c r="A955" s="108">
        <v>3852011</v>
      </c>
      <c r="B955" s="103">
        <v>581.19772999999998</v>
      </c>
      <c r="C955" s="103">
        <v>564.92226999999991</v>
      </c>
    </row>
    <row r="956" spans="1:3" x14ac:dyDescent="0.25">
      <c r="A956" s="108">
        <v>7112095</v>
      </c>
      <c r="B956" s="103">
        <v>594.97773000000007</v>
      </c>
      <c r="C956" s="103">
        <v>578.70227</v>
      </c>
    </row>
    <row r="957" spans="1:3" x14ac:dyDescent="0.25">
      <c r="A957" s="108">
        <v>1212227</v>
      </c>
      <c r="B957" s="103">
        <v>584.77773000000002</v>
      </c>
      <c r="C957" s="103">
        <v>568.50226999999995</v>
      </c>
    </row>
    <row r="958" spans="1:3" x14ac:dyDescent="0.25">
      <c r="A958" s="108">
        <v>3342073</v>
      </c>
      <c r="B958" s="103">
        <v>581.21773000000007</v>
      </c>
      <c r="C958" s="103">
        <v>564.94227000000001</v>
      </c>
    </row>
    <row r="959" spans="1:3" x14ac:dyDescent="0.25">
      <c r="A959" s="108">
        <v>1712047</v>
      </c>
      <c r="B959" s="103">
        <v>590.70773000000008</v>
      </c>
      <c r="C959" s="103">
        <v>574.43227000000002</v>
      </c>
    </row>
    <row r="960" spans="1:3" x14ac:dyDescent="0.25">
      <c r="A960" s="108">
        <v>3532316</v>
      </c>
      <c r="B960" s="103">
        <v>578.14773000000002</v>
      </c>
      <c r="C960" s="103">
        <v>561.87226999999996</v>
      </c>
    </row>
    <row r="961" spans="1:3" x14ac:dyDescent="0.25">
      <c r="A961" s="108">
        <v>3362031</v>
      </c>
      <c r="B961" s="103">
        <v>583.37773000000004</v>
      </c>
      <c r="C961" s="103">
        <v>567.10226999999998</v>
      </c>
    </row>
    <row r="962" spans="1:3" x14ac:dyDescent="0.25">
      <c r="A962" s="108">
        <v>5412133</v>
      </c>
      <c r="B962" s="103">
        <v>580.54773</v>
      </c>
      <c r="C962" s="103">
        <v>564.27226999999993</v>
      </c>
    </row>
    <row r="963" spans="1:3" x14ac:dyDescent="0.25">
      <c r="A963" s="108">
        <v>3832157</v>
      </c>
      <c r="B963" s="103">
        <v>577.67773</v>
      </c>
      <c r="C963" s="103">
        <v>561.40226999999993</v>
      </c>
    </row>
    <row r="964" spans="1:3" x14ac:dyDescent="0.25">
      <c r="A964" s="108">
        <v>3232232</v>
      </c>
      <c r="B964" s="103">
        <v>579.20773000000008</v>
      </c>
      <c r="C964" s="103">
        <v>562.93227000000002</v>
      </c>
    </row>
    <row r="965" spans="1:3" x14ac:dyDescent="0.25">
      <c r="A965" s="108">
        <v>3642037</v>
      </c>
      <c r="B965" s="103">
        <v>582.97773000000007</v>
      </c>
      <c r="C965" s="103">
        <v>566.70227</v>
      </c>
    </row>
    <row r="966" spans="1:3" x14ac:dyDescent="0.25">
      <c r="A966" s="108">
        <v>3732311</v>
      </c>
      <c r="B966" s="103">
        <v>581.34773000000007</v>
      </c>
      <c r="C966" s="103">
        <v>565.07227</v>
      </c>
    </row>
    <row r="967" spans="1:3" x14ac:dyDescent="0.25">
      <c r="A967" s="108">
        <v>1312101</v>
      </c>
      <c r="B967" s="103">
        <v>586.67773</v>
      </c>
      <c r="C967" s="103">
        <v>570.40226999999993</v>
      </c>
    </row>
    <row r="968" spans="1:3" x14ac:dyDescent="0.25">
      <c r="A968" s="108">
        <v>3732013</v>
      </c>
      <c r="B968" s="103">
        <v>579.60773000000006</v>
      </c>
      <c r="C968" s="103">
        <v>563.33226999999999</v>
      </c>
    </row>
    <row r="969" spans="1:3" x14ac:dyDescent="0.25">
      <c r="A969" s="108">
        <v>3562242</v>
      </c>
      <c r="B969" s="103">
        <v>571.10773000000006</v>
      </c>
      <c r="C969" s="103">
        <v>554.83226999999999</v>
      </c>
    </row>
    <row r="970" spans="1:3" x14ac:dyDescent="0.25">
      <c r="A970" s="108">
        <v>3562354</v>
      </c>
      <c r="B970" s="103">
        <v>579.42773</v>
      </c>
      <c r="C970" s="103">
        <v>563.15226999999993</v>
      </c>
    </row>
    <row r="971" spans="1:3" x14ac:dyDescent="0.25">
      <c r="A971" s="108">
        <v>3112056</v>
      </c>
      <c r="B971" s="103">
        <v>580.21773000000007</v>
      </c>
      <c r="C971" s="103">
        <v>563.94227000000001</v>
      </c>
    </row>
    <row r="972" spans="1:3" x14ac:dyDescent="0.25">
      <c r="A972" s="108">
        <v>1212146</v>
      </c>
      <c r="B972" s="103">
        <v>578.46773000000007</v>
      </c>
      <c r="C972" s="103">
        <v>562.19227000000001</v>
      </c>
    </row>
    <row r="973" spans="1:3" x14ac:dyDescent="0.25">
      <c r="A973" s="108">
        <v>6112095</v>
      </c>
      <c r="B973" s="103">
        <v>581.49773000000005</v>
      </c>
      <c r="C973" s="103">
        <v>565.22226999999998</v>
      </c>
    </row>
    <row r="974" spans="1:3" x14ac:dyDescent="0.25">
      <c r="A974" s="108">
        <v>6112203</v>
      </c>
      <c r="B974" s="103">
        <v>584.07773000000009</v>
      </c>
      <c r="C974" s="103">
        <v>567.80227000000002</v>
      </c>
    </row>
    <row r="975" spans="1:3" x14ac:dyDescent="0.25">
      <c r="A975" s="108">
        <v>3832196</v>
      </c>
      <c r="B975" s="103">
        <v>577.61773000000005</v>
      </c>
      <c r="C975" s="103">
        <v>561.34226999999998</v>
      </c>
    </row>
    <row r="976" spans="1:3" x14ac:dyDescent="0.25">
      <c r="A976" s="108">
        <v>3232151</v>
      </c>
      <c r="B976" s="103">
        <v>577.61773000000005</v>
      </c>
      <c r="C976" s="103">
        <v>561.34226999999998</v>
      </c>
    </row>
    <row r="977" spans="1:3" x14ac:dyDescent="0.25">
      <c r="A977" s="108">
        <v>3812184</v>
      </c>
      <c r="B977" s="103">
        <v>585.87773000000004</v>
      </c>
      <c r="C977" s="103">
        <v>569.60226999999998</v>
      </c>
    </row>
    <row r="978" spans="1:3" x14ac:dyDescent="0.25">
      <c r="A978" s="108">
        <v>3422077</v>
      </c>
      <c r="B978" s="103">
        <v>577.20773000000008</v>
      </c>
      <c r="C978" s="103">
        <v>560.93227000000002</v>
      </c>
    </row>
    <row r="979" spans="1:3" x14ac:dyDescent="0.25">
      <c r="A979" s="108">
        <v>3362062</v>
      </c>
      <c r="B979" s="103">
        <v>579.08773000000008</v>
      </c>
      <c r="C979" s="103">
        <v>562.81227000000001</v>
      </c>
    </row>
    <row r="980" spans="1:3" x14ac:dyDescent="0.25">
      <c r="A980" s="108">
        <v>3562393</v>
      </c>
      <c r="B980" s="103">
        <v>577.14773000000002</v>
      </c>
      <c r="C980" s="103">
        <v>560.87226999999996</v>
      </c>
    </row>
    <row r="981" spans="1:3" x14ac:dyDescent="0.25">
      <c r="A981" s="108">
        <v>3522047</v>
      </c>
      <c r="B981" s="103">
        <v>573.67773</v>
      </c>
      <c r="C981" s="103">
        <v>557.40226999999993</v>
      </c>
    </row>
    <row r="982" spans="1:3" x14ac:dyDescent="0.25">
      <c r="A982" s="108">
        <v>3112064</v>
      </c>
      <c r="B982" s="103">
        <v>579.27773000000002</v>
      </c>
      <c r="C982" s="103">
        <v>563.00226999999995</v>
      </c>
    </row>
    <row r="983" spans="1:3" x14ac:dyDescent="0.25">
      <c r="A983" s="108">
        <v>3232023</v>
      </c>
      <c r="B983" s="103">
        <v>577.07773000000009</v>
      </c>
      <c r="C983" s="103">
        <v>560.80227000000002</v>
      </c>
    </row>
    <row r="984" spans="1:3" x14ac:dyDescent="0.25">
      <c r="A984" s="108">
        <v>3362046</v>
      </c>
      <c r="B984" s="103">
        <v>578.22773000000007</v>
      </c>
      <c r="C984" s="103">
        <v>561.95227</v>
      </c>
    </row>
    <row r="985" spans="1:3" x14ac:dyDescent="0.25">
      <c r="A985" s="108">
        <v>3832022</v>
      </c>
      <c r="B985" s="103">
        <v>573.65773000000002</v>
      </c>
      <c r="C985" s="103">
        <v>557.38226999999995</v>
      </c>
    </row>
    <row r="986" spans="1:3" x14ac:dyDescent="0.25">
      <c r="A986" s="108">
        <v>3362054</v>
      </c>
      <c r="B986" s="103">
        <v>572.61773000000005</v>
      </c>
      <c r="C986" s="103">
        <v>556.34226999999998</v>
      </c>
    </row>
    <row r="987" spans="1:3" x14ac:dyDescent="0.25">
      <c r="A987" s="108">
        <v>3342107</v>
      </c>
      <c r="B987" s="103">
        <v>583.60773000000006</v>
      </c>
      <c r="C987" s="103">
        <v>567.33226999999999</v>
      </c>
    </row>
    <row r="988" spans="1:3" x14ac:dyDescent="0.25">
      <c r="A988" s="108">
        <v>5112072</v>
      </c>
      <c r="B988" s="103">
        <v>579.31772999999998</v>
      </c>
      <c r="C988" s="103">
        <v>563.04226999999992</v>
      </c>
    </row>
    <row r="989" spans="1:3" x14ac:dyDescent="0.25">
      <c r="A989" s="108">
        <v>1712032</v>
      </c>
      <c r="B989" s="103">
        <v>579.74773000000005</v>
      </c>
      <c r="C989" s="103">
        <v>563.47226999999998</v>
      </c>
    </row>
    <row r="990" spans="1:3" x14ac:dyDescent="0.25">
      <c r="A990" s="108">
        <v>3112025</v>
      </c>
      <c r="B990" s="103">
        <v>576.73773000000006</v>
      </c>
      <c r="C990" s="103">
        <v>560.46226999999999</v>
      </c>
    </row>
    <row r="991" spans="1:3" x14ac:dyDescent="0.25">
      <c r="A991" s="108">
        <v>3742112</v>
      </c>
      <c r="B991" s="103">
        <v>575.58773000000008</v>
      </c>
      <c r="C991" s="103">
        <v>559.31227000000001</v>
      </c>
    </row>
    <row r="992" spans="1:3" x14ac:dyDescent="0.25">
      <c r="A992" s="108">
        <v>3572194</v>
      </c>
      <c r="B992" s="103">
        <v>574.65773000000002</v>
      </c>
      <c r="C992" s="103">
        <v>558.38226999999995</v>
      </c>
    </row>
    <row r="993" spans="1:3" x14ac:dyDescent="0.25">
      <c r="A993" s="108">
        <v>3562106</v>
      </c>
      <c r="B993" s="103">
        <v>575.39773000000002</v>
      </c>
      <c r="C993" s="103">
        <v>559.12226999999996</v>
      </c>
    </row>
    <row r="994" spans="1:3" x14ac:dyDescent="0.25">
      <c r="A994" s="108">
        <v>3112041</v>
      </c>
      <c r="B994" s="103">
        <v>574.03773000000001</v>
      </c>
      <c r="C994" s="103">
        <v>557.76226999999994</v>
      </c>
    </row>
    <row r="995" spans="1:3" x14ac:dyDescent="0.25">
      <c r="A995" s="108">
        <v>3342614</v>
      </c>
      <c r="B995" s="103">
        <v>577.49773000000005</v>
      </c>
      <c r="C995" s="103">
        <v>561.22226999999998</v>
      </c>
    </row>
    <row r="996" spans="1:3" x14ac:dyDescent="0.25">
      <c r="A996" s="108">
        <v>1422216</v>
      </c>
      <c r="B996" s="103">
        <v>573.16773000000001</v>
      </c>
      <c r="C996" s="103">
        <v>556.89226999999994</v>
      </c>
    </row>
    <row r="997" spans="1:3" x14ac:dyDescent="0.25">
      <c r="A997" s="108">
        <v>3312097</v>
      </c>
      <c r="B997" s="103">
        <v>574.20773000000008</v>
      </c>
      <c r="C997" s="103">
        <v>557.93227000000002</v>
      </c>
    </row>
    <row r="998" spans="1:3" x14ac:dyDescent="0.25">
      <c r="A998" s="108">
        <v>3732133</v>
      </c>
      <c r="B998" s="103">
        <v>578.57773000000009</v>
      </c>
      <c r="C998" s="103">
        <v>562.30227000000002</v>
      </c>
    </row>
    <row r="999" spans="1:3" x14ac:dyDescent="0.25">
      <c r="A999" s="108">
        <v>3712136</v>
      </c>
      <c r="B999" s="103">
        <v>574.49773000000005</v>
      </c>
      <c r="C999" s="103">
        <v>558.22226999999998</v>
      </c>
    </row>
    <row r="1000" spans="1:3" x14ac:dyDescent="0.25">
      <c r="A1000" s="108">
        <v>1422127</v>
      </c>
      <c r="B1000" s="103">
        <v>574.02773000000002</v>
      </c>
      <c r="C1000" s="103">
        <v>557.75226999999995</v>
      </c>
    </row>
    <row r="1001" spans="1:3" x14ac:dyDescent="0.25">
      <c r="A1001" s="108">
        <v>3832374</v>
      </c>
      <c r="B1001" s="103">
        <v>568.06772999999998</v>
      </c>
      <c r="C1001" s="103">
        <v>551.79226999999992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N22"/>
  <sheetViews>
    <sheetView topLeftCell="U1" workbookViewId="0">
      <selection activeCell="AL11" sqref="AL11"/>
    </sheetView>
  </sheetViews>
  <sheetFormatPr defaultRowHeight="15" x14ac:dyDescent="0.25"/>
  <cols>
    <col min="35" max="36" width="9.140625" style="6"/>
    <col min="37" max="37" width="10.5703125" bestFit="1" customWidth="1"/>
  </cols>
  <sheetData>
    <row r="1" spans="1:40" x14ac:dyDescent="0.25">
      <c r="A1" t="s">
        <v>1581</v>
      </c>
    </row>
    <row r="3" spans="1:40" x14ac:dyDescent="0.25">
      <c r="Z3">
        <v>280</v>
      </c>
      <c r="AA3">
        <f>MEDIAN(300,400)</f>
        <v>350</v>
      </c>
      <c r="AB3">
        <v>450</v>
      </c>
      <c r="AC3">
        <v>550</v>
      </c>
      <c r="AD3">
        <v>650</v>
      </c>
      <c r="AE3">
        <v>750</v>
      </c>
      <c r="AF3">
        <v>850</v>
      </c>
      <c r="AG3">
        <v>920</v>
      </c>
      <c r="AM3" s="130" t="s">
        <v>10</v>
      </c>
      <c r="AN3" s="130" t="s">
        <v>11</v>
      </c>
    </row>
    <row r="4" spans="1:40" x14ac:dyDescent="0.25">
      <c r="X4" s="113"/>
      <c r="Y4" s="113" t="s">
        <v>1594</v>
      </c>
      <c r="Z4" s="113" t="s">
        <v>1595</v>
      </c>
      <c r="AA4" s="113" t="s">
        <v>1596</v>
      </c>
      <c r="AB4" s="113" t="s">
        <v>1597</v>
      </c>
      <c r="AC4" s="113" t="s">
        <v>1598</v>
      </c>
      <c r="AD4" s="113" t="s">
        <v>1599</v>
      </c>
      <c r="AE4" s="113" t="s">
        <v>1600</v>
      </c>
      <c r="AF4" s="113" t="s">
        <v>1601</v>
      </c>
      <c r="AG4" s="113" t="s">
        <v>1602</v>
      </c>
      <c r="AI4" s="6">
        <v>2019</v>
      </c>
      <c r="AJ4" s="6">
        <v>2021</v>
      </c>
      <c r="AM4" s="130">
        <v>730</v>
      </c>
      <c r="AN4" s="130">
        <v>655</v>
      </c>
    </row>
    <row r="5" spans="1:40" x14ac:dyDescent="0.25">
      <c r="X5" s="113" t="s">
        <v>1582</v>
      </c>
      <c r="Y5" s="113">
        <v>123738</v>
      </c>
      <c r="Z5" s="113">
        <v>1415</v>
      </c>
      <c r="AA5" s="113">
        <v>16029</v>
      </c>
      <c r="AB5" s="113">
        <v>41418</v>
      </c>
      <c r="AC5" s="113">
        <v>40160</v>
      </c>
      <c r="AD5" s="113">
        <v>19630</v>
      </c>
      <c r="AE5" s="113">
        <v>4783</v>
      </c>
      <c r="AF5" s="113">
        <v>301</v>
      </c>
      <c r="AG5" s="113"/>
      <c r="AI5" s="112">
        <f>(Z5*$Z$3+AA5*$AA$3+AB5*$AB$3+AC5*$AC$3+AD5*$AD$3+AE5*$AE$3+AF5*$AF$3+AG5*$AG$3)/Y5</f>
        <v>511.84801758554363</v>
      </c>
      <c r="AJ5" s="6">
        <v>499.89</v>
      </c>
      <c r="AK5" s="111">
        <f>ABS(AI5-AJ5)</f>
        <v>11.958017585543644</v>
      </c>
      <c r="AM5" s="130">
        <v>730</v>
      </c>
      <c r="AN5" s="130">
        <v>655</v>
      </c>
    </row>
    <row r="6" spans="1:40" x14ac:dyDescent="0.25">
      <c r="X6" s="113" t="s">
        <v>1583</v>
      </c>
      <c r="Y6" s="113">
        <v>123738</v>
      </c>
      <c r="Z6" s="113">
        <v>597</v>
      </c>
      <c r="AA6" s="113">
        <v>15071</v>
      </c>
      <c r="AB6" s="113">
        <v>43205</v>
      </c>
      <c r="AC6" s="113">
        <v>38547</v>
      </c>
      <c r="AD6" s="113">
        <v>18210</v>
      </c>
      <c r="AE6" s="113">
        <v>6395</v>
      </c>
      <c r="AF6" s="113">
        <v>1606</v>
      </c>
      <c r="AG6" s="113">
        <v>107</v>
      </c>
      <c r="AI6" s="112">
        <f t="shared" ref="AI6:AI22" si="0">(Z6*$Z$3+AA6*$AA$3+AB6*$AB$3+AC6*$AC$3+AD6*$AD$3+AE6*$AE$3+AF6*$AF$3+AG6*$AG$3)/Y6</f>
        <v>518.68787276341948</v>
      </c>
      <c r="AJ6" s="115">
        <v>499.88</v>
      </c>
      <c r="AK6" s="111">
        <f t="shared" ref="AK6:AK22" si="1">ABS(AI6-AJ6)</f>
        <v>18.807872763419482</v>
      </c>
    </row>
    <row r="7" spans="1:40" x14ac:dyDescent="0.25">
      <c r="X7" s="113" t="s">
        <v>1584</v>
      </c>
      <c r="Y7" s="113">
        <v>123738</v>
      </c>
      <c r="Z7" s="113">
        <v>1547</v>
      </c>
      <c r="AA7" s="113">
        <v>18070</v>
      </c>
      <c r="AB7" s="113">
        <v>40037</v>
      </c>
      <c r="AC7" s="113">
        <v>39571</v>
      </c>
      <c r="AD7" s="113">
        <v>21573</v>
      </c>
      <c r="AE7" s="113">
        <v>2940</v>
      </c>
      <c r="AF7" s="113"/>
      <c r="AG7" s="113"/>
      <c r="AI7" s="112">
        <f t="shared" si="0"/>
        <v>507.24765229759652</v>
      </c>
      <c r="AJ7" s="6">
        <v>499.89</v>
      </c>
      <c r="AK7" s="111">
        <f t="shared" si="1"/>
        <v>7.3576522975965304</v>
      </c>
    </row>
    <row r="8" spans="1:40" x14ac:dyDescent="0.25">
      <c r="X8" s="113" t="s">
        <v>1585</v>
      </c>
      <c r="Y8" s="113">
        <v>123738</v>
      </c>
      <c r="Z8" s="113">
        <v>1730</v>
      </c>
      <c r="AA8" s="113">
        <v>16741</v>
      </c>
      <c r="AB8" s="113">
        <v>40874</v>
      </c>
      <c r="AC8" s="113">
        <v>40977</v>
      </c>
      <c r="AD8" s="113">
        <v>19546</v>
      </c>
      <c r="AE8" s="113">
        <v>3757</v>
      </c>
      <c r="AF8" s="113">
        <v>113</v>
      </c>
      <c r="AG8" s="113"/>
      <c r="AI8" s="112">
        <f t="shared" si="0"/>
        <v>508.27635811149366</v>
      </c>
      <c r="AJ8" s="6">
        <v>499.89</v>
      </c>
      <c r="AK8" s="111">
        <f t="shared" si="1"/>
        <v>8.3863581114936778</v>
      </c>
    </row>
    <row r="9" spans="1:40" x14ac:dyDescent="0.25">
      <c r="X9" s="113" t="s">
        <v>1586</v>
      </c>
      <c r="Y9" s="113">
        <v>123738</v>
      </c>
      <c r="Z9" s="113">
        <v>1541</v>
      </c>
      <c r="AA9" s="113">
        <v>18812</v>
      </c>
      <c r="AB9" s="113">
        <v>44269</v>
      </c>
      <c r="AC9" s="113">
        <v>39189</v>
      </c>
      <c r="AD9" s="113">
        <v>16314</v>
      </c>
      <c r="AE9" s="113">
        <v>3253</v>
      </c>
      <c r="AF9" s="113">
        <v>341</v>
      </c>
      <c r="AG9" s="113">
        <v>17</v>
      </c>
      <c r="AI9" s="112">
        <f t="shared" si="0"/>
        <v>499.76579547107599</v>
      </c>
      <c r="AJ9" s="6">
        <v>499.77</v>
      </c>
      <c r="AK9" s="111">
        <f t="shared" si="1"/>
        <v>4.2045289239922568E-3</v>
      </c>
    </row>
    <row r="10" spans="1:40" x14ac:dyDescent="0.25">
      <c r="X10" s="113" t="s">
        <v>1587</v>
      </c>
      <c r="Y10" s="113">
        <v>123738</v>
      </c>
      <c r="Z10" s="113">
        <v>1273</v>
      </c>
      <c r="AA10" s="113">
        <v>19184</v>
      </c>
      <c r="AB10" s="113">
        <v>44391</v>
      </c>
      <c r="AC10" s="113">
        <v>38970</v>
      </c>
      <c r="AD10" s="113">
        <v>16238</v>
      </c>
      <c r="AE10" s="113">
        <v>3295</v>
      </c>
      <c r="AF10" s="113">
        <v>363</v>
      </c>
      <c r="AG10" s="113">
        <v>22</v>
      </c>
      <c r="AI10" s="112">
        <f t="shared" si="0"/>
        <v>499.7254683282419</v>
      </c>
      <c r="AJ10" s="6">
        <v>499.75</v>
      </c>
      <c r="AK10" s="111">
        <f t="shared" si="1"/>
        <v>2.4531671758097673E-2</v>
      </c>
    </row>
    <row r="11" spans="1:40" x14ac:dyDescent="0.25">
      <c r="X11" s="113" t="s">
        <v>1588</v>
      </c>
      <c r="Y11" s="113">
        <v>123738</v>
      </c>
      <c r="Z11" s="113">
        <v>1292</v>
      </c>
      <c r="AA11" s="113">
        <v>18742</v>
      </c>
      <c r="AB11" s="113">
        <v>45003</v>
      </c>
      <c r="AC11" s="113">
        <v>39245</v>
      </c>
      <c r="AD11" s="113">
        <v>15552</v>
      </c>
      <c r="AE11" s="113">
        <v>3369</v>
      </c>
      <c r="AF11" s="113">
        <v>493</v>
      </c>
      <c r="AG11" s="113">
        <v>40</v>
      </c>
      <c r="AI11" s="112">
        <f t="shared" si="0"/>
        <v>499.83804490132377</v>
      </c>
      <c r="AJ11" s="6">
        <v>499.77</v>
      </c>
      <c r="AK11" s="111">
        <f t="shared" si="1"/>
        <v>6.8044901323787599E-2</v>
      </c>
    </row>
    <row r="12" spans="1:40" x14ac:dyDescent="0.25">
      <c r="X12" s="113" t="s">
        <v>1589</v>
      </c>
      <c r="Y12" s="113">
        <v>123738</v>
      </c>
      <c r="Z12" s="113">
        <v>470</v>
      </c>
      <c r="AA12" s="113">
        <v>19621</v>
      </c>
      <c r="AB12" s="113">
        <v>45728</v>
      </c>
      <c r="AC12" s="113">
        <v>38268</v>
      </c>
      <c r="AD12" s="113">
        <v>15469</v>
      </c>
      <c r="AE12" s="113">
        <v>3623</v>
      </c>
      <c r="AF12" s="113">
        <v>526</v>
      </c>
      <c r="AG12" s="113">
        <v>31</v>
      </c>
      <c r="AI12" s="112">
        <f t="shared" si="0"/>
        <v>500.02157784997331</v>
      </c>
      <c r="AJ12" s="6">
        <v>499.86</v>
      </c>
      <c r="AK12" s="111">
        <f t="shared" si="1"/>
        <v>0.16157784997329827</v>
      </c>
    </row>
    <row r="13" spans="1:40" x14ac:dyDescent="0.25">
      <c r="X13" s="114"/>
      <c r="Y13" s="114"/>
      <c r="Z13" s="114"/>
      <c r="AA13" s="114"/>
      <c r="AB13" s="114"/>
      <c r="AC13" s="114"/>
      <c r="AD13" s="114"/>
      <c r="AE13" s="114"/>
      <c r="AF13" s="114"/>
      <c r="AG13" s="114"/>
      <c r="AI13" s="112"/>
      <c r="AK13" s="111"/>
    </row>
    <row r="14" spans="1:40" x14ac:dyDescent="0.25">
      <c r="X14" s="113" t="s">
        <v>1582</v>
      </c>
      <c r="Y14" s="113">
        <v>121049</v>
      </c>
      <c r="Z14" s="113">
        <v>1841</v>
      </c>
      <c r="AA14" s="113">
        <v>20504</v>
      </c>
      <c r="AB14" s="113">
        <v>46907</v>
      </c>
      <c r="AC14" s="113">
        <v>36605</v>
      </c>
      <c r="AD14" s="113">
        <v>13003</v>
      </c>
      <c r="AE14" s="113">
        <v>2091</v>
      </c>
      <c r="AF14" s="113">
        <v>98</v>
      </c>
      <c r="AG14" s="113"/>
      <c r="AI14" s="112">
        <f t="shared" si="0"/>
        <v>487.70563986484814</v>
      </c>
      <c r="AJ14" s="6">
        <v>499.89</v>
      </c>
      <c r="AK14" s="111">
        <f t="shared" si="1"/>
        <v>12.184360135151849</v>
      </c>
    </row>
    <row r="15" spans="1:40" x14ac:dyDescent="0.25">
      <c r="X15" s="113" t="s">
        <v>1583</v>
      </c>
      <c r="Y15" s="113">
        <v>121049</v>
      </c>
      <c r="Z15" s="113">
        <v>915</v>
      </c>
      <c r="AA15" s="113">
        <v>20715</v>
      </c>
      <c r="AB15" s="113">
        <v>53153</v>
      </c>
      <c r="AC15" s="113">
        <v>35580</v>
      </c>
      <c r="AD15" s="113">
        <v>9170</v>
      </c>
      <c r="AE15" s="113">
        <v>1378</v>
      </c>
      <c r="AF15" s="113">
        <v>134</v>
      </c>
      <c r="AG15" s="113">
        <v>4</v>
      </c>
      <c r="AI15" s="112">
        <f t="shared" si="0"/>
        <v>480.01949623706105</v>
      </c>
      <c r="AJ15" s="115">
        <v>499.88</v>
      </c>
      <c r="AK15" s="111">
        <f t="shared" si="1"/>
        <v>19.860503762938947</v>
      </c>
    </row>
    <row r="16" spans="1:40" x14ac:dyDescent="0.25">
      <c r="X16" s="113" t="s">
        <v>1584</v>
      </c>
      <c r="Y16" s="113">
        <v>121049</v>
      </c>
      <c r="Z16" s="113">
        <v>1964</v>
      </c>
      <c r="AA16" s="113">
        <v>21240</v>
      </c>
      <c r="AB16" s="113">
        <v>42965</v>
      </c>
      <c r="AC16" s="113">
        <v>36434</v>
      </c>
      <c r="AD16" s="113">
        <v>16711</v>
      </c>
      <c r="AE16" s="113">
        <v>1735</v>
      </c>
      <c r="AF16" s="113"/>
      <c r="AG16" s="113"/>
      <c r="AI16" s="112">
        <f t="shared" si="0"/>
        <v>491.70393807466399</v>
      </c>
      <c r="AJ16" s="6">
        <v>499.89</v>
      </c>
      <c r="AK16" s="111">
        <f t="shared" si="1"/>
        <v>8.1860619253359914</v>
      </c>
    </row>
    <row r="17" spans="24:37" x14ac:dyDescent="0.25">
      <c r="X17" s="113" t="s">
        <v>1585</v>
      </c>
      <c r="Y17" s="113">
        <v>121049</v>
      </c>
      <c r="Z17" s="113">
        <v>2295</v>
      </c>
      <c r="AA17" s="113">
        <v>20067</v>
      </c>
      <c r="AB17" s="113">
        <v>43805</v>
      </c>
      <c r="AC17" s="113">
        <v>37764</v>
      </c>
      <c r="AD17" s="113">
        <v>14933</v>
      </c>
      <c r="AE17" s="113">
        <v>2150</v>
      </c>
      <c r="AF17" s="113">
        <v>35</v>
      </c>
      <c r="AG17" s="113"/>
      <c r="AI17" s="112">
        <f t="shared" si="0"/>
        <v>491.51335409627507</v>
      </c>
      <c r="AJ17" s="6">
        <v>499.89</v>
      </c>
      <c r="AK17" s="111">
        <f t="shared" si="1"/>
        <v>8.3766459037249206</v>
      </c>
    </row>
    <row r="18" spans="24:37" x14ac:dyDescent="0.25">
      <c r="X18" s="113" t="s">
        <v>1586</v>
      </c>
      <c r="Y18" s="113">
        <v>121049</v>
      </c>
      <c r="Z18" s="113">
        <v>310</v>
      </c>
      <c r="AA18" s="113">
        <v>19287</v>
      </c>
      <c r="AB18" s="113">
        <v>46037</v>
      </c>
      <c r="AC18" s="113">
        <v>36425</v>
      </c>
      <c r="AD18" s="113">
        <v>14733</v>
      </c>
      <c r="AE18" s="113">
        <v>3548</v>
      </c>
      <c r="AF18" s="113">
        <v>636</v>
      </c>
      <c r="AG18" s="113">
        <v>73</v>
      </c>
      <c r="AI18" s="112">
        <f t="shared" si="0"/>
        <v>499.2429512015795</v>
      </c>
      <c r="AJ18" s="116"/>
      <c r="AK18" s="111">
        <f t="shared" si="1"/>
        <v>499.2429512015795</v>
      </c>
    </row>
    <row r="19" spans="24:37" x14ac:dyDescent="0.25">
      <c r="X19" s="113" t="s">
        <v>1590</v>
      </c>
      <c r="Y19" s="113">
        <v>121049</v>
      </c>
      <c r="Z19" s="113">
        <v>1906</v>
      </c>
      <c r="AA19" s="113">
        <v>18186</v>
      </c>
      <c r="AB19" s="113">
        <v>42300</v>
      </c>
      <c r="AC19" s="113">
        <v>38806</v>
      </c>
      <c r="AD19" s="113">
        <v>16629</v>
      </c>
      <c r="AE19" s="113">
        <v>3070</v>
      </c>
      <c r="AF19" s="113">
        <v>152</v>
      </c>
      <c r="AG19" s="113"/>
      <c r="AI19" s="112">
        <f t="shared" si="0"/>
        <v>499.94324612347066</v>
      </c>
      <c r="AJ19" s="6">
        <v>499.86</v>
      </c>
      <c r="AK19" s="111">
        <f t="shared" si="1"/>
        <v>8.3246123470644307E-2</v>
      </c>
    </row>
    <row r="20" spans="24:37" x14ac:dyDescent="0.25">
      <c r="X20" s="113" t="s">
        <v>1591</v>
      </c>
      <c r="Y20" s="113">
        <v>121049</v>
      </c>
      <c r="Z20" s="113">
        <v>1113</v>
      </c>
      <c r="AA20" s="113">
        <v>17860</v>
      </c>
      <c r="AB20" s="113">
        <v>45458</v>
      </c>
      <c r="AC20" s="113">
        <v>37806</v>
      </c>
      <c r="AD20" s="113">
        <v>14654</v>
      </c>
      <c r="AE20" s="113">
        <v>3540</v>
      </c>
      <c r="AF20" s="113">
        <v>603</v>
      </c>
      <c r="AG20" s="113">
        <v>15</v>
      </c>
      <c r="AI20" s="112">
        <f t="shared" si="0"/>
        <v>499.9503506844336</v>
      </c>
      <c r="AJ20" s="6">
        <v>499.86</v>
      </c>
      <c r="AK20" s="111">
        <f t="shared" si="1"/>
        <v>9.0350684433587958E-2</v>
      </c>
    </row>
    <row r="21" spans="24:37" x14ac:dyDescent="0.25">
      <c r="X21" s="113" t="s">
        <v>1592</v>
      </c>
      <c r="Y21" s="113">
        <v>121049</v>
      </c>
      <c r="Z21" s="113">
        <v>2219</v>
      </c>
      <c r="AA21" s="113">
        <v>19097</v>
      </c>
      <c r="AB21" s="113">
        <v>43058</v>
      </c>
      <c r="AC21" s="113">
        <v>39112</v>
      </c>
      <c r="AD21" s="113">
        <v>16347</v>
      </c>
      <c r="AE21" s="113">
        <v>3101</v>
      </c>
      <c r="AF21" s="113">
        <v>115</v>
      </c>
      <c r="AG21" s="113"/>
      <c r="AI21" s="112">
        <f t="shared" si="0"/>
        <v>505.92751695594347</v>
      </c>
      <c r="AJ21" s="6">
        <v>499.87</v>
      </c>
      <c r="AK21" s="111">
        <f t="shared" si="1"/>
        <v>6.0575169559434698</v>
      </c>
    </row>
    <row r="22" spans="24:37" x14ac:dyDescent="0.25">
      <c r="X22" s="113" t="s">
        <v>1593</v>
      </c>
      <c r="Y22" s="113">
        <v>121049</v>
      </c>
      <c r="Z22" s="113">
        <v>2160</v>
      </c>
      <c r="AA22" s="113">
        <v>18103</v>
      </c>
      <c r="AB22" s="113">
        <v>41002</v>
      </c>
      <c r="AC22" s="113">
        <v>39956</v>
      </c>
      <c r="AD22" s="113">
        <v>17092</v>
      </c>
      <c r="AE22" s="113">
        <v>2605</v>
      </c>
      <c r="AF22" s="113">
        <v>121</v>
      </c>
      <c r="AG22" s="113"/>
      <c r="AI22" s="112">
        <f t="shared" si="0"/>
        <v>500.07806755941806</v>
      </c>
      <c r="AJ22" s="6">
        <v>499.85</v>
      </c>
      <c r="AK22" s="111">
        <f t="shared" si="1"/>
        <v>0.22806755941803658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4159"/>
  <sheetViews>
    <sheetView workbookViewId="0">
      <selection activeCell="J23" sqref="J23"/>
    </sheetView>
  </sheetViews>
  <sheetFormatPr defaultRowHeight="15" x14ac:dyDescent="0.25"/>
  <cols>
    <col min="1" max="1" width="14" style="74" bestFit="1" customWidth="1"/>
  </cols>
  <sheetData>
    <row r="1" spans="1:1" x14ac:dyDescent="0.25">
      <c r="A1" s="117" t="s">
        <v>2</v>
      </c>
    </row>
    <row r="2" spans="1:1" x14ac:dyDescent="0.25">
      <c r="A2" s="129">
        <v>3222133</v>
      </c>
    </row>
    <row r="3" spans="1:1" x14ac:dyDescent="0.25">
      <c r="A3" s="129">
        <v>3332322</v>
      </c>
    </row>
    <row r="4" spans="1:1" x14ac:dyDescent="0.25">
      <c r="A4" s="129">
        <v>3332337</v>
      </c>
    </row>
    <row r="5" spans="1:1" x14ac:dyDescent="0.25">
      <c r="A5" s="129">
        <v>3332345</v>
      </c>
    </row>
    <row r="6" spans="1:1" x14ac:dyDescent="0.25">
      <c r="A6" s="129">
        <v>3342614</v>
      </c>
    </row>
    <row r="7" spans="1:1" ht="15.75" thickBot="1" x14ac:dyDescent="0.3">
      <c r="A7" s="128">
        <v>3271085</v>
      </c>
    </row>
    <row r="8" spans="1:1" ht="15.75" thickBot="1" x14ac:dyDescent="0.3">
      <c r="A8" s="125">
        <v>3321177</v>
      </c>
    </row>
    <row r="9" spans="1:1" ht="15.75" thickBot="1" x14ac:dyDescent="0.3">
      <c r="A9" s="125">
        <v>3331284</v>
      </c>
    </row>
    <row r="10" spans="1:1" ht="15.75" thickBot="1" x14ac:dyDescent="0.3">
      <c r="A10" s="125">
        <v>3621463</v>
      </c>
    </row>
    <row r="11" spans="1:1" ht="15.75" thickBot="1" x14ac:dyDescent="0.3">
      <c r="A11" s="118">
        <v>1111014</v>
      </c>
    </row>
    <row r="12" spans="1:1" ht="15.75" thickBot="1" x14ac:dyDescent="0.3">
      <c r="A12" s="118">
        <v>1111022</v>
      </c>
    </row>
    <row r="13" spans="1:1" ht="15.75" thickBot="1" x14ac:dyDescent="0.3">
      <c r="A13" s="118">
        <v>1111037</v>
      </c>
    </row>
    <row r="14" spans="1:1" ht="15.75" thickBot="1" x14ac:dyDescent="0.3">
      <c r="A14" s="119">
        <v>1111045</v>
      </c>
    </row>
    <row r="15" spans="1:1" ht="16.5" thickTop="1" thickBot="1" x14ac:dyDescent="0.3">
      <c r="A15" s="118">
        <v>1111053</v>
      </c>
    </row>
    <row r="16" spans="1:1" ht="15.75" thickBot="1" x14ac:dyDescent="0.3">
      <c r="A16" s="118">
        <v>1111061</v>
      </c>
    </row>
    <row r="17" spans="1:1" ht="15.75" thickBot="1" x14ac:dyDescent="0.3">
      <c r="A17" s="118">
        <v>1111076</v>
      </c>
    </row>
    <row r="18" spans="1:1" ht="15.75" thickBot="1" x14ac:dyDescent="0.3">
      <c r="A18" s="118">
        <v>1111084</v>
      </c>
    </row>
    <row r="19" spans="1:1" ht="15.75" thickBot="1" x14ac:dyDescent="0.3">
      <c r="A19" s="118">
        <v>1111092</v>
      </c>
    </row>
    <row r="20" spans="1:1" ht="15.75" thickBot="1" x14ac:dyDescent="0.3">
      <c r="A20" s="118">
        <v>1111103</v>
      </c>
    </row>
    <row r="21" spans="1:1" ht="15.75" thickBot="1" x14ac:dyDescent="0.3">
      <c r="A21" s="118">
        <v>1111111</v>
      </c>
    </row>
    <row r="22" spans="1:1" ht="15.75" thickBot="1" x14ac:dyDescent="0.3">
      <c r="A22" s="118">
        <v>1111126</v>
      </c>
    </row>
    <row r="23" spans="1:1" ht="15.75" thickBot="1" x14ac:dyDescent="0.3">
      <c r="A23" s="118">
        <v>1111134</v>
      </c>
    </row>
    <row r="24" spans="1:1" ht="15.75" thickBot="1" x14ac:dyDescent="0.3">
      <c r="A24" s="119">
        <v>1111142</v>
      </c>
    </row>
    <row r="25" spans="1:1" ht="16.5" thickTop="1" thickBot="1" x14ac:dyDescent="0.3">
      <c r="A25" s="118">
        <v>1111157</v>
      </c>
    </row>
    <row r="26" spans="1:1" ht="15.75" thickBot="1" x14ac:dyDescent="0.3">
      <c r="A26" s="118">
        <v>1111165</v>
      </c>
    </row>
    <row r="27" spans="1:1" ht="15.75" thickBot="1" x14ac:dyDescent="0.3">
      <c r="A27" s="118">
        <v>1111173</v>
      </c>
    </row>
    <row r="28" spans="1:1" ht="15.75" thickBot="1" x14ac:dyDescent="0.3">
      <c r="A28" s="118">
        <v>1111181</v>
      </c>
    </row>
    <row r="29" spans="1:1" ht="15.75" thickBot="1" x14ac:dyDescent="0.3">
      <c r="A29" s="118">
        <v>1111196</v>
      </c>
    </row>
    <row r="30" spans="1:1" ht="15.75" thickBot="1" x14ac:dyDescent="0.3">
      <c r="A30" s="118">
        <v>1111207</v>
      </c>
    </row>
    <row r="31" spans="1:1" ht="15.75" thickBot="1" x14ac:dyDescent="0.3">
      <c r="A31" s="118">
        <v>1111215</v>
      </c>
    </row>
    <row r="32" spans="1:1" ht="15.75" thickBot="1" x14ac:dyDescent="0.3">
      <c r="A32" s="118">
        <v>1111223</v>
      </c>
    </row>
    <row r="33" spans="1:1" ht="15.75" thickBot="1" x14ac:dyDescent="0.3">
      <c r="A33" s="118">
        <v>1111231</v>
      </c>
    </row>
    <row r="34" spans="1:1" ht="15.75" thickBot="1" x14ac:dyDescent="0.3">
      <c r="A34" s="118">
        <v>1111246</v>
      </c>
    </row>
    <row r="35" spans="1:1" ht="15.75" thickBot="1" x14ac:dyDescent="0.3">
      <c r="A35" s="118">
        <v>1111254</v>
      </c>
    </row>
    <row r="36" spans="1:1" ht="15.75" thickBot="1" x14ac:dyDescent="0.3">
      <c r="A36" s="118">
        <v>1111262</v>
      </c>
    </row>
    <row r="37" spans="1:1" ht="15.75" thickBot="1" x14ac:dyDescent="0.3">
      <c r="A37" s="118">
        <v>1111277</v>
      </c>
    </row>
    <row r="38" spans="1:1" ht="15.75" thickBot="1" x14ac:dyDescent="0.3">
      <c r="A38" s="118">
        <v>1111285</v>
      </c>
    </row>
    <row r="39" spans="1:1" ht="15.75" thickBot="1" x14ac:dyDescent="0.3">
      <c r="A39" s="118">
        <v>1111293</v>
      </c>
    </row>
    <row r="40" spans="1:1" ht="15.75" thickBot="1" x14ac:dyDescent="0.3">
      <c r="A40" s="118">
        <v>1111304</v>
      </c>
    </row>
    <row r="41" spans="1:1" ht="15.75" thickBot="1" x14ac:dyDescent="0.3">
      <c r="A41" s="118">
        <v>1111312</v>
      </c>
    </row>
    <row r="42" spans="1:1" ht="15.75" thickBot="1" x14ac:dyDescent="0.3">
      <c r="A42" s="119">
        <v>1111327</v>
      </c>
    </row>
    <row r="43" spans="1:1" ht="16.5" thickTop="1" thickBot="1" x14ac:dyDescent="0.3">
      <c r="A43" s="118">
        <v>1111335</v>
      </c>
    </row>
    <row r="44" spans="1:1" ht="15.75" thickBot="1" x14ac:dyDescent="0.3">
      <c r="A44" s="118">
        <v>1111343</v>
      </c>
    </row>
    <row r="45" spans="1:1" ht="15.75" thickBot="1" x14ac:dyDescent="0.3">
      <c r="A45" s="118">
        <v>1111351</v>
      </c>
    </row>
    <row r="46" spans="1:1" ht="15.75" thickBot="1" x14ac:dyDescent="0.3">
      <c r="A46" s="118">
        <v>1111366</v>
      </c>
    </row>
    <row r="47" spans="1:1" ht="15.75" thickBot="1" x14ac:dyDescent="0.3">
      <c r="A47" s="118">
        <v>1111374</v>
      </c>
    </row>
    <row r="48" spans="1:1" ht="15.75" thickBot="1" x14ac:dyDescent="0.3">
      <c r="A48" s="118">
        <v>1111382</v>
      </c>
    </row>
    <row r="49" spans="1:1" ht="15.75" thickBot="1" x14ac:dyDescent="0.3">
      <c r="A49" s="118">
        <v>1111397</v>
      </c>
    </row>
    <row r="50" spans="1:1" ht="15.75" thickBot="1" x14ac:dyDescent="0.3">
      <c r="A50" s="118">
        <v>1111401</v>
      </c>
    </row>
    <row r="51" spans="1:1" ht="15.75" thickBot="1" x14ac:dyDescent="0.3">
      <c r="A51" s="118">
        <v>1112017</v>
      </c>
    </row>
    <row r="52" spans="1:1" ht="15.75" thickBot="1" x14ac:dyDescent="0.3">
      <c r="A52" s="118">
        <v>1112025</v>
      </c>
    </row>
    <row r="53" spans="1:1" ht="15.75" thickBot="1" x14ac:dyDescent="0.3">
      <c r="A53" s="118">
        <v>1112033</v>
      </c>
    </row>
    <row r="54" spans="1:1" ht="15.75" thickBot="1" x14ac:dyDescent="0.3">
      <c r="A54" s="118">
        <v>1112041</v>
      </c>
    </row>
    <row r="55" spans="1:1" ht="15.75" thickBot="1" x14ac:dyDescent="0.3">
      <c r="A55" s="119">
        <v>1112056</v>
      </c>
    </row>
    <row r="56" spans="1:1" ht="16.5" thickTop="1" thickBot="1" x14ac:dyDescent="0.3">
      <c r="A56" s="118">
        <v>1112064</v>
      </c>
    </row>
    <row r="57" spans="1:1" ht="15.75" thickBot="1" x14ac:dyDescent="0.3">
      <c r="A57" s="118">
        <v>1112072</v>
      </c>
    </row>
    <row r="58" spans="1:1" ht="15.75" thickBot="1" x14ac:dyDescent="0.3">
      <c r="A58" s="118">
        <v>1112087</v>
      </c>
    </row>
    <row r="59" spans="1:1" ht="15.75" thickBot="1" x14ac:dyDescent="0.3">
      <c r="A59" s="118">
        <v>1112095</v>
      </c>
    </row>
    <row r="60" spans="1:1" ht="15.75" thickBot="1" x14ac:dyDescent="0.3">
      <c r="A60" s="118">
        <v>1112106</v>
      </c>
    </row>
    <row r="61" spans="1:1" ht="15.75" thickBot="1" x14ac:dyDescent="0.3">
      <c r="A61" s="118">
        <v>1112114</v>
      </c>
    </row>
    <row r="62" spans="1:1" ht="15.75" thickBot="1" x14ac:dyDescent="0.3">
      <c r="A62" s="118">
        <v>1112122</v>
      </c>
    </row>
    <row r="63" spans="1:1" ht="15.75" thickBot="1" x14ac:dyDescent="0.3">
      <c r="A63" s="118">
        <v>1112137</v>
      </c>
    </row>
    <row r="64" spans="1:1" ht="15.75" thickBot="1" x14ac:dyDescent="0.3">
      <c r="A64" s="118">
        <v>1112145</v>
      </c>
    </row>
    <row r="65" spans="1:1" ht="15.75" thickBot="1" x14ac:dyDescent="0.3">
      <c r="A65" s="118">
        <v>1112153</v>
      </c>
    </row>
    <row r="66" spans="1:1" ht="15.75" thickBot="1" x14ac:dyDescent="0.3">
      <c r="A66" s="118">
        <v>1112161</v>
      </c>
    </row>
    <row r="67" spans="1:1" ht="15.75" thickBot="1" x14ac:dyDescent="0.3">
      <c r="A67" s="118">
        <v>1112176</v>
      </c>
    </row>
    <row r="68" spans="1:1" ht="15.75" thickBot="1" x14ac:dyDescent="0.3">
      <c r="A68" s="118">
        <v>1112184</v>
      </c>
    </row>
    <row r="69" spans="1:1" ht="15.75" thickBot="1" x14ac:dyDescent="0.3">
      <c r="A69" s="118">
        <v>1112192</v>
      </c>
    </row>
    <row r="70" spans="1:1" ht="15.75" thickBot="1" x14ac:dyDescent="0.3">
      <c r="A70" s="119">
        <v>1112203</v>
      </c>
    </row>
    <row r="71" spans="1:1" ht="16.5" thickTop="1" thickBot="1" x14ac:dyDescent="0.3">
      <c r="A71" s="118">
        <v>1112211</v>
      </c>
    </row>
    <row r="72" spans="1:1" ht="15.75" thickBot="1" x14ac:dyDescent="0.3">
      <c r="A72" s="118">
        <v>1112226</v>
      </c>
    </row>
    <row r="73" spans="1:1" ht="15.75" thickBot="1" x14ac:dyDescent="0.3">
      <c r="A73" s="118">
        <v>1112234</v>
      </c>
    </row>
    <row r="74" spans="1:1" ht="15.75" thickBot="1" x14ac:dyDescent="0.3">
      <c r="A74" s="118">
        <v>1121016</v>
      </c>
    </row>
    <row r="75" spans="1:1" ht="15.75" thickBot="1" x14ac:dyDescent="0.3">
      <c r="A75" s="118">
        <v>1121024</v>
      </c>
    </row>
    <row r="76" spans="1:1" ht="15.75" thickBot="1" x14ac:dyDescent="0.3">
      <c r="A76" s="118">
        <v>1121032</v>
      </c>
    </row>
    <row r="77" spans="1:1" ht="15.75" thickBot="1" x14ac:dyDescent="0.3">
      <c r="A77" s="118">
        <v>1121047</v>
      </c>
    </row>
    <row r="78" spans="1:1" ht="15.75" thickBot="1" x14ac:dyDescent="0.3">
      <c r="A78" s="118">
        <v>1121055</v>
      </c>
    </row>
    <row r="79" spans="1:1" ht="15.75" thickBot="1" x14ac:dyDescent="0.3">
      <c r="A79" s="118">
        <v>1121063</v>
      </c>
    </row>
    <row r="80" spans="1:1" ht="15.75" thickBot="1" x14ac:dyDescent="0.3">
      <c r="A80" s="119">
        <v>1121071</v>
      </c>
    </row>
    <row r="81" spans="1:1" ht="16.5" thickTop="1" thickBot="1" x14ac:dyDescent="0.3">
      <c r="A81" s="118">
        <v>1121086</v>
      </c>
    </row>
    <row r="82" spans="1:1" ht="15.75" thickBot="1" x14ac:dyDescent="0.3">
      <c r="A82" s="118">
        <v>1121094</v>
      </c>
    </row>
    <row r="83" spans="1:1" ht="15.75" thickBot="1" x14ac:dyDescent="0.3">
      <c r="A83" s="118">
        <v>1121105</v>
      </c>
    </row>
    <row r="84" spans="1:1" ht="15.75" thickBot="1" x14ac:dyDescent="0.3">
      <c r="A84" s="118">
        <v>1121113</v>
      </c>
    </row>
    <row r="85" spans="1:1" ht="15.75" thickBot="1" x14ac:dyDescent="0.3">
      <c r="A85" s="118">
        <v>1121121</v>
      </c>
    </row>
    <row r="86" spans="1:1" ht="15.75" thickBot="1" x14ac:dyDescent="0.3">
      <c r="A86" s="118">
        <v>1121136</v>
      </c>
    </row>
    <row r="87" spans="1:1" ht="15.75" thickBot="1" x14ac:dyDescent="0.3">
      <c r="A87" s="118">
        <v>1121144</v>
      </c>
    </row>
    <row r="88" spans="1:1" ht="15.75" thickBot="1" x14ac:dyDescent="0.3">
      <c r="A88" s="118">
        <v>1121152</v>
      </c>
    </row>
    <row r="89" spans="1:1" ht="15.75" thickBot="1" x14ac:dyDescent="0.3">
      <c r="A89" s="118">
        <v>1121167</v>
      </c>
    </row>
    <row r="90" spans="1:1" ht="15.75" thickBot="1" x14ac:dyDescent="0.3">
      <c r="A90" s="118">
        <v>1121175</v>
      </c>
    </row>
    <row r="91" spans="1:1" ht="15.75" thickBot="1" x14ac:dyDescent="0.3">
      <c r="A91" s="118">
        <v>1121183</v>
      </c>
    </row>
    <row r="92" spans="1:1" ht="15.75" thickBot="1" x14ac:dyDescent="0.3">
      <c r="A92" s="118">
        <v>1122012</v>
      </c>
    </row>
    <row r="93" spans="1:1" ht="15.75" thickBot="1" x14ac:dyDescent="0.3">
      <c r="A93" s="118">
        <v>1122027</v>
      </c>
    </row>
    <row r="94" spans="1:1" ht="15.75" thickBot="1" x14ac:dyDescent="0.3">
      <c r="A94" s="118">
        <v>1122035</v>
      </c>
    </row>
    <row r="95" spans="1:1" ht="15.75" thickBot="1" x14ac:dyDescent="0.3">
      <c r="A95" s="118">
        <v>1122043</v>
      </c>
    </row>
    <row r="96" spans="1:1" ht="15.75" thickBot="1" x14ac:dyDescent="0.3">
      <c r="A96" s="118">
        <v>1122051</v>
      </c>
    </row>
    <row r="97" spans="1:1" ht="15.75" thickBot="1" x14ac:dyDescent="0.3">
      <c r="A97" s="118">
        <v>1122066</v>
      </c>
    </row>
    <row r="98" spans="1:1" ht="15.75" thickBot="1" x14ac:dyDescent="0.3">
      <c r="A98" s="118">
        <v>1122074</v>
      </c>
    </row>
    <row r="99" spans="1:1" ht="15.75" thickBot="1" x14ac:dyDescent="0.3">
      <c r="A99" s="118">
        <v>1122082</v>
      </c>
    </row>
    <row r="100" spans="1:1" ht="15.75" thickBot="1" x14ac:dyDescent="0.3">
      <c r="A100" s="118">
        <v>1122097</v>
      </c>
    </row>
    <row r="101" spans="1:1" ht="15.75" thickBot="1" x14ac:dyDescent="0.3">
      <c r="A101" s="118">
        <v>1122101</v>
      </c>
    </row>
    <row r="102" spans="1:1" ht="15.75" thickBot="1" x14ac:dyDescent="0.3">
      <c r="A102" s="118">
        <v>1122116</v>
      </c>
    </row>
    <row r="103" spans="1:1" ht="15.75" thickBot="1" x14ac:dyDescent="0.3">
      <c r="A103" s="118">
        <v>1122124</v>
      </c>
    </row>
    <row r="104" spans="1:1" ht="15.75" thickBot="1" x14ac:dyDescent="0.3">
      <c r="A104" s="118">
        <v>1122132</v>
      </c>
    </row>
    <row r="105" spans="1:1" ht="15.75" thickBot="1" x14ac:dyDescent="0.3">
      <c r="A105" s="118">
        <v>1131011</v>
      </c>
    </row>
    <row r="106" spans="1:1" ht="15.75" thickBot="1" x14ac:dyDescent="0.3">
      <c r="A106" s="118">
        <v>1131026</v>
      </c>
    </row>
    <row r="107" spans="1:1" ht="15.75" thickBot="1" x14ac:dyDescent="0.3">
      <c r="A107" s="118">
        <v>1131034</v>
      </c>
    </row>
    <row r="108" spans="1:1" ht="15.75" thickBot="1" x14ac:dyDescent="0.3">
      <c r="A108" s="118">
        <v>1131042</v>
      </c>
    </row>
    <row r="109" spans="1:1" ht="15.75" thickBot="1" x14ac:dyDescent="0.3">
      <c r="A109" s="118">
        <v>1131057</v>
      </c>
    </row>
    <row r="110" spans="1:1" ht="15.75" thickBot="1" x14ac:dyDescent="0.3">
      <c r="A110" s="118">
        <v>1131065</v>
      </c>
    </row>
    <row r="111" spans="1:1" ht="15.75" thickBot="1" x14ac:dyDescent="0.3">
      <c r="A111" s="118">
        <v>1131073</v>
      </c>
    </row>
    <row r="112" spans="1:1" ht="15.75" thickBot="1" x14ac:dyDescent="0.3">
      <c r="A112" s="118">
        <v>1131081</v>
      </c>
    </row>
    <row r="113" spans="1:1" ht="15.75" thickBot="1" x14ac:dyDescent="0.3">
      <c r="A113" s="118">
        <v>1131096</v>
      </c>
    </row>
    <row r="114" spans="1:1" ht="15.75" thickBot="1" x14ac:dyDescent="0.3">
      <c r="A114" s="118">
        <v>1131107</v>
      </c>
    </row>
    <row r="115" spans="1:1" ht="15.75" thickBot="1" x14ac:dyDescent="0.3">
      <c r="A115" s="118">
        <v>1131115</v>
      </c>
    </row>
    <row r="116" spans="1:1" ht="15.75" thickBot="1" x14ac:dyDescent="0.3">
      <c r="A116" s="118">
        <v>1132014</v>
      </c>
    </row>
    <row r="117" spans="1:1" ht="15.75" thickBot="1" x14ac:dyDescent="0.3">
      <c r="A117" s="118">
        <v>1132022</v>
      </c>
    </row>
    <row r="118" spans="1:1" ht="15.75" thickBot="1" x14ac:dyDescent="0.3">
      <c r="A118" s="118">
        <v>1132037</v>
      </c>
    </row>
    <row r="119" spans="1:1" ht="15.75" thickBot="1" x14ac:dyDescent="0.3">
      <c r="A119" s="118">
        <v>1132045</v>
      </c>
    </row>
    <row r="120" spans="1:1" ht="15.75" thickBot="1" x14ac:dyDescent="0.3">
      <c r="A120" s="119">
        <v>1132053</v>
      </c>
    </row>
    <row r="121" spans="1:1" ht="16.5" thickTop="1" thickBot="1" x14ac:dyDescent="0.3">
      <c r="A121" s="118">
        <v>1132061</v>
      </c>
    </row>
    <row r="122" spans="1:1" ht="15.75" thickBot="1" x14ac:dyDescent="0.3">
      <c r="A122" s="118">
        <v>1132076</v>
      </c>
    </row>
    <row r="123" spans="1:1" ht="15.75" thickBot="1" x14ac:dyDescent="0.3">
      <c r="A123" s="120">
        <v>1141013</v>
      </c>
    </row>
    <row r="124" spans="1:1" ht="15.75" thickBot="1" x14ac:dyDescent="0.3">
      <c r="A124" s="120">
        <v>1141021</v>
      </c>
    </row>
    <row r="125" spans="1:1" ht="15.75" thickBot="1" x14ac:dyDescent="0.3">
      <c r="A125" s="120">
        <v>1141036</v>
      </c>
    </row>
    <row r="126" spans="1:1" ht="15.75" thickBot="1" x14ac:dyDescent="0.3">
      <c r="A126" s="120">
        <v>1141044</v>
      </c>
    </row>
    <row r="127" spans="1:1" ht="15.75" thickBot="1" x14ac:dyDescent="0.3">
      <c r="A127" s="120">
        <v>1141052</v>
      </c>
    </row>
    <row r="128" spans="1:1" ht="15.75" thickBot="1" x14ac:dyDescent="0.3">
      <c r="A128" s="120">
        <v>1141067</v>
      </c>
    </row>
    <row r="129" spans="1:1" ht="15.75" thickBot="1" x14ac:dyDescent="0.3">
      <c r="A129" s="120">
        <v>1141075</v>
      </c>
    </row>
    <row r="130" spans="1:1" ht="15.75" thickBot="1" x14ac:dyDescent="0.3">
      <c r="A130" s="120">
        <v>1141083</v>
      </c>
    </row>
    <row r="131" spans="1:1" ht="15.75" thickBot="1" x14ac:dyDescent="0.3">
      <c r="A131" s="127">
        <v>1141091</v>
      </c>
    </row>
    <row r="132" spans="1:1" ht="15.75" thickBot="1" x14ac:dyDescent="0.3">
      <c r="A132" s="120">
        <v>1141102</v>
      </c>
    </row>
    <row r="133" spans="1:1" ht="15.75" thickBot="1" x14ac:dyDescent="0.3">
      <c r="A133" s="120">
        <v>1141117</v>
      </c>
    </row>
    <row r="134" spans="1:1" ht="15.75" thickBot="1" x14ac:dyDescent="0.3">
      <c r="A134" s="120">
        <v>1141125</v>
      </c>
    </row>
    <row r="135" spans="1:1" ht="15.75" thickBot="1" x14ac:dyDescent="0.3">
      <c r="A135" s="120">
        <v>1141133</v>
      </c>
    </row>
    <row r="136" spans="1:1" ht="15.75" thickBot="1" x14ac:dyDescent="0.3">
      <c r="A136" s="120">
        <v>1141141</v>
      </c>
    </row>
    <row r="137" spans="1:1" ht="15.75" thickBot="1" x14ac:dyDescent="0.3">
      <c r="A137" s="120">
        <v>1141156</v>
      </c>
    </row>
    <row r="138" spans="1:1" ht="15.75" thickBot="1" x14ac:dyDescent="0.3">
      <c r="A138" s="118">
        <v>1142016</v>
      </c>
    </row>
    <row r="139" spans="1:1" ht="15.75" thickBot="1" x14ac:dyDescent="0.3">
      <c r="A139" s="118">
        <v>1142024</v>
      </c>
    </row>
    <row r="140" spans="1:1" ht="15.75" thickBot="1" x14ac:dyDescent="0.3">
      <c r="A140" s="118">
        <v>1142032</v>
      </c>
    </row>
    <row r="141" spans="1:1" ht="15.75" thickBot="1" x14ac:dyDescent="0.3">
      <c r="A141" s="118">
        <v>1142047</v>
      </c>
    </row>
    <row r="142" spans="1:1" ht="15.75" thickBot="1" x14ac:dyDescent="0.3">
      <c r="A142" s="118">
        <v>1142055</v>
      </c>
    </row>
    <row r="143" spans="1:1" ht="15.75" thickBot="1" x14ac:dyDescent="0.3">
      <c r="A143" s="119">
        <v>1142063</v>
      </c>
    </row>
    <row r="144" spans="1:1" ht="16.5" thickTop="1" thickBot="1" x14ac:dyDescent="0.3">
      <c r="A144" s="118">
        <v>1142071</v>
      </c>
    </row>
    <row r="145" spans="1:1" ht="15.75" thickBot="1" x14ac:dyDescent="0.3">
      <c r="A145" s="118">
        <v>1142086</v>
      </c>
    </row>
    <row r="146" spans="1:1" ht="15.75" thickBot="1" x14ac:dyDescent="0.3">
      <c r="A146" s="118">
        <v>1142094</v>
      </c>
    </row>
    <row r="147" spans="1:1" ht="15.75" thickBot="1" x14ac:dyDescent="0.3">
      <c r="A147" s="118">
        <v>1142105</v>
      </c>
    </row>
    <row r="148" spans="1:1" ht="15.75" thickBot="1" x14ac:dyDescent="0.3">
      <c r="A148" s="124">
        <v>1152011</v>
      </c>
    </row>
    <row r="149" spans="1:1" ht="15.75" thickBot="1" x14ac:dyDescent="0.3">
      <c r="A149" s="124">
        <v>1152026</v>
      </c>
    </row>
    <row r="150" spans="1:1" ht="15.75" thickBot="1" x14ac:dyDescent="0.3">
      <c r="A150" s="124">
        <v>1152034</v>
      </c>
    </row>
    <row r="151" spans="1:1" ht="15.75" thickBot="1" x14ac:dyDescent="0.3">
      <c r="A151" s="124">
        <v>1152042</v>
      </c>
    </row>
    <row r="152" spans="1:1" ht="15.75" thickBot="1" x14ac:dyDescent="0.3">
      <c r="A152" s="124">
        <v>1152057</v>
      </c>
    </row>
    <row r="153" spans="1:1" ht="15.75" thickBot="1" x14ac:dyDescent="0.3">
      <c r="A153" s="124">
        <v>1152065</v>
      </c>
    </row>
    <row r="154" spans="1:1" ht="15.75" thickBot="1" x14ac:dyDescent="0.3">
      <c r="A154" s="119">
        <v>1161017</v>
      </c>
    </row>
    <row r="155" spans="1:1" ht="16.5" thickTop="1" thickBot="1" x14ac:dyDescent="0.3">
      <c r="A155" s="118">
        <v>1161025</v>
      </c>
    </row>
    <row r="156" spans="1:1" ht="15.75" thickBot="1" x14ac:dyDescent="0.3">
      <c r="A156" s="118">
        <v>1161033</v>
      </c>
    </row>
    <row r="157" spans="1:1" ht="15.75" thickBot="1" x14ac:dyDescent="0.3">
      <c r="A157" s="118">
        <v>1161041</v>
      </c>
    </row>
    <row r="158" spans="1:1" ht="15.75" thickBot="1" x14ac:dyDescent="0.3">
      <c r="A158" s="118">
        <v>1161056</v>
      </c>
    </row>
    <row r="159" spans="1:1" ht="15.75" thickBot="1" x14ac:dyDescent="0.3">
      <c r="A159" s="118">
        <v>1161064</v>
      </c>
    </row>
    <row r="160" spans="1:1" ht="15.75" thickBot="1" x14ac:dyDescent="0.3">
      <c r="A160" s="118">
        <v>1161072</v>
      </c>
    </row>
    <row r="161" spans="1:1" ht="15.75" thickBot="1" x14ac:dyDescent="0.3">
      <c r="A161" s="119">
        <v>1162013</v>
      </c>
    </row>
    <row r="162" spans="1:1" ht="16.5" thickTop="1" thickBot="1" x14ac:dyDescent="0.3">
      <c r="A162" s="118">
        <v>1162021</v>
      </c>
    </row>
    <row r="163" spans="1:1" ht="15.75" thickBot="1" x14ac:dyDescent="0.3">
      <c r="A163" s="118">
        <v>1162036</v>
      </c>
    </row>
    <row r="164" spans="1:1" ht="15.75" thickBot="1" x14ac:dyDescent="0.3">
      <c r="A164" s="118">
        <v>1162044</v>
      </c>
    </row>
    <row r="165" spans="1:1" ht="15.75" thickBot="1" x14ac:dyDescent="0.3">
      <c r="A165" s="118">
        <v>1162052</v>
      </c>
    </row>
    <row r="166" spans="1:1" ht="15.75" thickBot="1" x14ac:dyDescent="0.3">
      <c r="A166" s="118">
        <v>1162067</v>
      </c>
    </row>
    <row r="167" spans="1:1" ht="15.75" thickBot="1" x14ac:dyDescent="0.3">
      <c r="A167" s="119">
        <v>1162075</v>
      </c>
    </row>
    <row r="168" spans="1:1" ht="16.5" thickTop="1" thickBot="1" x14ac:dyDescent="0.3">
      <c r="A168" s="118">
        <v>1162083</v>
      </c>
    </row>
    <row r="169" spans="1:1" ht="15.75" thickBot="1" x14ac:dyDescent="0.3">
      <c r="A169" s="118">
        <v>1162091</v>
      </c>
    </row>
    <row r="170" spans="1:1" ht="15.75" thickBot="1" x14ac:dyDescent="0.3">
      <c r="A170" s="118">
        <v>1162102</v>
      </c>
    </row>
    <row r="171" spans="1:1" ht="15.75" thickBot="1" x14ac:dyDescent="0.3">
      <c r="A171" s="119">
        <v>1211015</v>
      </c>
    </row>
    <row r="172" spans="1:1" ht="16.5" thickTop="1" thickBot="1" x14ac:dyDescent="0.3">
      <c r="A172" s="118">
        <v>1211023</v>
      </c>
    </row>
    <row r="173" spans="1:1" ht="15.75" thickBot="1" x14ac:dyDescent="0.3">
      <c r="A173" s="118">
        <v>1211031</v>
      </c>
    </row>
    <row r="174" spans="1:1" ht="15.75" thickBot="1" x14ac:dyDescent="0.3">
      <c r="A174" s="118">
        <v>1211046</v>
      </c>
    </row>
    <row r="175" spans="1:1" ht="15.75" thickBot="1" x14ac:dyDescent="0.3">
      <c r="A175" s="118">
        <v>1211054</v>
      </c>
    </row>
    <row r="176" spans="1:1" ht="15.75" thickBot="1" x14ac:dyDescent="0.3">
      <c r="A176" s="118">
        <v>1211062</v>
      </c>
    </row>
    <row r="177" spans="1:1" ht="15.75" thickBot="1" x14ac:dyDescent="0.3">
      <c r="A177" s="118">
        <v>1211077</v>
      </c>
    </row>
    <row r="178" spans="1:1" ht="15.75" thickBot="1" x14ac:dyDescent="0.3">
      <c r="A178" s="118">
        <v>1211085</v>
      </c>
    </row>
    <row r="179" spans="1:1" ht="15.75" thickBot="1" x14ac:dyDescent="0.3">
      <c r="A179" s="118">
        <v>1211093</v>
      </c>
    </row>
    <row r="180" spans="1:1" ht="15.75" thickBot="1" x14ac:dyDescent="0.3">
      <c r="A180" s="118">
        <v>1211104</v>
      </c>
    </row>
    <row r="181" spans="1:1" ht="15.75" thickBot="1" x14ac:dyDescent="0.3">
      <c r="A181" s="118">
        <v>1211112</v>
      </c>
    </row>
    <row r="182" spans="1:1" ht="15.75" thickBot="1" x14ac:dyDescent="0.3">
      <c r="A182" s="118">
        <v>1211127</v>
      </c>
    </row>
    <row r="183" spans="1:1" ht="15.75" thickBot="1" x14ac:dyDescent="0.3">
      <c r="A183" s="118">
        <v>1211135</v>
      </c>
    </row>
    <row r="184" spans="1:1" ht="15.75" thickBot="1" x14ac:dyDescent="0.3">
      <c r="A184" s="118">
        <v>1211143</v>
      </c>
    </row>
    <row r="185" spans="1:1" ht="15.75" thickBot="1" x14ac:dyDescent="0.3">
      <c r="A185" s="118">
        <v>1211151</v>
      </c>
    </row>
    <row r="186" spans="1:1" ht="15.75" thickBot="1" x14ac:dyDescent="0.3">
      <c r="A186" s="118">
        <v>1211166</v>
      </c>
    </row>
    <row r="187" spans="1:1" ht="15.75" thickBot="1" x14ac:dyDescent="0.3">
      <c r="A187" s="118">
        <v>1211174</v>
      </c>
    </row>
    <row r="188" spans="1:1" ht="15.75" thickBot="1" x14ac:dyDescent="0.3">
      <c r="A188" s="118">
        <v>1211182</v>
      </c>
    </row>
    <row r="189" spans="1:1" ht="15.75" thickBot="1" x14ac:dyDescent="0.3">
      <c r="A189" s="118">
        <v>1211197</v>
      </c>
    </row>
    <row r="190" spans="1:1" ht="15.75" thickBot="1" x14ac:dyDescent="0.3">
      <c r="A190" s="119">
        <v>1211201</v>
      </c>
    </row>
    <row r="191" spans="1:1" ht="16.5" thickTop="1" thickBot="1" x14ac:dyDescent="0.3">
      <c r="A191" s="118">
        <v>1211216</v>
      </c>
    </row>
    <row r="192" spans="1:1" ht="15.75" thickBot="1" x14ac:dyDescent="0.3">
      <c r="A192" s="118">
        <v>1211232</v>
      </c>
    </row>
    <row r="193" spans="1:1" ht="15.75" thickBot="1" x14ac:dyDescent="0.3">
      <c r="A193" s="118">
        <v>1211247</v>
      </c>
    </row>
    <row r="194" spans="1:1" ht="15.75" thickBot="1" x14ac:dyDescent="0.3">
      <c r="A194" s="118">
        <v>1211255</v>
      </c>
    </row>
    <row r="195" spans="1:1" ht="15.75" thickBot="1" x14ac:dyDescent="0.3">
      <c r="A195" s="118">
        <v>1211263</v>
      </c>
    </row>
    <row r="196" spans="1:1" ht="15.75" thickBot="1" x14ac:dyDescent="0.3">
      <c r="A196" s="118">
        <v>1212011</v>
      </c>
    </row>
    <row r="197" spans="1:1" ht="15.75" thickBot="1" x14ac:dyDescent="0.3">
      <c r="A197" s="118">
        <v>1212026</v>
      </c>
    </row>
    <row r="198" spans="1:1" ht="15.75" thickBot="1" x14ac:dyDescent="0.3">
      <c r="A198" s="118">
        <v>1212034</v>
      </c>
    </row>
    <row r="199" spans="1:1" ht="15.75" thickBot="1" x14ac:dyDescent="0.3">
      <c r="A199" s="118">
        <v>1212042</v>
      </c>
    </row>
    <row r="200" spans="1:1" ht="15.75" thickBot="1" x14ac:dyDescent="0.3">
      <c r="A200" s="118">
        <v>1212057</v>
      </c>
    </row>
    <row r="201" spans="1:1" ht="15.75" thickBot="1" x14ac:dyDescent="0.3">
      <c r="A201" s="118">
        <v>1212065</v>
      </c>
    </row>
    <row r="202" spans="1:1" ht="15.75" thickBot="1" x14ac:dyDescent="0.3">
      <c r="A202" s="118">
        <v>1212073</v>
      </c>
    </row>
    <row r="203" spans="1:1" ht="15.75" thickBot="1" x14ac:dyDescent="0.3">
      <c r="A203" s="118">
        <v>1212081</v>
      </c>
    </row>
    <row r="204" spans="1:1" ht="15.75" thickBot="1" x14ac:dyDescent="0.3">
      <c r="A204" s="118">
        <v>1212096</v>
      </c>
    </row>
    <row r="205" spans="1:1" ht="15.75" thickBot="1" x14ac:dyDescent="0.3">
      <c r="A205" s="118">
        <v>1212107</v>
      </c>
    </row>
    <row r="206" spans="1:1" ht="15.75" thickBot="1" x14ac:dyDescent="0.3">
      <c r="A206" s="118">
        <v>1212115</v>
      </c>
    </row>
    <row r="207" spans="1:1" ht="15.75" thickBot="1" x14ac:dyDescent="0.3">
      <c r="A207" s="118">
        <v>1212123</v>
      </c>
    </row>
    <row r="208" spans="1:1" ht="15.75" thickBot="1" x14ac:dyDescent="0.3">
      <c r="A208" s="118">
        <v>1212131</v>
      </c>
    </row>
    <row r="209" spans="1:1" ht="15.75" thickBot="1" x14ac:dyDescent="0.3">
      <c r="A209" s="118">
        <v>1212146</v>
      </c>
    </row>
    <row r="210" spans="1:1" ht="15.75" thickBot="1" x14ac:dyDescent="0.3">
      <c r="A210" s="118">
        <v>1212154</v>
      </c>
    </row>
    <row r="211" spans="1:1" ht="15.75" thickBot="1" x14ac:dyDescent="0.3">
      <c r="A211" s="118">
        <v>1212162</v>
      </c>
    </row>
    <row r="212" spans="1:1" ht="15.75" thickBot="1" x14ac:dyDescent="0.3">
      <c r="A212" s="118">
        <v>1212177</v>
      </c>
    </row>
    <row r="213" spans="1:1" ht="15.75" thickBot="1" x14ac:dyDescent="0.3">
      <c r="A213" s="118">
        <v>1212185</v>
      </c>
    </row>
    <row r="214" spans="1:1" ht="15.75" thickBot="1" x14ac:dyDescent="0.3">
      <c r="A214" s="118">
        <v>1212193</v>
      </c>
    </row>
    <row r="215" spans="1:1" ht="15.75" thickBot="1" x14ac:dyDescent="0.3">
      <c r="A215" s="118">
        <v>1212204</v>
      </c>
    </row>
    <row r="216" spans="1:1" ht="15.75" thickBot="1" x14ac:dyDescent="0.3">
      <c r="A216" s="118">
        <v>1212227</v>
      </c>
    </row>
    <row r="217" spans="1:1" ht="15.75" thickBot="1" x14ac:dyDescent="0.3">
      <c r="A217" s="118">
        <v>1212235</v>
      </c>
    </row>
    <row r="218" spans="1:1" ht="15.75" thickBot="1" x14ac:dyDescent="0.3">
      <c r="A218" s="118">
        <v>1221017</v>
      </c>
    </row>
    <row r="219" spans="1:1" ht="15.75" thickBot="1" x14ac:dyDescent="0.3">
      <c r="A219" s="118">
        <v>1221025</v>
      </c>
    </row>
    <row r="220" spans="1:1" ht="15.75" thickBot="1" x14ac:dyDescent="0.3">
      <c r="A220" s="119">
        <v>1221033</v>
      </c>
    </row>
    <row r="221" spans="1:1" ht="16.5" thickTop="1" thickBot="1" x14ac:dyDescent="0.3">
      <c r="A221" s="118">
        <v>1221041</v>
      </c>
    </row>
    <row r="222" spans="1:1" ht="15.75" thickBot="1" x14ac:dyDescent="0.3">
      <c r="A222" s="118">
        <v>1221056</v>
      </c>
    </row>
    <row r="223" spans="1:1" ht="15.75" thickBot="1" x14ac:dyDescent="0.3">
      <c r="A223" s="118">
        <v>1221064</v>
      </c>
    </row>
    <row r="224" spans="1:1" ht="15.75" thickBot="1" x14ac:dyDescent="0.3">
      <c r="A224" s="118">
        <v>1221072</v>
      </c>
    </row>
    <row r="225" spans="1:1" ht="15.75" thickBot="1" x14ac:dyDescent="0.3">
      <c r="A225" s="118">
        <v>1221087</v>
      </c>
    </row>
    <row r="226" spans="1:1" ht="15.75" thickBot="1" x14ac:dyDescent="0.3">
      <c r="A226" s="118">
        <v>1221095</v>
      </c>
    </row>
    <row r="227" spans="1:1" ht="15.75" thickBot="1" x14ac:dyDescent="0.3">
      <c r="A227" s="118">
        <v>1221106</v>
      </c>
    </row>
    <row r="228" spans="1:1" ht="15.75" thickBot="1" x14ac:dyDescent="0.3">
      <c r="A228" s="118">
        <v>1221114</v>
      </c>
    </row>
    <row r="229" spans="1:1" ht="15.75" thickBot="1" x14ac:dyDescent="0.3">
      <c r="A229" s="118">
        <v>1221122</v>
      </c>
    </row>
    <row r="230" spans="1:1" ht="15.75" thickBot="1" x14ac:dyDescent="0.3">
      <c r="A230" s="118">
        <v>1221137</v>
      </c>
    </row>
    <row r="231" spans="1:1" ht="15.75" thickBot="1" x14ac:dyDescent="0.3">
      <c r="A231" s="118">
        <v>1221145</v>
      </c>
    </row>
    <row r="232" spans="1:1" ht="15.75" thickBot="1" x14ac:dyDescent="0.3">
      <c r="A232" s="118">
        <v>1221153</v>
      </c>
    </row>
    <row r="233" spans="1:1" ht="15.75" thickBot="1" x14ac:dyDescent="0.3">
      <c r="A233" s="118">
        <v>1221161</v>
      </c>
    </row>
    <row r="234" spans="1:1" ht="15.75" thickBot="1" x14ac:dyDescent="0.3">
      <c r="A234" s="118">
        <v>1221176</v>
      </c>
    </row>
    <row r="235" spans="1:1" ht="15.75" thickBot="1" x14ac:dyDescent="0.3">
      <c r="A235" s="118">
        <v>1221184</v>
      </c>
    </row>
    <row r="236" spans="1:1" ht="15.75" thickBot="1" x14ac:dyDescent="0.3">
      <c r="A236" s="118">
        <v>1221192</v>
      </c>
    </row>
    <row r="237" spans="1:1" ht="15.75" thickBot="1" x14ac:dyDescent="0.3">
      <c r="A237" s="118">
        <v>1222021</v>
      </c>
    </row>
    <row r="238" spans="1:1" ht="15.75" thickBot="1" x14ac:dyDescent="0.3">
      <c r="A238" s="118">
        <v>1222036</v>
      </c>
    </row>
    <row r="239" spans="1:1" ht="15.75" thickBot="1" x14ac:dyDescent="0.3">
      <c r="A239" s="118">
        <v>1222044</v>
      </c>
    </row>
    <row r="240" spans="1:1" ht="15.75" thickBot="1" x14ac:dyDescent="0.3">
      <c r="A240" s="118">
        <v>1222052</v>
      </c>
    </row>
    <row r="241" spans="1:1" ht="15.75" thickBot="1" x14ac:dyDescent="0.3">
      <c r="A241" s="118">
        <v>1222067</v>
      </c>
    </row>
    <row r="242" spans="1:1" ht="15.75" thickBot="1" x14ac:dyDescent="0.3">
      <c r="A242" s="118">
        <v>1222075</v>
      </c>
    </row>
    <row r="243" spans="1:1" ht="15.75" thickBot="1" x14ac:dyDescent="0.3">
      <c r="A243" s="118">
        <v>1222083</v>
      </c>
    </row>
    <row r="244" spans="1:1" ht="15.75" thickBot="1" x14ac:dyDescent="0.3">
      <c r="A244" s="118">
        <v>1222091</v>
      </c>
    </row>
    <row r="245" spans="1:1" ht="15.75" thickBot="1" x14ac:dyDescent="0.3">
      <c r="A245" s="119">
        <v>1222102</v>
      </c>
    </row>
    <row r="246" spans="1:1" ht="16.5" thickTop="1" thickBot="1" x14ac:dyDescent="0.3">
      <c r="A246" s="118">
        <v>1222117</v>
      </c>
    </row>
    <row r="247" spans="1:1" ht="15.75" thickBot="1" x14ac:dyDescent="0.3">
      <c r="A247" s="118">
        <v>1222125</v>
      </c>
    </row>
    <row r="248" spans="1:1" ht="15.75" thickBot="1" x14ac:dyDescent="0.3">
      <c r="A248" s="118">
        <v>1222133</v>
      </c>
    </row>
    <row r="249" spans="1:1" ht="15.75" thickBot="1" x14ac:dyDescent="0.3">
      <c r="A249" s="118">
        <v>1222141</v>
      </c>
    </row>
    <row r="250" spans="1:1" ht="15.75" thickBot="1" x14ac:dyDescent="0.3">
      <c r="A250" s="118">
        <v>1222156</v>
      </c>
    </row>
    <row r="251" spans="1:1" ht="15.75" thickBot="1" x14ac:dyDescent="0.3">
      <c r="A251" s="118">
        <v>1222164</v>
      </c>
    </row>
    <row r="252" spans="1:1" ht="15.75" thickBot="1" x14ac:dyDescent="0.3">
      <c r="A252" s="118">
        <v>1222172</v>
      </c>
    </row>
    <row r="253" spans="1:1" ht="15.75" thickBot="1" x14ac:dyDescent="0.3">
      <c r="A253" s="118">
        <v>1222195</v>
      </c>
    </row>
    <row r="254" spans="1:1" ht="15.75" thickBot="1" x14ac:dyDescent="0.3">
      <c r="A254" s="118">
        <v>1222206</v>
      </c>
    </row>
    <row r="255" spans="1:1" ht="15.75" thickBot="1" x14ac:dyDescent="0.3">
      <c r="A255" s="118">
        <v>1222214</v>
      </c>
    </row>
    <row r="256" spans="1:1" ht="15.75" thickBot="1" x14ac:dyDescent="0.3">
      <c r="A256" s="118">
        <v>1222222</v>
      </c>
    </row>
    <row r="257" spans="1:1" ht="15.75" thickBot="1" x14ac:dyDescent="0.3">
      <c r="A257" s="118">
        <v>1222237</v>
      </c>
    </row>
    <row r="258" spans="1:1" ht="15.75" thickBot="1" x14ac:dyDescent="0.3">
      <c r="A258" s="118">
        <v>1222245</v>
      </c>
    </row>
    <row r="259" spans="1:1" ht="15.75" thickBot="1" x14ac:dyDescent="0.3">
      <c r="A259" s="118">
        <v>1222253</v>
      </c>
    </row>
    <row r="260" spans="1:1" ht="15.75" thickBot="1" x14ac:dyDescent="0.3">
      <c r="A260" s="118">
        <v>1222276</v>
      </c>
    </row>
    <row r="261" spans="1:1" ht="15.75" thickBot="1" x14ac:dyDescent="0.3">
      <c r="A261" s="118">
        <v>1222284</v>
      </c>
    </row>
    <row r="262" spans="1:1" ht="15.75" thickBot="1" x14ac:dyDescent="0.3">
      <c r="A262" s="118">
        <v>1222292</v>
      </c>
    </row>
    <row r="263" spans="1:1" ht="15.75" thickBot="1" x14ac:dyDescent="0.3">
      <c r="A263" s="118">
        <v>1222303</v>
      </c>
    </row>
    <row r="264" spans="1:1" ht="15.75" thickBot="1" x14ac:dyDescent="0.3">
      <c r="A264" s="118">
        <v>1222311</v>
      </c>
    </row>
    <row r="265" spans="1:1" ht="15.75" thickBot="1" x14ac:dyDescent="0.3">
      <c r="A265" s="118">
        <v>1222326</v>
      </c>
    </row>
    <row r="266" spans="1:1" ht="15.75" thickBot="1" x14ac:dyDescent="0.3">
      <c r="A266" s="118">
        <v>1222334</v>
      </c>
    </row>
    <row r="267" spans="1:1" ht="15.75" thickBot="1" x14ac:dyDescent="0.3">
      <c r="A267" s="123">
        <v>1231012</v>
      </c>
    </row>
    <row r="268" spans="1:1" ht="16.5" thickTop="1" thickBot="1" x14ac:dyDescent="0.3">
      <c r="A268" s="127">
        <v>1231027</v>
      </c>
    </row>
    <row r="269" spans="1:1" ht="15.75" thickBot="1" x14ac:dyDescent="0.3">
      <c r="A269" s="120">
        <v>1231035</v>
      </c>
    </row>
    <row r="270" spans="1:1" ht="15.75" thickBot="1" x14ac:dyDescent="0.3">
      <c r="A270" s="120">
        <v>1231043</v>
      </c>
    </row>
    <row r="271" spans="1:1" ht="15.75" thickBot="1" x14ac:dyDescent="0.3">
      <c r="A271" s="120">
        <v>1231051</v>
      </c>
    </row>
    <row r="272" spans="1:1" ht="15.75" thickBot="1" x14ac:dyDescent="0.3">
      <c r="A272" s="120">
        <v>1231066</v>
      </c>
    </row>
    <row r="273" spans="1:1" ht="15.75" thickBot="1" x14ac:dyDescent="0.3">
      <c r="A273" s="120">
        <v>1232015</v>
      </c>
    </row>
    <row r="274" spans="1:1" ht="15.75" thickBot="1" x14ac:dyDescent="0.3">
      <c r="A274" s="120">
        <v>1232023</v>
      </c>
    </row>
    <row r="275" spans="1:1" ht="15.75" thickBot="1" x14ac:dyDescent="0.3">
      <c r="A275" s="127">
        <v>1232031</v>
      </c>
    </row>
    <row r="276" spans="1:1" ht="15.75" thickBot="1" x14ac:dyDescent="0.3">
      <c r="A276" s="120">
        <v>1232046</v>
      </c>
    </row>
    <row r="277" spans="1:1" ht="15.75" thickBot="1" x14ac:dyDescent="0.3">
      <c r="A277" s="118">
        <v>1311016</v>
      </c>
    </row>
    <row r="278" spans="1:1" ht="15.75" thickBot="1" x14ac:dyDescent="0.3">
      <c r="A278" s="119">
        <v>1311024</v>
      </c>
    </row>
    <row r="279" spans="1:1" ht="16.5" thickTop="1" thickBot="1" x14ac:dyDescent="0.3">
      <c r="A279" s="118">
        <v>1311032</v>
      </c>
    </row>
    <row r="280" spans="1:1" ht="15.75" thickBot="1" x14ac:dyDescent="0.3">
      <c r="A280" s="118">
        <v>1311047</v>
      </c>
    </row>
    <row r="281" spans="1:1" ht="15.75" thickBot="1" x14ac:dyDescent="0.3">
      <c r="A281" s="118">
        <v>1311055</v>
      </c>
    </row>
    <row r="282" spans="1:1" ht="15.75" thickBot="1" x14ac:dyDescent="0.3">
      <c r="A282" s="118">
        <v>1311063</v>
      </c>
    </row>
    <row r="283" spans="1:1" ht="15.75" thickBot="1" x14ac:dyDescent="0.3">
      <c r="A283" s="118">
        <v>1311071</v>
      </c>
    </row>
    <row r="284" spans="1:1" ht="15.75" thickBot="1" x14ac:dyDescent="0.3">
      <c r="A284" s="118">
        <v>1311086</v>
      </c>
    </row>
    <row r="285" spans="1:1" ht="15.75" thickBot="1" x14ac:dyDescent="0.3">
      <c r="A285" s="118">
        <v>1311094</v>
      </c>
    </row>
    <row r="286" spans="1:1" ht="15.75" thickBot="1" x14ac:dyDescent="0.3">
      <c r="A286" s="118">
        <v>1311105</v>
      </c>
    </row>
    <row r="287" spans="1:1" ht="15.75" thickBot="1" x14ac:dyDescent="0.3">
      <c r="A287" s="118">
        <v>1311113</v>
      </c>
    </row>
    <row r="288" spans="1:1" ht="15.75" thickBot="1" x14ac:dyDescent="0.3">
      <c r="A288" s="118">
        <v>1311121</v>
      </c>
    </row>
    <row r="289" spans="1:1" ht="15.75" thickBot="1" x14ac:dyDescent="0.3">
      <c r="A289" s="118">
        <v>1311136</v>
      </c>
    </row>
    <row r="290" spans="1:1" ht="15.75" thickBot="1" x14ac:dyDescent="0.3">
      <c r="A290" s="118">
        <v>1311144</v>
      </c>
    </row>
    <row r="291" spans="1:1" ht="15.75" thickBot="1" x14ac:dyDescent="0.3">
      <c r="A291" s="118">
        <v>1311152</v>
      </c>
    </row>
    <row r="292" spans="1:1" ht="15.75" thickBot="1" x14ac:dyDescent="0.3">
      <c r="A292" s="118">
        <v>1311167</v>
      </c>
    </row>
    <row r="293" spans="1:1" ht="15.75" thickBot="1" x14ac:dyDescent="0.3">
      <c r="A293" s="118">
        <v>1311175</v>
      </c>
    </row>
    <row r="294" spans="1:1" ht="15.75" thickBot="1" x14ac:dyDescent="0.3">
      <c r="A294" s="118">
        <v>1311183</v>
      </c>
    </row>
    <row r="295" spans="1:1" ht="15.75" thickBot="1" x14ac:dyDescent="0.3">
      <c r="A295" s="118">
        <v>1311191</v>
      </c>
    </row>
    <row r="296" spans="1:1" ht="15.75" thickBot="1" x14ac:dyDescent="0.3">
      <c r="A296" s="118">
        <v>1311202</v>
      </c>
    </row>
    <row r="297" spans="1:1" ht="15.75" thickBot="1" x14ac:dyDescent="0.3">
      <c r="A297" s="118">
        <v>1311217</v>
      </c>
    </row>
    <row r="298" spans="1:1" ht="15.75" thickBot="1" x14ac:dyDescent="0.3">
      <c r="A298" s="118">
        <v>1311225</v>
      </c>
    </row>
    <row r="299" spans="1:1" ht="15.75" thickBot="1" x14ac:dyDescent="0.3">
      <c r="A299" s="118">
        <v>1311233</v>
      </c>
    </row>
    <row r="300" spans="1:1" ht="15.75" thickBot="1" x14ac:dyDescent="0.3">
      <c r="A300" s="118">
        <v>1311241</v>
      </c>
    </row>
    <row r="301" spans="1:1" ht="15.75" thickBot="1" x14ac:dyDescent="0.3">
      <c r="A301" s="118">
        <v>1311256</v>
      </c>
    </row>
    <row r="302" spans="1:1" ht="15.75" thickBot="1" x14ac:dyDescent="0.3">
      <c r="A302" s="118">
        <v>1311264</v>
      </c>
    </row>
    <row r="303" spans="1:1" ht="15.75" thickBot="1" x14ac:dyDescent="0.3">
      <c r="A303" s="118">
        <v>1311272</v>
      </c>
    </row>
    <row r="304" spans="1:1" ht="15.75" thickBot="1" x14ac:dyDescent="0.3">
      <c r="A304" s="118">
        <v>1311287</v>
      </c>
    </row>
    <row r="305" spans="1:1" ht="15.75" thickBot="1" x14ac:dyDescent="0.3">
      <c r="A305" s="118">
        <v>1311295</v>
      </c>
    </row>
    <row r="306" spans="1:1" ht="15.75" thickBot="1" x14ac:dyDescent="0.3">
      <c r="A306" s="118">
        <v>1311306</v>
      </c>
    </row>
    <row r="307" spans="1:1" ht="15.75" thickBot="1" x14ac:dyDescent="0.3">
      <c r="A307" s="123">
        <v>1312012</v>
      </c>
    </row>
    <row r="308" spans="1:1" ht="16.5" thickTop="1" thickBot="1" x14ac:dyDescent="0.3">
      <c r="A308" s="120">
        <v>1312027</v>
      </c>
    </row>
    <row r="309" spans="1:1" ht="15.75" thickBot="1" x14ac:dyDescent="0.3">
      <c r="A309" s="120">
        <v>1312035</v>
      </c>
    </row>
    <row r="310" spans="1:1" ht="15.75" thickBot="1" x14ac:dyDescent="0.3">
      <c r="A310" s="120">
        <v>1312043</v>
      </c>
    </row>
    <row r="311" spans="1:1" ht="15.75" thickBot="1" x14ac:dyDescent="0.3">
      <c r="A311" s="127">
        <v>1312051</v>
      </c>
    </row>
    <row r="312" spans="1:1" ht="15.75" thickBot="1" x14ac:dyDescent="0.3">
      <c r="A312" s="120">
        <v>1312066</v>
      </c>
    </row>
    <row r="313" spans="1:1" ht="15.75" thickBot="1" x14ac:dyDescent="0.3">
      <c r="A313" s="120">
        <v>1312074</v>
      </c>
    </row>
    <row r="314" spans="1:1" ht="15.75" thickBot="1" x14ac:dyDescent="0.3">
      <c r="A314" s="120">
        <v>1312082</v>
      </c>
    </row>
    <row r="315" spans="1:1" ht="15.75" thickBot="1" x14ac:dyDescent="0.3">
      <c r="A315" s="120">
        <v>1312097</v>
      </c>
    </row>
    <row r="316" spans="1:1" ht="15.75" thickBot="1" x14ac:dyDescent="0.3">
      <c r="A316" s="120">
        <v>1312101</v>
      </c>
    </row>
    <row r="317" spans="1:1" ht="15.75" thickBot="1" x14ac:dyDescent="0.3">
      <c r="A317" s="120">
        <v>1312116</v>
      </c>
    </row>
    <row r="318" spans="1:1" ht="15.75" thickBot="1" x14ac:dyDescent="0.3">
      <c r="A318" s="120">
        <v>1312124</v>
      </c>
    </row>
    <row r="319" spans="1:1" ht="15.75" thickBot="1" x14ac:dyDescent="0.3">
      <c r="A319" s="120">
        <v>1312132</v>
      </c>
    </row>
    <row r="320" spans="1:1" ht="15.75" thickBot="1" x14ac:dyDescent="0.3">
      <c r="A320" s="120">
        <v>1312147</v>
      </c>
    </row>
    <row r="321" spans="1:1" ht="15.75" thickBot="1" x14ac:dyDescent="0.3">
      <c r="A321" s="120">
        <v>1312155</v>
      </c>
    </row>
    <row r="322" spans="1:1" ht="15.75" thickBot="1" x14ac:dyDescent="0.3">
      <c r="A322" s="120">
        <v>1312163</v>
      </c>
    </row>
    <row r="323" spans="1:1" ht="15.75" thickBot="1" x14ac:dyDescent="0.3">
      <c r="A323" s="120">
        <v>1312171</v>
      </c>
    </row>
    <row r="324" spans="1:1" ht="15.75" thickBot="1" x14ac:dyDescent="0.3">
      <c r="A324" s="123">
        <v>1312186</v>
      </c>
    </row>
    <row r="325" spans="1:1" ht="16.5" thickTop="1" thickBot="1" x14ac:dyDescent="0.3">
      <c r="A325" s="120">
        <v>1312194</v>
      </c>
    </row>
    <row r="326" spans="1:1" ht="15.75" thickBot="1" x14ac:dyDescent="0.3">
      <c r="A326" s="120">
        <v>1312205</v>
      </c>
    </row>
    <row r="327" spans="1:1" ht="15.75" thickBot="1" x14ac:dyDescent="0.3">
      <c r="A327" s="120">
        <v>1312213</v>
      </c>
    </row>
    <row r="328" spans="1:1" ht="15.75" thickBot="1" x14ac:dyDescent="0.3">
      <c r="A328" s="120">
        <v>1312221</v>
      </c>
    </row>
    <row r="329" spans="1:1" ht="15.75" thickBot="1" x14ac:dyDescent="0.3">
      <c r="A329" s="120">
        <v>1312236</v>
      </c>
    </row>
    <row r="330" spans="1:1" ht="15.75" thickBot="1" x14ac:dyDescent="0.3">
      <c r="A330" s="118">
        <v>1321011</v>
      </c>
    </row>
    <row r="331" spans="1:1" ht="15.75" thickBot="1" x14ac:dyDescent="0.3">
      <c r="A331" s="118">
        <v>1321026</v>
      </c>
    </row>
    <row r="332" spans="1:1" ht="15.75" thickBot="1" x14ac:dyDescent="0.3">
      <c r="A332" s="118">
        <v>1321034</v>
      </c>
    </row>
    <row r="333" spans="1:1" ht="15.75" thickBot="1" x14ac:dyDescent="0.3">
      <c r="A333" s="118">
        <v>1321042</v>
      </c>
    </row>
    <row r="334" spans="1:1" ht="15.75" thickBot="1" x14ac:dyDescent="0.3">
      <c r="A334" s="118">
        <v>1321057</v>
      </c>
    </row>
    <row r="335" spans="1:1" ht="15.75" thickBot="1" x14ac:dyDescent="0.3">
      <c r="A335" s="118">
        <v>1321065</v>
      </c>
    </row>
    <row r="336" spans="1:1" ht="15.75" thickBot="1" x14ac:dyDescent="0.3">
      <c r="A336" s="118">
        <v>1321081</v>
      </c>
    </row>
    <row r="337" spans="1:1" ht="15.75" thickBot="1" x14ac:dyDescent="0.3">
      <c r="A337" s="118">
        <v>1321096</v>
      </c>
    </row>
    <row r="338" spans="1:1" ht="15.75" thickBot="1" x14ac:dyDescent="0.3">
      <c r="A338" s="118">
        <v>1321107</v>
      </c>
    </row>
    <row r="339" spans="1:1" ht="15.75" thickBot="1" x14ac:dyDescent="0.3">
      <c r="A339" s="118">
        <v>1321115</v>
      </c>
    </row>
    <row r="340" spans="1:1" ht="15.75" thickBot="1" x14ac:dyDescent="0.3">
      <c r="A340" s="118">
        <v>1322014</v>
      </c>
    </row>
    <row r="341" spans="1:1" ht="15.75" thickBot="1" x14ac:dyDescent="0.3">
      <c r="A341" s="118">
        <v>1322022</v>
      </c>
    </row>
    <row r="342" spans="1:1" ht="15.75" thickBot="1" x14ac:dyDescent="0.3">
      <c r="A342" s="118">
        <v>1322037</v>
      </c>
    </row>
    <row r="343" spans="1:1" ht="15.75" thickBot="1" x14ac:dyDescent="0.3">
      <c r="A343" s="118">
        <v>1322045</v>
      </c>
    </row>
    <row r="344" spans="1:1" ht="15.75" thickBot="1" x14ac:dyDescent="0.3">
      <c r="A344" s="118">
        <v>1322053</v>
      </c>
    </row>
    <row r="345" spans="1:1" ht="15.75" thickBot="1" x14ac:dyDescent="0.3">
      <c r="A345" s="119">
        <v>1322111</v>
      </c>
    </row>
    <row r="346" spans="1:1" ht="16.5" thickTop="1" thickBot="1" x14ac:dyDescent="0.3">
      <c r="A346" s="118">
        <v>1322223</v>
      </c>
    </row>
    <row r="347" spans="1:1" ht="15.75" thickBot="1" x14ac:dyDescent="0.3">
      <c r="A347" s="118">
        <v>1322262</v>
      </c>
    </row>
    <row r="348" spans="1:1" ht="15.75" thickBot="1" x14ac:dyDescent="0.3">
      <c r="A348" s="118">
        <v>1322277</v>
      </c>
    </row>
    <row r="349" spans="1:1" ht="15.75" thickBot="1" x14ac:dyDescent="0.3">
      <c r="A349" s="118">
        <v>1331013</v>
      </c>
    </row>
    <row r="350" spans="1:1" ht="15.75" thickBot="1" x14ac:dyDescent="0.3">
      <c r="A350" s="118">
        <v>1331021</v>
      </c>
    </row>
    <row r="351" spans="1:1" ht="15.75" thickBot="1" x14ac:dyDescent="0.3">
      <c r="A351" s="118">
        <v>1331036</v>
      </c>
    </row>
    <row r="352" spans="1:1" ht="15.75" thickBot="1" x14ac:dyDescent="0.3">
      <c r="A352" s="118">
        <v>1331044</v>
      </c>
    </row>
    <row r="353" spans="1:1" ht="15.75" thickBot="1" x14ac:dyDescent="0.3">
      <c r="A353" s="118">
        <v>1331052</v>
      </c>
    </row>
    <row r="354" spans="1:1" ht="15.75" thickBot="1" x14ac:dyDescent="0.3">
      <c r="A354" s="118">
        <v>1331067</v>
      </c>
    </row>
    <row r="355" spans="1:1" ht="15.75" thickBot="1" x14ac:dyDescent="0.3">
      <c r="A355" s="118">
        <v>1331075</v>
      </c>
    </row>
    <row r="356" spans="1:1" ht="15.75" thickBot="1" x14ac:dyDescent="0.3">
      <c r="A356" s="118">
        <v>1331083</v>
      </c>
    </row>
    <row r="357" spans="1:1" ht="15.75" thickBot="1" x14ac:dyDescent="0.3">
      <c r="A357" s="118">
        <v>1331091</v>
      </c>
    </row>
    <row r="358" spans="1:1" ht="15.75" thickBot="1" x14ac:dyDescent="0.3">
      <c r="A358" s="118">
        <v>1331102</v>
      </c>
    </row>
    <row r="359" spans="1:1" ht="15.75" thickBot="1" x14ac:dyDescent="0.3">
      <c r="A359" s="118">
        <v>1332016</v>
      </c>
    </row>
    <row r="360" spans="1:1" ht="15.75" thickBot="1" x14ac:dyDescent="0.3">
      <c r="A360" s="118">
        <v>1332024</v>
      </c>
    </row>
    <row r="361" spans="1:1" ht="15.75" thickBot="1" x14ac:dyDescent="0.3">
      <c r="A361" s="118">
        <v>1332032</v>
      </c>
    </row>
    <row r="362" spans="1:1" ht="15.75" thickBot="1" x14ac:dyDescent="0.3">
      <c r="A362" s="118">
        <v>1332047</v>
      </c>
    </row>
    <row r="363" spans="1:1" ht="15.75" thickBot="1" x14ac:dyDescent="0.3">
      <c r="A363" s="118">
        <v>1332055</v>
      </c>
    </row>
    <row r="364" spans="1:1" ht="15.75" thickBot="1" x14ac:dyDescent="0.3">
      <c r="A364" s="118">
        <v>1332063</v>
      </c>
    </row>
    <row r="365" spans="1:1" ht="15.75" thickBot="1" x14ac:dyDescent="0.3">
      <c r="A365" s="118">
        <v>1332071</v>
      </c>
    </row>
    <row r="366" spans="1:1" ht="15.75" thickBot="1" x14ac:dyDescent="0.3">
      <c r="A366" s="118">
        <v>1332086</v>
      </c>
    </row>
    <row r="367" spans="1:1" ht="15.75" thickBot="1" x14ac:dyDescent="0.3">
      <c r="A367" s="118">
        <v>1332094</v>
      </c>
    </row>
    <row r="368" spans="1:1" ht="15.75" thickBot="1" x14ac:dyDescent="0.3">
      <c r="A368" s="118">
        <v>1411017</v>
      </c>
    </row>
    <row r="369" spans="1:1" ht="15.75" thickBot="1" x14ac:dyDescent="0.3">
      <c r="A369" s="118">
        <v>1411025</v>
      </c>
    </row>
    <row r="370" spans="1:1" ht="15.75" thickBot="1" x14ac:dyDescent="0.3">
      <c r="A370" s="118">
        <v>1411033</v>
      </c>
    </row>
    <row r="371" spans="1:1" ht="15.75" thickBot="1" x14ac:dyDescent="0.3">
      <c r="A371" s="118">
        <v>1411041</v>
      </c>
    </row>
    <row r="372" spans="1:1" ht="15.75" thickBot="1" x14ac:dyDescent="0.3">
      <c r="A372" s="118">
        <v>1411056</v>
      </c>
    </row>
    <row r="373" spans="1:1" ht="15.75" thickBot="1" x14ac:dyDescent="0.3">
      <c r="A373" s="118">
        <v>1411064</v>
      </c>
    </row>
    <row r="374" spans="1:1" ht="15.75" thickBot="1" x14ac:dyDescent="0.3">
      <c r="A374" s="118">
        <v>1411072</v>
      </c>
    </row>
    <row r="375" spans="1:1" ht="15.75" thickBot="1" x14ac:dyDescent="0.3">
      <c r="A375" s="118">
        <v>1411087</v>
      </c>
    </row>
    <row r="376" spans="1:1" ht="15.75" thickBot="1" x14ac:dyDescent="0.3">
      <c r="A376" s="118">
        <v>1411095</v>
      </c>
    </row>
    <row r="377" spans="1:1" ht="15.75" thickBot="1" x14ac:dyDescent="0.3">
      <c r="A377" s="118">
        <v>1411106</v>
      </c>
    </row>
    <row r="378" spans="1:1" ht="15.75" thickBot="1" x14ac:dyDescent="0.3">
      <c r="A378" s="118">
        <v>1411114</v>
      </c>
    </row>
    <row r="379" spans="1:1" ht="15.75" thickBot="1" x14ac:dyDescent="0.3">
      <c r="A379" s="118">
        <v>1411122</v>
      </c>
    </row>
    <row r="380" spans="1:1" ht="15.75" thickBot="1" x14ac:dyDescent="0.3">
      <c r="A380" s="119">
        <v>1411137</v>
      </c>
    </row>
    <row r="381" spans="1:1" ht="16.5" thickTop="1" thickBot="1" x14ac:dyDescent="0.3">
      <c r="A381" s="118">
        <v>1411145</v>
      </c>
    </row>
    <row r="382" spans="1:1" ht="15.75" thickBot="1" x14ac:dyDescent="0.3">
      <c r="A382" s="118">
        <v>1411153</v>
      </c>
    </row>
    <row r="383" spans="1:1" ht="15.75" thickBot="1" x14ac:dyDescent="0.3">
      <c r="A383" s="118">
        <v>1411161</v>
      </c>
    </row>
    <row r="384" spans="1:1" ht="15.75" thickBot="1" x14ac:dyDescent="0.3">
      <c r="A384" s="118">
        <v>1411176</v>
      </c>
    </row>
    <row r="385" spans="1:1" ht="15.75" thickBot="1" x14ac:dyDescent="0.3">
      <c r="A385" s="118">
        <v>1411184</v>
      </c>
    </row>
    <row r="386" spans="1:1" ht="15.75" thickBot="1" x14ac:dyDescent="0.3">
      <c r="A386" s="118">
        <v>1411192</v>
      </c>
    </row>
    <row r="387" spans="1:1" ht="15.75" thickBot="1" x14ac:dyDescent="0.3">
      <c r="A387" s="118">
        <v>1411203</v>
      </c>
    </row>
    <row r="388" spans="1:1" ht="15.75" thickBot="1" x14ac:dyDescent="0.3">
      <c r="A388" s="118">
        <v>1411211</v>
      </c>
    </row>
    <row r="389" spans="1:1" ht="15.75" thickBot="1" x14ac:dyDescent="0.3">
      <c r="A389" s="118">
        <v>1411226</v>
      </c>
    </row>
    <row r="390" spans="1:1" ht="15.75" thickBot="1" x14ac:dyDescent="0.3">
      <c r="A390" s="119">
        <v>1411234</v>
      </c>
    </row>
    <row r="391" spans="1:1" ht="16.5" thickTop="1" thickBot="1" x14ac:dyDescent="0.3">
      <c r="A391" s="118">
        <v>1411257</v>
      </c>
    </row>
    <row r="392" spans="1:1" ht="15.75" thickBot="1" x14ac:dyDescent="0.3">
      <c r="A392" s="118">
        <v>1411265</v>
      </c>
    </row>
    <row r="393" spans="1:1" ht="15.75" thickBot="1" x14ac:dyDescent="0.3">
      <c r="A393" s="118">
        <v>1411273</v>
      </c>
    </row>
    <row r="394" spans="1:1" ht="15.75" thickBot="1" x14ac:dyDescent="0.3">
      <c r="A394" s="118">
        <v>1411281</v>
      </c>
    </row>
    <row r="395" spans="1:1" ht="15.75" thickBot="1" x14ac:dyDescent="0.3">
      <c r="A395" s="118">
        <v>1411296</v>
      </c>
    </row>
    <row r="396" spans="1:1" ht="15.75" thickBot="1" x14ac:dyDescent="0.3">
      <c r="A396" s="118">
        <v>1411307</v>
      </c>
    </row>
    <row r="397" spans="1:1" ht="15.75" thickBot="1" x14ac:dyDescent="0.3">
      <c r="A397" s="120">
        <v>1412013</v>
      </c>
    </row>
    <row r="398" spans="1:1" ht="15.75" thickBot="1" x14ac:dyDescent="0.3">
      <c r="A398" s="120">
        <v>1412021</v>
      </c>
    </row>
    <row r="399" spans="1:1" ht="15.75" thickBot="1" x14ac:dyDescent="0.3">
      <c r="A399" s="123">
        <v>1412036</v>
      </c>
    </row>
    <row r="400" spans="1:1" ht="16.5" thickTop="1" thickBot="1" x14ac:dyDescent="0.3">
      <c r="A400" s="127">
        <v>1412044</v>
      </c>
    </row>
    <row r="401" spans="1:1" ht="15.75" thickBot="1" x14ac:dyDescent="0.3">
      <c r="A401" s="120">
        <v>1412052</v>
      </c>
    </row>
    <row r="402" spans="1:1" ht="15.75" thickBot="1" x14ac:dyDescent="0.3">
      <c r="A402" s="120">
        <v>1412067</v>
      </c>
    </row>
    <row r="403" spans="1:1" ht="15.75" thickBot="1" x14ac:dyDescent="0.3">
      <c r="A403" s="120">
        <v>1412075</v>
      </c>
    </row>
    <row r="404" spans="1:1" ht="15.75" thickBot="1" x14ac:dyDescent="0.3">
      <c r="A404" s="120">
        <v>1412083</v>
      </c>
    </row>
    <row r="405" spans="1:1" ht="15.75" thickBot="1" x14ac:dyDescent="0.3">
      <c r="A405" s="120">
        <v>1412091</v>
      </c>
    </row>
    <row r="406" spans="1:1" ht="15.75" thickBot="1" x14ac:dyDescent="0.3">
      <c r="A406" s="120">
        <v>1412102</v>
      </c>
    </row>
    <row r="407" spans="1:1" ht="15.75" thickBot="1" x14ac:dyDescent="0.3">
      <c r="A407" s="120">
        <v>1412117</v>
      </c>
    </row>
    <row r="408" spans="1:1" ht="15.75" thickBot="1" x14ac:dyDescent="0.3">
      <c r="A408" s="120">
        <v>1412125</v>
      </c>
    </row>
    <row r="409" spans="1:1" ht="15.75" thickBot="1" x14ac:dyDescent="0.3">
      <c r="A409" s="120">
        <v>1412133</v>
      </c>
    </row>
    <row r="410" spans="1:1" ht="15.75" thickBot="1" x14ac:dyDescent="0.3">
      <c r="A410" s="120">
        <v>1412141</v>
      </c>
    </row>
    <row r="411" spans="1:1" ht="15.75" thickBot="1" x14ac:dyDescent="0.3">
      <c r="A411" s="120">
        <v>1412156</v>
      </c>
    </row>
    <row r="412" spans="1:1" ht="15.75" thickBot="1" x14ac:dyDescent="0.3">
      <c r="A412" s="120">
        <v>1412164</v>
      </c>
    </row>
    <row r="413" spans="1:1" ht="15.75" thickBot="1" x14ac:dyDescent="0.3">
      <c r="A413" s="120">
        <v>1412172</v>
      </c>
    </row>
    <row r="414" spans="1:1" ht="15.75" thickBot="1" x14ac:dyDescent="0.3">
      <c r="A414" s="118">
        <v>1421012</v>
      </c>
    </row>
    <row r="415" spans="1:1" ht="15.75" thickBot="1" x14ac:dyDescent="0.3">
      <c r="A415" s="118">
        <v>1421027</v>
      </c>
    </row>
    <row r="416" spans="1:1" ht="15.75" thickBot="1" x14ac:dyDescent="0.3">
      <c r="A416" s="118">
        <v>1421035</v>
      </c>
    </row>
    <row r="417" spans="1:1" ht="15.75" thickBot="1" x14ac:dyDescent="0.3">
      <c r="A417" s="118">
        <v>1421043</v>
      </c>
    </row>
    <row r="418" spans="1:1" ht="15.75" thickBot="1" x14ac:dyDescent="0.3">
      <c r="A418" s="118">
        <v>1421051</v>
      </c>
    </row>
    <row r="419" spans="1:1" ht="15.75" thickBot="1" x14ac:dyDescent="0.3">
      <c r="A419" s="118">
        <v>1421066</v>
      </c>
    </row>
    <row r="420" spans="1:1" ht="15.75" thickBot="1" x14ac:dyDescent="0.3">
      <c r="A420" s="118">
        <v>1421074</v>
      </c>
    </row>
    <row r="421" spans="1:1" ht="15.75" thickBot="1" x14ac:dyDescent="0.3">
      <c r="A421" s="118">
        <v>1421082</v>
      </c>
    </row>
    <row r="422" spans="1:1" ht="15.75" thickBot="1" x14ac:dyDescent="0.3">
      <c r="A422" s="118">
        <v>1421097</v>
      </c>
    </row>
    <row r="423" spans="1:1" ht="15.75" thickBot="1" x14ac:dyDescent="0.3">
      <c r="A423" s="118">
        <v>1421101</v>
      </c>
    </row>
    <row r="424" spans="1:1" ht="15.75" thickBot="1" x14ac:dyDescent="0.3">
      <c r="A424" s="118">
        <v>1421116</v>
      </c>
    </row>
    <row r="425" spans="1:1" ht="15.75" thickBot="1" x14ac:dyDescent="0.3">
      <c r="A425" s="118">
        <v>1421124</v>
      </c>
    </row>
    <row r="426" spans="1:1" ht="15.75" thickBot="1" x14ac:dyDescent="0.3">
      <c r="A426" s="118">
        <v>1421132</v>
      </c>
    </row>
    <row r="427" spans="1:1" ht="15.75" thickBot="1" x14ac:dyDescent="0.3">
      <c r="A427" s="118">
        <v>1421147</v>
      </c>
    </row>
    <row r="428" spans="1:1" ht="15.75" thickBot="1" x14ac:dyDescent="0.3">
      <c r="A428" s="118">
        <v>1421155</v>
      </c>
    </row>
    <row r="429" spans="1:1" ht="15.75" thickBot="1" x14ac:dyDescent="0.3">
      <c r="A429" s="119">
        <v>1421163</v>
      </c>
    </row>
    <row r="430" spans="1:1" ht="16.5" thickTop="1" thickBot="1" x14ac:dyDescent="0.3">
      <c r="A430" s="118">
        <v>1421171</v>
      </c>
    </row>
    <row r="431" spans="1:1" ht="15.75" thickBot="1" x14ac:dyDescent="0.3">
      <c r="A431" s="118">
        <v>1421186</v>
      </c>
    </row>
    <row r="432" spans="1:1" ht="15.75" thickBot="1" x14ac:dyDescent="0.3">
      <c r="A432" s="118">
        <v>1421194</v>
      </c>
    </row>
    <row r="433" spans="1:1" ht="15.75" thickBot="1" x14ac:dyDescent="0.3">
      <c r="A433" s="118">
        <v>1421205</v>
      </c>
    </row>
    <row r="434" spans="1:1" ht="15.75" thickBot="1" x14ac:dyDescent="0.3">
      <c r="A434" s="118">
        <v>1421213</v>
      </c>
    </row>
    <row r="435" spans="1:1" ht="15.75" thickBot="1" x14ac:dyDescent="0.3">
      <c r="A435" s="118">
        <v>1422015</v>
      </c>
    </row>
    <row r="436" spans="1:1" ht="15.75" thickBot="1" x14ac:dyDescent="0.3">
      <c r="A436" s="118">
        <v>1422023</v>
      </c>
    </row>
    <row r="437" spans="1:1" ht="15.75" thickBot="1" x14ac:dyDescent="0.3">
      <c r="A437" s="118">
        <v>1422031</v>
      </c>
    </row>
    <row r="438" spans="1:1" ht="15.75" thickBot="1" x14ac:dyDescent="0.3">
      <c r="A438" s="118">
        <v>1422046</v>
      </c>
    </row>
    <row r="439" spans="1:1" ht="15.75" thickBot="1" x14ac:dyDescent="0.3">
      <c r="A439" s="118">
        <v>1422054</v>
      </c>
    </row>
    <row r="440" spans="1:1" ht="15.75" thickBot="1" x14ac:dyDescent="0.3">
      <c r="A440" s="118">
        <v>1422062</v>
      </c>
    </row>
    <row r="441" spans="1:1" ht="15.75" thickBot="1" x14ac:dyDescent="0.3">
      <c r="A441" s="118">
        <v>1422077</v>
      </c>
    </row>
    <row r="442" spans="1:1" ht="15.75" thickBot="1" x14ac:dyDescent="0.3">
      <c r="A442" s="118">
        <v>1422085</v>
      </c>
    </row>
    <row r="443" spans="1:1" ht="15.75" thickBot="1" x14ac:dyDescent="0.3">
      <c r="A443" s="118">
        <v>1422093</v>
      </c>
    </row>
    <row r="444" spans="1:1" ht="15.75" thickBot="1" x14ac:dyDescent="0.3">
      <c r="A444" s="118">
        <v>1422104</v>
      </c>
    </row>
    <row r="445" spans="1:1" ht="15.75" thickBot="1" x14ac:dyDescent="0.3">
      <c r="A445" s="118">
        <v>1422112</v>
      </c>
    </row>
    <row r="446" spans="1:1" ht="15.75" thickBot="1" x14ac:dyDescent="0.3">
      <c r="A446" s="118">
        <v>1422127</v>
      </c>
    </row>
    <row r="447" spans="1:1" ht="15.75" thickBot="1" x14ac:dyDescent="0.3">
      <c r="A447" s="118">
        <v>1422135</v>
      </c>
    </row>
    <row r="448" spans="1:1" ht="15.75" thickBot="1" x14ac:dyDescent="0.3">
      <c r="A448" s="118">
        <v>1422143</v>
      </c>
    </row>
    <row r="449" spans="1:1" ht="15.75" thickBot="1" x14ac:dyDescent="0.3">
      <c r="A449" s="118">
        <v>1422151</v>
      </c>
    </row>
    <row r="450" spans="1:1" ht="15.75" thickBot="1" x14ac:dyDescent="0.3">
      <c r="A450" s="118">
        <v>1422166</v>
      </c>
    </row>
    <row r="451" spans="1:1" ht="15.75" thickBot="1" x14ac:dyDescent="0.3">
      <c r="A451" s="118">
        <v>1422174</v>
      </c>
    </row>
    <row r="452" spans="1:1" ht="15.75" thickBot="1" x14ac:dyDescent="0.3">
      <c r="A452" s="119">
        <v>1422182</v>
      </c>
    </row>
    <row r="453" spans="1:1" ht="16.5" thickTop="1" thickBot="1" x14ac:dyDescent="0.3">
      <c r="A453" s="118">
        <v>1422197</v>
      </c>
    </row>
    <row r="454" spans="1:1" ht="15.75" thickBot="1" x14ac:dyDescent="0.3">
      <c r="A454" s="118">
        <v>1422201</v>
      </c>
    </row>
    <row r="455" spans="1:1" ht="15.75" thickBot="1" x14ac:dyDescent="0.3">
      <c r="A455" s="118">
        <v>1422216</v>
      </c>
    </row>
    <row r="456" spans="1:1" ht="15.75" thickBot="1" x14ac:dyDescent="0.3">
      <c r="A456" s="118">
        <v>1422224</v>
      </c>
    </row>
    <row r="457" spans="1:1" ht="15.75" thickBot="1" x14ac:dyDescent="0.3">
      <c r="A457" s="118">
        <v>1422232</v>
      </c>
    </row>
    <row r="458" spans="1:1" ht="15.75" thickBot="1" x14ac:dyDescent="0.3">
      <c r="A458" s="118">
        <v>1422247</v>
      </c>
    </row>
    <row r="459" spans="1:1" ht="15.75" thickBot="1" x14ac:dyDescent="0.3">
      <c r="A459" s="118">
        <v>1422255</v>
      </c>
    </row>
    <row r="460" spans="1:1" ht="15.75" thickBot="1" x14ac:dyDescent="0.3">
      <c r="A460" s="118">
        <v>1422263</v>
      </c>
    </row>
    <row r="461" spans="1:1" ht="15.75" thickBot="1" x14ac:dyDescent="0.3">
      <c r="A461" s="118">
        <v>1422271</v>
      </c>
    </row>
    <row r="462" spans="1:1" ht="15.75" thickBot="1" x14ac:dyDescent="0.3">
      <c r="A462" s="119">
        <v>1422286</v>
      </c>
    </row>
    <row r="463" spans="1:1" ht="16.5" thickTop="1" thickBot="1" x14ac:dyDescent="0.3">
      <c r="A463" s="118">
        <v>1422294</v>
      </c>
    </row>
    <row r="464" spans="1:1" ht="15.75" thickBot="1" x14ac:dyDescent="0.3">
      <c r="A464" s="118">
        <v>1422305</v>
      </c>
    </row>
    <row r="465" spans="1:1" ht="15.75" thickBot="1" x14ac:dyDescent="0.3">
      <c r="A465" s="118">
        <v>1422313</v>
      </c>
    </row>
    <row r="466" spans="1:1" ht="15.75" thickBot="1" x14ac:dyDescent="0.3">
      <c r="A466" s="118">
        <v>1422321</v>
      </c>
    </row>
    <row r="467" spans="1:1" ht="15.75" thickBot="1" x14ac:dyDescent="0.3">
      <c r="A467" s="118">
        <v>1422336</v>
      </c>
    </row>
    <row r="468" spans="1:1" ht="15.75" thickBot="1" x14ac:dyDescent="0.3">
      <c r="A468" s="118">
        <v>1422344</v>
      </c>
    </row>
    <row r="469" spans="1:1" ht="15.75" thickBot="1" x14ac:dyDescent="0.3">
      <c r="A469" s="118">
        <v>1422354</v>
      </c>
    </row>
    <row r="470" spans="1:1" ht="15.75" thickBot="1" x14ac:dyDescent="0.3">
      <c r="A470" s="118">
        <v>1432017</v>
      </c>
    </row>
    <row r="471" spans="1:1" ht="15.75" thickBot="1" x14ac:dyDescent="0.3">
      <c r="A471" s="119">
        <v>1432025</v>
      </c>
    </row>
    <row r="472" spans="1:1" ht="16.5" thickTop="1" thickBot="1" x14ac:dyDescent="0.3">
      <c r="A472" s="118">
        <v>1432033</v>
      </c>
    </row>
    <row r="473" spans="1:1" ht="15.75" thickBot="1" x14ac:dyDescent="0.3">
      <c r="A473" s="118">
        <v>1432041</v>
      </c>
    </row>
    <row r="474" spans="1:1" ht="15.75" thickBot="1" x14ac:dyDescent="0.3">
      <c r="A474" s="118">
        <v>1432056</v>
      </c>
    </row>
    <row r="475" spans="1:1" ht="15.75" thickBot="1" x14ac:dyDescent="0.3">
      <c r="A475" s="118">
        <v>1432064</v>
      </c>
    </row>
    <row r="476" spans="1:1" ht="15.75" thickBot="1" x14ac:dyDescent="0.3">
      <c r="A476" s="118">
        <v>1432072</v>
      </c>
    </row>
    <row r="477" spans="1:1" ht="15.75" thickBot="1" x14ac:dyDescent="0.3">
      <c r="A477" s="118">
        <v>1432087</v>
      </c>
    </row>
    <row r="478" spans="1:1" ht="15.75" thickBot="1" x14ac:dyDescent="0.3">
      <c r="A478" s="118">
        <v>1432095</v>
      </c>
    </row>
    <row r="479" spans="1:1" ht="15.75" thickBot="1" x14ac:dyDescent="0.3">
      <c r="A479" s="118">
        <v>1432106</v>
      </c>
    </row>
    <row r="480" spans="1:1" ht="15.75" thickBot="1" x14ac:dyDescent="0.3">
      <c r="A480" s="118">
        <v>1432114</v>
      </c>
    </row>
    <row r="481" spans="1:1" ht="15.75" thickBot="1" x14ac:dyDescent="0.3">
      <c r="A481" s="118">
        <v>1511011</v>
      </c>
    </row>
    <row r="482" spans="1:1" ht="15.75" thickBot="1" x14ac:dyDescent="0.3">
      <c r="A482" s="118">
        <v>1511026</v>
      </c>
    </row>
    <row r="483" spans="1:1" ht="15.75" thickBot="1" x14ac:dyDescent="0.3">
      <c r="A483" s="118">
        <v>1511034</v>
      </c>
    </row>
    <row r="484" spans="1:1" ht="15.75" thickBot="1" x14ac:dyDescent="0.3">
      <c r="A484" s="118">
        <v>1511042</v>
      </c>
    </row>
    <row r="485" spans="1:1" ht="15.75" thickBot="1" x14ac:dyDescent="0.3">
      <c r="A485" s="118">
        <v>1511057</v>
      </c>
    </row>
    <row r="486" spans="1:1" ht="15.75" thickBot="1" x14ac:dyDescent="0.3">
      <c r="A486" s="118">
        <v>1511065</v>
      </c>
    </row>
    <row r="487" spans="1:1" ht="15.75" thickBot="1" x14ac:dyDescent="0.3">
      <c r="A487" s="118">
        <v>1511073</v>
      </c>
    </row>
    <row r="488" spans="1:1" ht="15.75" thickBot="1" x14ac:dyDescent="0.3">
      <c r="A488" s="118">
        <v>1511115</v>
      </c>
    </row>
    <row r="489" spans="1:1" ht="15.75" thickBot="1" x14ac:dyDescent="0.3">
      <c r="A489" s="118">
        <v>1511123</v>
      </c>
    </row>
    <row r="490" spans="1:1" ht="15.75" thickBot="1" x14ac:dyDescent="0.3">
      <c r="A490" s="118">
        <v>1511131</v>
      </c>
    </row>
    <row r="491" spans="1:1" ht="15.75" thickBot="1" x14ac:dyDescent="0.3">
      <c r="A491" s="118">
        <v>1511146</v>
      </c>
    </row>
    <row r="492" spans="1:1" ht="15.75" thickBot="1" x14ac:dyDescent="0.3">
      <c r="A492" s="118">
        <v>1511154</v>
      </c>
    </row>
    <row r="493" spans="1:1" ht="15.75" thickBot="1" x14ac:dyDescent="0.3">
      <c r="A493" s="118">
        <v>1511204</v>
      </c>
    </row>
    <row r="494" spans="1:1" ht="15.75" thickBot="1" x14ac:dyDescent="0.3">
      <c r="A494" s="118">
        <v>1511212</v>
      </c>
    </row>
    <row r="495" spans="1:1" ht="15.75" thickBot="1" x14ac:dyDescent="0.3">
      <c r="A495" s="118">
        <v>1511227</v>
      </c>
    </row>
    <row r="496" spans="1:1" ht="15.75" thickBot="1" x14ac:dyDescent="0.3">
      <c r="A496" s="118">
        <v>1511235</v>
      </c>
    </row>
    <row r="497" spans="1:1" ht="15.75" thickBot="1" x14ac:dyDescent="0.3">
      <c r="A497" s="118">
        <v>1511243</v>
      </c>
    </row>
    <row r="498" spans="1:1" ht="15.75" thickBot="1" x14ac:dyDescent="0.3">
      <c r="A498" s="118">
        <v>1511251</v>
      </c>
    </row>
    <row r="499" spans="1:1" ht="15.75" thickBot="1" x14ac:dyDescent="0.3">
      <c r="A499" s="118">
        <v>1511266</v>
      </c>
    </row>
    <row r="500" spans="1:1" ht="15.75" thickBot="1" x14ac:dyDescent="0.3">
      <c r="A500" s="118">
        <v>1511274</v>
      </c>
    </row>
    <row r="501" spans="1:1" ht="15.75" thickBot="1" x14ac:dyDescent="0.3">
      <c r="A501" s="119">
        <v>1511282</v>
      </c>
    </row>
    <row r="502" spans="1:1" ht="16.5" thickTop="1" thickBot="1" x14ac:dyDescent="0.3">
      <c r="A502" s="118">
        <v>1511297</v>
      </c>
    </row>
    <row r="503" spans="1:1" ht="15.75" thickBot="1" x14ac:dyDescent="0.3">
      <c r="A503" s="118">
        <v>1511301</v>
      </c>
    </row>
    <row r="504" spans="1:1" ht="15.75" thickBot="1" x14ac:dyDescent="0.3">
      <c r="A504" s="118">
        <v>1511316</v>
      </c>
    </row>
    <row r="505" spans="1:1" ht="15.75" thickBot="1" x14ac:dyDescent="0.3">
      <c r="A505" s="118">
        <v>1511324</v>
      </c>
    </row>
    <row r="506" spans="1:1" ht="15.75" thickBot="1" x14ac:dyDescent="0.3">
      <c r="A506" s="118">
        <v>1511332</v>
      </c>
    </row>
    <row r="507" spans="1:1" ht="15.75" thickBot="1" x14ac:dyDescent="0.3">
      <c r="A507" s="118">
        <v>1511347</v>
      </c>
    </row>
    <row r="508" spans="1:1" ht="15.75" thickBot="1" x14ac:dyDescent="0.3">
      <c r="A508" s="118">
        <v>1511355</v>
      </c>
    </row>
    <row r="509" spans="1:1" ht="15.75" thickBot="1" x14ac:dyDescent="0.3">
      <c r="A509" s="118">
        <v>1511363</v>
      </c>
    </row>
    <row r="510" spans="1:1" ht="15.75" thickBot="1" x14ac:dyDescent="0.3">
      <c r="A510" s="118">
        <v>1511371</v>
      </c>
    </row>
    <row r="511" spans="1:1" ht="15.75" thickBot="1" x14ac:dyDescent="0.3">
      <c r="A511" s="118">
        <v>1512014</v>
      </c>
    </row>
    <row r="512" spans="1:1" ht="15.75" thickBot="1" x14ac:dyDescent="0.3">
      <c r="A512" s="118">
        <v>1512022</v>
      </c>
    </row>
    <row r="513" spans="1:1" ht="15.75" thickBot="1" x14ac:dyDescent="0.3">
      <c r="A513" s="118">
        <v>1512037</v>
      </c>
    </row>
    <row r="514" spans="1:1" ht="15.75" thickBot="1" x14ac:dyDescent="0.3">
      <c r="A514" s="118">
        <v>1512045</v>
      </c>
    </row>
    <row r="515" spans="1:1" ht="15.75" thickBot="1" x14ac:dyDescent="0.3">
      <c r="A515" s="118">
        <v>1512053</v>
      </c>
    </row>
    <row r="516" spans="1:1" ht="15.75" thickBot="1" x14ac:dyDescent="0.3">
      <c r="A516" s="118">
        <v>1512061</v>
      </c>
    </row>
    <row r="517" spans="1:1" ht="15.75" thickBot="1" x14ac:dyDescent="0.3">
      <c r="A517" s="118">
        <v>1512076</v>
      </c>
    </row>
    <row r="518" spans="1:1" ht="15.75" thickBot="1" x14ac:dyDescent="0.3">
      <c r="A518" s="118">
        <v>1512084</v>
      </c>
    </row>
    <row r="519" spans="1:1" ht="15.75" thickBot="1" x14ac:dyDescent="0.3">
      <c r="A519" s="118">
        <v>1512092</v>
      </c>
    </row>
    <row r="520" spans="1:1" ht="15.75" thickBot="1" x14ac:dyDescent="0.3">
      <c r="A520" s="118">
        <v>1512103</v>
      </c>
    </row>
    <row r="521" spans="1:1" ht="15.75" thickBot="1" x14ac:dyDescent="0.3">
      <c r="A521" s="118">
        <v>1512111</v>
      </c>
    </row>
    <row r="522" spans="1:1" ht="15.75" thickBot="1" x14ac:dyDescent="0.3">
      <c r="A522" s="118">
        <v>1512126</v>
      </c>
    </row>
    <row r="523" spans="1:1" ht="15.75" thickBot="1" x14ac:dyDescent="0.3">
      <c r="A523" s="119">
        <v>1512134</v>
      </c>
    </row>
    <row r="524" spans="1:1" ht="16.5" thickTop="1" thickBot="1" x14ac:dyDescent="0.3">
      <c r="A524" s="118">
        <v>1512142</v>
      </c>
    </row>
    <row r="525" spans="1:1" ht="15.75" thickBot="1" x14ac:dyDescent="0.3">
      <c r="A525" s="118">
        <v>1512157</v>
      </c>
    </row>
    <row r="526" spans="1:1" ht="15.75" thickBot="1" x14ac:dyDescent="0.3">
      <c r="A526" s="118">
        <v>1512165</v>
      </c>
    </row>
    <row r="527" spans="1:1" ht="15.75" thickBot="1" x14ac:dyDescent="0.3">
      <c r="A527" s="118">
        <v>1512173</v>
      </c>
    </row>
    <row r="528" spans="1:1" ht="15.75" thickBot="1" x14ac:dyDescent="0.3">
      <c r="A528" s="118">
        <v>1512181</v>
      </c>
    </row>
    <row r="529" spans="1:1" ht="15.75" thickBot="1" x14ac:dyDescent="0.3">
      <c r="A529" s="118">
        <v>1512196</v>
      </c>
    </row>
    <row r="530" spans="1:1" ht="15.75" thickBot="1" x14ac:dyDescent="0.3">
      <c r="A530" s="118">
        <v>1512207</v>
      </c>
    </row>
    <row r="531" spans="1:1" ht="15.75" thickBot="1" x14ac:dyDescent="0.3">
      <c r="A531" s="118">
        <v>1512215</v>
      </c>
    </row>
    <row r="532" spans="1:1" ht="15.75" thickBot="1" x14ac:dyDescent="0.3">
      <c r="A532" s="118">
        <v>1512223</v>
      </c>
    </row>
    <row r="533" spans="1:1" ht="15.75" thickBot="1" x14ac:dyDescent="0.3">
      <c r="A533" s="118">
        <v>1611012</v>
      </c>
    </row>
    <row r="534" spans="1:1" ht="15.75" thickBot="1" x14ac:dyDescent="0.3">
      <c r="A534" s="118">
        <v>1611027</v>
      </c>
    </row>
    <row r="535" spans="1:1" ht="15.75" thickBot="1" x14ac:dyDescent="0.3">
      <c r="A535" s="118">
        <v>1611035</v>
      </c>
    </row>
    <row r="536" spans="1:1" ht="15.75" thickBot="1" x14ac:dyDescent="0.3">
      <c r="A536" s="118">
        <v>1611043</v>
      </c>
    </row>
    <row r="537" spans="1:1" ht="15.75" thickBot="1" x14ac:dyDescent="0.3">
      <c r="A537" s="118">
        <v>1611051</v>
      </c>
    </row>
    <row r="538" spans="1:1" ht="15.75" thickBot="1" x14ac:dyDescent="0.3">
      <c r="A538" s="118">
        <v>1611066</v>
      </c>
    </row>
    <row r="539" spans="1:1" ht="15.75" thickBot="1" x14ac:dyDescent="0.3">
      <c r="A539" s="118">
        <v>1611074</v>
      </c>
    </row>
    <row r="540" spans="1:1" ht="15.75" thickBot="1" x14ac:dyDescent="0.3">
      <c r="A540" s="118">
        <v>1611082</v>
      </c>
    </row>
    <row r="541" spans="1:1" ht="15.75" thickBot="1" x14ac:dyDescent="0.3">
      <c r="A541" s="118">
        <v>1611097</v>
      </c>
    </row>
    <row r="542" spans="1:1" ht="15.75" thickBot="1" x14ac:dyDescent="0.3">
      <c r="A542" s="118">
        <v>1611101</v>
      </c>
    </row>
    <row r="543" spans="1:1" ht="15.75" thickBot="1" x14ac:dyDescent="0.3">
      <c r="A543" s="118">
        <v>1611116</v>
      </c>
    </row>
    <row r="544" spans="1:1" ht="15.75" thickBot="1" x14ac:dyDescent="0.3">
      <c r="A544" s="118">
        <v>1611124</v>
      </c>
    </row>
    <row r="545" spans="1:1" ht="15.75" thickBot="1" x14ac:dyDescent="0.3">
      <c r="A545" s="118">
        <v>1611132</v>
      </c>
    </row>
    <row r="546" spans="1:1" ht="15.75" thickBot="1" x14ac:dyDescent="0.3">
      <c r="A546" s="118">
        <v>1611147</v>
      </c>
    </row>
    <row r="547" spans="1:1" ht="15.75" thickBot="1" x14ac:dyDescent="0.3">
      <c r="A547" s="118">
        <v>1611155</v>
      </c>
    </row>
    <row r="548" spans="1:1" ht="15.75" thickBot="1" x14ac:dyDescent="0.3">
      <c r="A548" s="118">
        <v>1611163</v>
      </c>
    </row>
    <row r="549" spans="1:1" ht="15.75" thickBot="1" x14ac:dyDescent="0.3">
      <c r="A549" s="118">
        <v>1611171</v>
      </c>
    </row>
    <row r="550" spans="1:1" ht="15.75" thickBot="1" x14ac:dyDescent="0.3">
      <c r="A550" s="119">
        <v>1611186</v>
      </c>
    </row>
    <row r="551" spans="1:1" ht="16.5" thickTop="1" thickBot="1" x14ac:dyDescent="0.3">
      <c r="A551" s="118">
        <v>1611194</v>
      </c>
    </row>
    <row r="552" spans="1:1" ht="15.75" thickBot="1" x14ac:dyDescent="0.3">
      <c r="A552" s="118">
        <v>1611205</v>
      </c>
    </row>
    <row r="553" spans="1:1" ht="15.75" thickBot="1" x14ac:dyDescent="0.3">
      <c r="A553" s="118">
        <v>1611213</v>
      </c>
    </row>
    <row r="554" spans="1:1" ht="15.75" thickBot="1" x14ac:dyDescent="0.3">
      <c r="A554" s="118">
        <v>1611221</v>
      </c>
    </row>
    <row r="555" spans="1:1" ht="15.75" thickBot="1" x14ac:dyDescent="0.3">
      <c r="A555" s="118">
        <v>1611236</v>
      </c>
    </row>
    <row r="556" spans="1:1" ht="15.75" thickBot="1" x14ac:dyDescent="0.3">
      <c r="A556" s="118">
        <v>1611244</v>
      </c>
    </row>
    <row r="557" spans="1:1" ht="15.75" thickBot="1" x14ac:dyDescent="0.3">
      <c r="A557" s="118">
        <v>1611252</v>
      </c>
    </row>
    <row r="558" spans="1:1" ht="15.75" thickBot="1" x14ac:dyDescent="0.3">
      <c r="A558" s="118">
        <v>1611267</v>
      </c>
    </row>
    <row r="559" spans="1:1" ht="15.75" thickBot="1" x14ac:dyDescent="0.3">
      <c r="A559" s="118">
        <v>1611275</v>
      </c>
    </row>
    <row r="560" spans="1:1" ht="15.75" thickBot="1" x14ac:dyDescent="0.3">
      <c r="A560" s="118">
        <v>1612015</v>
      </c>
    </row>
    <row r="561" spans="1:1" ht="15.75" thickBot="1" x14ac:dyDescent="0.3">
      <c r="A561" s="118">
        <v>1612023</v>
      </c>
    </row>
    <row r="562" spans="1:1" ht="15.75" thickBot="1" x14ac:dyDescent="0.3">
      <c r="A562" s="118">
        <v>1612031</v>
      </c>
    </row>
    <row r="563" spans="1:1" ht="15.75" thickBot="1" x14ac:dyDescent="0.3">
      <c r="A563" s="118">
        <v>1612046</v>
      </c>
    </row>
    <row r="564" spans="1:1" ht="15.75" thickBot="1" x14ac:dyDescent="0.3">
      <c r="A564" s="118">
        <v>1612054</v>
      </c>
    </row>
    <row r="565" spans="1:1" ht="15.75" thickBot="1" x14ac:dyDescent="0.3">
      <c r="A565" s="118">
        <v>1612062</v>
      </c>
    </row>
    <row r="566" spans="1:1" ht="15.75" thickBot="1" x14ac:dyDescent="0.3">
      <c r="A566" s="118">
        <v>1612077</v>
      </c>
    </row>
    <row r="567" spans="1:1" ht="15.75" thickBot="1" x14ac:dyDescent="0.3">
      <c r="A567" s="119">
        <v>1612085</v>
      </c>
    </row>
    <row r="568" spans="1:1" ht="16.5" thickTop="1" thickBot="1" x14ac:dyDescent="0.3">
      <c r="A568" s="118">
        <v>1612093</v>
      </c>
    </row>
    <row r="569" spans="1:1" ht="15.75" thickBot="1" x14ac:dyDescent="0.3">
      <c r="A569" s="118">
        <v>1612104</v>
      </c>
    </row>
    <row r="570" spans="1:1" ht="15.75" thickBot="1" x14ac:dyDescent="0.3">
      <c r="A570" s="118">
        <v>1612112</v>
      </c>
    </row>
    <row r="571" spans="1:1" ht="15.75" thickBot="1" x14ac:dyDescent="0.3">
      <c r="A571" s="118">
        <v>1612127</v>
      </c>
    </row>
    <row r="572" spans="1:1" ht="15.75" thickBot="1" x14ac:dyDescent="0.3">
      <c r="A572" s="118">
        <v>1612135</v>
      </c>
    </row>
    <row r="573" spans="1:1" ht="15.75" thickBot="1" x14ac:dyDescent="0.3">
      <c r="A573" s="119">
        <v>1612143</v>
      </c>
    </row>
    <row r="574" spans="1:1" ht="16.5" thickTop="1" thickBot="1" x14ac:dyDescent="0.3">
      <c r="A574" s="118">
        <v>1612151</v>
      </c>
    </row>
    <row r="575" spans="1:1" ht="15.75" thickBot="1" x14ac:dyDescent="0.3">
      <c r="A575" s="118">
        <v>1612166</v>
      </c>
    </row>
    <row r="576" spans="1:1" ht="15.75" thickBot="1" x14ac:dyDescent="0.3">
      <c r="A576" s="119">
        <v>1612174</v>
      </c>
    </row>
    <row r="577" spans="1:1" ht="16.5" thickTop="1" thickBot="1" x14ac:dyDescent="0.3">
      <c r="A577" s="118">
        <v>1711013</v>
      </c>
    </row>
    <row r="578" spans="1:1" ht="15.75" thickBot="1" x14ac:dyDescent="0.3">
      <c r="A578" s="118">
        <v>1711021</v>
      </c>
    </row>
    <row r="579" spans="1:1" ht="15.75" thickBot="1" x14ac:dyDescent="0.3">
      <c r="A579" s="118">
        <v>1711036</v>
      </c>
    </row>
    <row r="580" spans="1:1" ht="15.75" thickBot="1" x14ac:dyDescent="0.3">
      <c r="A580" s="118">
        <v>1711044</v>
      </c>
    </row>
    <row r="581" spans="1:1" ht="15.75" thickBot="1" x14ac:dyDescent="0.3">
      <c r="A581" s="118">
        <v>1711052</v>
      </c>
    </row>
    <row r="582" spans="1:1" ht="15.75" thickBot="1" x14ac:dyDescent="0.3">
      <c r="A582" s="118">
        <v>1711067</v>
      </c>
    </row>
    <row r="583" spans="1:1" ht="15.75" thickBot="1" x14ac:dyDescent="0.3">
      <c r="A583" s="118">
        <v>1711075</v>
      </c>
    </row>
    <row r="584" spans="1:1" ht="15.75" thickBot="1" x14ac:dyDescent="0.3">
      <c r="A584" s="118">
        <v>1711083</v>
      </c>
    </row>
    <row r="585" spans="1:1" ht="15.75" thickBot="1" x14ac:dyDescent="0.3">
      <c r="A585" s="118">
        <v>1711091</v>
      </c>
    </row>
    <row r="586" spans="1:1" ht="15.75" thickBot="1" x14ac:dyDescent="0.3">
      <c r="A586" s="118">
        <v>1711102</v>
      </c>
    </row>
    <row r="587" spans="1:1" ht="15.75" thickBot="1" x14ac:dyDescent="0.3">
      <c r="A587" s="118">
        <v>1711117</v>
      </c>
    </row>
    <row r="588" spans="1:1" ht="15.75" thickBot="1" x14ac:dyDescent="0.3">
      <c r="A588" s="118">
        <v>1711125</v>
      </c>
    </row>
    <row r="589" spans="1:1" ht="15.75" thickBot="1" x14ac:dyDescent="0.3">
      <c r="A589" s="118">
        <v>1711133</v>
      </c>
    </row>
    <row r="590" spans="1:1" ht="15.75" thickBot="1" x14ac:dyDescent="0.3">
      <c r="A590" s="118">
        <v>1711141</v>
      </c>
    </row>
    <row r="591" spans="1:1" ht="15.75" thickBot="1" x14ac:dyDescent="0.3">
      <c r="A591" s="118">
        <v>1711164</v>
      </c>
    </row>
    <row r="592" spans="1:1" ht="15.75" thickBot="1" x14ac:dyDescent="0.3">
      <c r="A592" s="118">
        <v>1711172</v>
      </c>
    </row>
    <row r="593" spans="1:1" ht="15.75" thickBot="1" x14ac:dyDescent="0.3">
      <c r="A593" s="118">
        <v>1711187</v>
      </c>
    </row>
    <row r="594" spans="1:1" ht="15.75" thickBot="1" x14ac:dyDescent="0.3">
      <c r="A594" s="118">
        <v>1711195</v>
      </c>
    </row>
    <row r="595" spans="1:1" ht="15.75" thickBot="1" x14ac:dyDescent="0.3">
      <c r="A595" s="118">
        <v>1711206</v>
      </c>
    </row>
    <row r="596" spans="1:1" ht="15.75" thickBot="1" x14ac:dyDescent="0.3">
      <c r="A596" s="118">
        <v>1711214</v>
      </c>
    </row>
    <row r="597" spans="1:1" ht="15.75" thickBot="1" x14ac:dyDescent="0.3">
      <c r="A597" s="118">
        <v>1711222</v>
      </c>
    </row>
    <row r="598" spans="1:1" ht="15.75" thickBot="1" x14ac:dyDescent="0.3">
      <c r="A598" s="118">
        <v>1711237</v>
      </c>
    </row>
    <row r="599" spans="1:1" ht="15.75" thickBot="1" x14ac:dyDescent="0.3">
      <c r="A599" s="118">
        <v>1711245</v>
      </c>
    </row>
    <row r="600" spans="1:1" ht="15.75" thickBot="1" x14ac:dyDescent="0.3">
      <c r="A600" s="118">
        <v>1711253</v>
      </c>
    </row>
    <row r="601" spans="1:1" ht="15.75" thickBot="1" x14ac:dyDescent="0.3">
      <c r="A601" s="118">
        <v>1711261</v>
      </c>
    </row>
    <row r="602" spans="1:1" ht="15.75" thickBot="1" x14ac:dyDescent="0.3">
      <c r="A602" s="118">
        <v>1711276</v>
      </c>
    </row>
    <row r="603" spans="1:1" ht="15.75" thickBot="1" x14ac:dyDescent="0.3">
      <c r="A603" s="118">
        <v>1711284</v>
      </c>
    </row>
    <row r="604" spans="1:1" ht="15.75" thickBot="1" x14ac:dyDescent="0.3">
      <c r="A604" s="118">
        <v>1711292</v>
      </c>
    </row>
    <row r="605" spans="1:1" ht="15.75" thickBot="1" x14ac:dyDescent="0.3">
      <c r="A605" s="118">
        <v>1711303</v>
      </c>
    </row>
    <row r="606" spans="1:1" ht="15.75" thickBot="1" x14ac:dyDescent="0.3">
      <c r="A606" s="118">
        <v>1711311</v>
      </c>
    </row>
    <row r="607" spans="1:1" ht="15.75" thickBot="1" x14ac:dyDescent="0.3">
      <c r="A607" s="118">
        <v>1711326</v>
      </c>
    </row>
    <row r="608" spans="1:1" ht="15.75" thickBot="1" x14ac:dyDescent="0.3">
      <c r="A608" s="118">
        <v>1711334</v>
      </c>
    </row>
    <row r="609" spans="1:1" ht="15.75" thickBot="1" x14ac:dyDescent="0.3">
      <c r="A609" s="118">
        <v>1711342</v>
      </c>
    </row>
    <row r="610" spans="1:1" ht="15.75" thickBot="1" x14ac:dyDescent="0.3">
      <c r="A610" s="118">
        <v>1711357</v>
      </c>
    </row>
    <row r="611" spans="1:1" ht="15.75" thickBot="1" x14ac:dyDescent="0.3">
      <c r="A611" s="118">
        <v>1711365</v>
      </c>
    </row>
    <row r="612" spans="1:1" ht="15.75" thickBot="1" x14ac:dyDescent="0.3">
      <c r="A612" s="118">
        <v>1711373</v>
      </c>
    </row>
    <row r="613" spans="1:1" ht="15.75" thickBot="1" x14ac:dyDescent="0.3">
      <c r="A613" s="118">
        <v>1711381</v>
      </c>
    </row>
    <row r="614" spans="1:1" ht="15.75" thickBot="1" x14ac:dyDescent="0.3">
      <c r="A614" s="119">
        <v>1711396</v>
      </c>
    </row>
    <row r="615" spans="1:1" ht="16.5" thickTop="1" thickBot="1" x14ac:dyDescent="0.3">
      <c r="A615" s="118">
        <v>1712016</v>
      </c>
    </row>
    <row r="616" spans="1:1" ht="15.75" thickBot="1" x14ac:dyDescent="0.3">
      <c r="A616" s="118">
        <v>1712024</v>
      </c>
    </row>
    <row r="617" spans="1:1" ht="15.75" thickBot="1" x14ac:dyDescent="0.3">
      <c r="A617" s="118">
        <v>1712032</v>
      </c>
    </row>
    <row r="618" spans="1:1" ht="15.75" thickBot="1" x14ac:dyDescent="0.3">
      <c r="A618" s="118">
        <v>1712047</v>
      </c>
    </row>
    <row r="619" spans="1:1" ht="15.75" thickBot="1" x14ac:dyDescent="0.3">
      <c r="A619" s="118">
        <v>1712055</v>
      </c>
    </row>
    <row r="620" spans="1:1" ht="15.75" thickBot="1" x14ac:dyDescent="0.3">
      <c r="A620" s="118">
        <v>1712063</v>
      </c>
    </row>
    <row r="621" spans="1:1" ht="15.75" thickBot="1" x14ac:dyDescent="0.3">
      <c r="A621" s="118">
        <v>1712071</v>
      </c>
    </row>
    <row r="622" spans="1:1" ht="15.75" thickBot="1" x14ac:dyDescent="0.3">
      <c r="A622" s="118">
        <v>1712086</v>
      </c>
    </row>
    <row r="623" spans="1:1" ht="15.75" thickBot="1" x14ac:dyDescent="0.3">
      <c r="A623" s="118">
        <v>1712094</v>
      </c>
    </row>
    <row r="624" spans="1:1" ht="15.75" thickBot="1" x14ac:dyDescent="0.3">
      <c r="A624" s="118">
        <v>1712105</v>
      </c>
    </row>
    <row r="625" spans="1:1" ht="15.75" thickBot="1" x14ac:dyDescent="0.3">
      <c r="A625" s="118">
        <v>1712113</v>
      </c>
    </row>
    <row r="626" spans="1:1" ht="15.75" thickBot="1" x14ac:dyDescent="0.3">
      <c r="A626" s="118">
        <v>1712121</v>
      </c>
    </row>
    <row r="627" spans="1:1" ht="15.75" thickBot="1" x14ac:dyDescent="0.3">
      <c r="A627" s="118">
        <v>1712136</v>
      </c>
    </row>
    <row r="628" spans="1:1" ht="15.75" thickBot="1" x14ac:dyDescent="0.3">
      <c r="A628" s="118">
        <v>1712144</v>
      </c>
    </row>
    <row r="629" spans="1:1" ht="15.75" thickBot="1" x14ac:dyDescent="0.3">
      <c r="A629" s="118">
        <v>1712152</v>
      </c>
    </row>
    <row r="630" spans="1:1" ht="15.75" thickBot="1" x14ac:dyDescent="0.3">
      <c r="A630" s="118">
        <v>1712167</v>
      </c>
    </row>
    <row r="631" spans="1:1" ht="15.75" thickBot="1" x14ac:dyDescent="0.3">
      <c r="A631" s="118">
        <v>1712175</v>
      </c>
    </row>
    <row r="632" spans="1:1" ht="15.75" thickBot="1" x14ac:dyDescent="0.3">
      <c r="A632" s="119">
        <v>1712183</v>
      </c>
    </row>
    <row r="633" spans="1:1" ht="16.5" thickTop="1" thickBot="1" x14ac:dyDescent="0.3">
      <c r="A633" s="127">
        <v>1721015</v>
      </c>
    </row>
    <row r="634" spans="1:1" ht="15.75" thickBot="1" x14ac:dyDescent="0.3">
      <c r="A634" s="120">
        <v>1721023</v>
      </c>
    </row>
    <row r="635" spans="1:1" ht="15.75" thickBot="1" x14ac:dyDescent="0.3">
      <c r="A635" s="120">
        <v>1721046</v>
      </c>
    </row>
    <row r="636" spans="1:1" ht="15.75" thickBot="1" x14ac:dyDescent="0.3">
      <c r="A636" s="120">
        <v>1721054</v>
      </c>
    </row>
    <row r="637" spans="1:1" ht="15.75" thickBot="1" x14ac:dyDescent="0.3">
      <c r="A637" s="120">
        <v>1721062</v>
      </c>
    </row>
    <row r="638" spans="1:1" ht="15.75" thickBot="1" x14ac:dyDescent="0.3">
      <c r="A638" s="120">
        <v>1721077</v>
      </c>
    </row>
    <row r="639" spans="1:1" ht="15.75" thickBot="1" x14ac:dyDescent="0.3">
      <c r="A639" s="118">
        <v>1722204</v>
      </c>
    </row>
    <row r="640" spans="1:1" ht="15.75" thickBot="1" x14ac:dyDescent="0.3">
      <c r="A640" s="118">
        <v>1722212</v>
      </c>
    </row>
    <row r="641" spans="1:1" ht="15.75" thickBot="1" x14ac:dyDescent="0.3">
      <c r="A641" s="118">
        <v>1722227</v>
      </c>
    </row>
    <row r="642" spans="1:1" ht="15.75" thickBot="1" x14ac:dyDescent="0.3">
      <c r="A642" s="118">
        <v>1811014</v>
      </c>
    </row>
    <row r="643" spans="1:1" ht="15.75" thickBot="1" x14ac:dyDescent="0.3">
      <c r="A643" s="118">
        <v>1811022</v>
      </c>
    </row>
    <row r="644" spans="1:1" ht="15.75" thickBot="1" x14ac:dyDescent="0.3">
      <c r="A644" s="118">
        <v>1811037</v>
      </c>
    </row>
    <row r="645" spans="1:1" ht="15.75" thickBot="1" x14ac:dyDescent="0.3">
      <c r="A645" s="119">
        <v>1811045</v>
      </c>
    </row>
    <row r="646" spans="1:1" ht="16.5" thickTop="1" thickBot="1" x14ac:dyDescent="0.3">
      <c r="A646" s="118">
        <v>1811053</v>
      </c>
    </row>
    <row r="647" spans="1:1" ht="15.75" thickBot="1" x14ac:dyDescent="0.3">
      <c r="A647" s="118">
        <v>1811061</v>
      </c>
    </row>
    <row r="648" spans="1:1" ht="15.75" thickBot="1" x14ac:dyDescent="0.3">
      <c r="A648" s="118">
        <v>1811076</v>
      </c>
    </row>
    <row r="649" spans="1:1" ht="15.75" thickBot="1" x14ac:dyDescent="0.3">
      <c r="A649" s="118">
        <v>1811084</v>
      </c>
    </row>
    <row r="650" spans="1:1" ht="15.75" thickBot="1" x14ac:dyDescent="0.3">
      <c r="A650" s="118">
        <v>1811092</v>
      </c>
    </row>
    <row r="651" spans="1:1" ht="15.75" thickBot="1" x14ac:dyDescent="0.3">
      <c r="A651" s="118">
        <v>1811103</v>
      </c>
    </row>
    <row r="652" spans="1:1" ht="15.75" thickBot="1" x14ac:dyDescent="0.3">
      <c r="A652" s="119">
        <v>1811111</v>
      </c>
    </row>
    <row r="653" spans="1:1" ht="16.5" thickTop="1" thickBot="1" x14ac:dyDescent="0.3">
      <c r="A653" s="118">
        <v>1811126</v>
      </c>
    </row>
    <row r="654" spans="1:1" ht="15.75" thickBot="1" x14ac:dyDescent="0.3">
      <c r="A654" s="118">
        <v>1811134</v>
      </c>
    </row>
    <row r="655" spans="1:1" ht="15.75" thickBot="1" x14ac:dyDescent="0.3">
      <c r="A655" s="118">
        <v>1812017</v>
      </c>
    </row>
    <row r="656" spans="1:1" ht="15.75" thickBot="1" x14ac:dyDescent="0.3">
      <c r="A656" s="118">
        <v>1812025</v>
      </c>
    </row>
    <row r="657" spans="1:1" ht="15.75" thickBot="1" x14ac:dyDescent="0.3">
      <c r="A657" s="118">
        <v>1812033</v>
      </c>
    </row>
    <row r="658" spans="1:1" ht="15.75" thickBot="1" x14ac:dyDescent="0.3">
      <c r="A658" s="118">
        <v>1812041</v>
      </c>
    </row>
    <row r="659" spans="1:1" ht="15.75" thickBot="1" x14ac:dyDescent="0.3">
      <c r="A659" s="118">
        <v>1812056</v>
      </c>
    </row>
    <row r="660" spans="1:1" ht="15.75" thickBot="1" x14ac:dyDescent="0.3">
      <c r="A660" s="118">
        <v>1812064</v>
      </c>
    </row>
    <row r="661" spans="1:1" ht="15.75" thickBot="1" x14ac:dyDescent="0.3">
      <c r="A661" s="118">
        <v>1812072</v>
      </c>
    </row>
    <row r="662" spans="1:1" ht="15.75" thickBot="1" x14ac:dyDescent="0.3">
      <c r="A662" s="118">
        <v>1911015</v>
      </c>
    </row>
    <row r="663" spans="1:1" ht="15.75" thickBot="1" x14ac:dyDescent="0.3">
      <c r="A663" s="118">
        <v>1911023</v>
      </c>
    </row>
    <row r="664" spans="1:1" ht="15.75" thickBot="1" x14ac:dyDescent="0.3">
      <c r="A664" s="118">
        <v>1911031</v>
      </c>
    </row>
    <row r="665" spans="1:1" ht="15.75" thickBot="1" x14ac:dyDescent="0.3">
      <c r="A665" s="118">
        <v>1911046</v>
      </c>
    </row>
    <row r="666" spans="1:1" ht="15.75" thickBot="1" x14ac:dyDescent="0.3">
      <c r="A666" s="118">
        <v>1911054</v>
      </c>
    </row>
    <row r="667" spans="1:1" ht="15.75" thickBot="1" x14ac:dyDescent="0.3">
      <c r="A667" s="118">
        <v>1911062</v>
      </c>
    </row>
    <row r="668" spans="1:1" ht="15.75" thickBot="1" x14ac:dyDescent="0.3">
      <c r="A668" s="118">
        <v>1911077</v>
      </c>
    </row>
    <row r="669" spans="1:1" ht="15.75" thickBot="1" x14ac:dyDescent="0.3">
      <c r="A669" s="118">
        <v>1911085</v>
      </c>
    </row>
    <row r="670" spans="1:1" ht="15.75" thickBot="1" x14ac:dyDescent="0.3">
      <c r="A670" s="118">
        <v>1911093</v>
      </c>
    </row>
    <row r="671" spans="1:1" ht="15.75" thickBot="1" x14ac:dyDescent="0.3">
      <c r="A671" s="118">
        <v>1911104</v>
      </c>
    </row>
    <row r="672" spans="1:1" ht="15.75" thickBot="1" x14ac:dyDescent="0.3">
      <c r="A672" s="118">
        <v>1911112</v>
      </c>
    </row>
    <row r="673" spans="1:1" ht="15.75" thickBot="1" x14ac:dyDescent="0.3">
      <c r="A673" s="118">
        <v>1911127</v>
      </c>
    </row>
    <row r="674" spans="1:1" ht="15.75" thickBot="1" x14ac:dyDescent="0.3">
      <c r="A674" s="118">
        <v>1911135</v>
      </c>
    </row>
    <row r="675" spans="1:1" ht="15.75" thickBot="1" x14ac:dyDescent="0.3">
      <c r="A675" s="118">
        <v>1911143</v>
      </c>
    </row>
    <row r="676" spans="1:1" ht="15.75" thickBot="1" x14ac:dyDescent="0.3">
      <c r="A676" s="118">
        <v>1911151</v>
      </c>
    </row>
    <row r="677" spans="1:1" ht="15.75" thickBot="1" x14ac:dyDescent="0.3">
      <c r="A677" s="118">
        <v>1911166</v>
      </c>
    </row>
    <row r="678" spans="1:1" ht="15.75" thickBot="1" x14ac:dyDescent="0.3">
      <c r="A678" s="118">
        <v>1911174</v>
      </c>
    </row>
    <row r="679" spans="1:1" ht="15.75" thickBot="1" x14ac:dyDescent="0.3">
      <c r="A679" s="118">
        <v>1911182</v>
      </c>
    </row>
    <row r="680" spans="1:1" ht="15.75" thickBot="1" x14ac:dyDescent="0.3">
      <c r="A680" s="119">
        <v>1911197</v>
      </c>
    </row>
    <row r="681" spans="1:1" ht="16.5" thickTop="1" thickBot="1" x14ac:dyDescent="0.3">
      <c r="A681" s="118">
        <v>1911201</v>
      </c>
    </row>
    <row r="682" spans="1:1" ht="15.75" thickBot="1" x14ac:dyDescent="0.3">
      <c r="A682" s="118">
        <v>1911216</v>
      </c>
    </row>
    <row r="683" spans="1:1" ht="15.75" thickBot="1" x14ac:dyDescent="0.3">
      <c r="A683" s="118">
        <v>1911224</v>
      </c>
    </row>
    <row r="684" spans="1:1" ht="15.75" thickBot="1" x14ac:dyDescent="0.3">
      <c r="A684" s="118">
        <v>1911232</v>
      </c>
    </row>
    <row r="685" spans="1:1" ht="15.75" thickBot="1" x14ac:dyDescent="0.3">
      <c r="A685" s="118">
        <v>1911247</v>
      </c>
    </row>
    <row r="686" spans="1:1" ht="15.75" thickBot="1" x14ac:dyDescent="0.3">
      <c r="A686" s="118">
        <v>1911255</v>
      </c>
    </row>
    <row r="687" spans="1:1" ht="15.75" thickBot="1" x14ac:dyDescent="0.3">
      <c r="A687" s="118">
        <v>1911263</v>
      </c>
    </row>
    <row r="688" spans="1:1" ht="15.75" thickBot="1" x14ac:dyDescent="0.3">
      <c r="A688" s="118">
        <v>1911271</v>
      </c>
    </row>
    <row r="689" spans="1:1" ht="15.75" thickBot="1" x14ac:dyDescent="0.3">
      <c r="A689" s="118">
        <v>1911286</v>
      </c>
    </row>
    <row r="690" spans="1:1" ht="15.75" thickBot="1" x14ac:dyDescent="0.3">
      <c r="A690" s="118">
        <v>1911294</v>
      </c>
    </row>
    <row r="691" spans="1:1" ht="15.75" thickBot="1" x14ac:dyDescent="0.3">
      <c r="A691" s="118">
        <v>1911305</v>
      </c>
    </row>
    <row r="692" spans="1:1" ht="15.75" thickBot="1" x14ac:dyDescent="0.3">
      <c r="A692" s="118">
        <v>1911313</v>
      </c>
    </row>
    <row r="693" spans="1:1" ht="15.75" thickBot="1" x14ac:dyDescent="0.3">
      <c r="A693" s="118">
        <v>1911321</v>
      </c>
    </row>
    <row r="694" spans="1:1" ht="15.75" thickBot="1" x14ac:dyDescent="0.3">
      <c r="A694" s="118">
        <v>1911336</v>
      </c>
    </row>
    <row r="695" spans="1:1" ht="15.75" thickBot="1" x14ac:dyDescent="0.3">
      <c r="A695" s="118">
        <v>1911344</v>
      </c>
    </row>
    <row r="696" spans="1:1" ht="15.75" thickBot="1" x14ac:dyDescent="0.3">
      <c r="A696" s="118">
        <v>1911352</v>
      </c>
    </row>
    <row r="697" spans="1:1" ht="15.75" thickBot="1" x14ac:dyDescent="0.3">
      <c r="A697" s="118">
        <v>1911367</v>
      </c>
    </row>
    <row r="698" spans="1:1" ht="15.75" thickBot="1" x14ac:dyDescent="0.3">
      <c r="A698" s="118">
        <v>1912011</v>
      </c>
    </row>
    <row r="699" spans="1:1" ht="15.75" thickBot="1" x14ac:dyDescent="0.3">
      <c r="A699" s="118">
        <v>1912026</v>
      </c>
    </row>
    <row r="700" spans="1:1" ht="15.75" thickBot="1" x14ac:dyDescent="0.3">
      <c r="A700" s="118">
        <v>1912034</v>
      </c>
    </row>
    <row r="701" spans="1:1" ht="15.75" thickBot="1" x14ac:dyDescent="0.3">
      <c r="A701" s="118">
        <v>1912042</v>
      </c>
    </row>
    <row r="702" spans="1:1" ht="15.75" thickBot="1" x14ac:dyDescent="0.3">
      <c r="A702" s="118">
        <v>1912057</v>
      </c>
    </row>
    <row r="703" spans="1:1" ht="15.75" thickBot="1" x14ac:dyDescent="0.3">
      <c r="A703" s="118">
        <v>1912065</v>
      </c>
    </row>
    <row r="704" spans="1:1" ht="15.75" thickBot="1" x14ac:dyDescent="0.3">
      <c r="A704" s="118">
        <v>1912073</v>
      </c>
    </row>
    <row r="705" spans="1:1" ht="15.75" thickBot="1" x14ac:dyDescent="0.3">
      <c r="A705" s="118">
        <v>1912081</v>
      </c>
    </row>
    <row r="706" spans="1:1" ht="15.75" thickBot="1" x14ac:dyDescent="0.3">
      <c r="A706" s="118">
        <v>1912096</v>
      </c>
    </row>
    <row r="707" spans="1:1" ht="15.75" thickBot="1" x14ac:dyDescent="0.3">
      <c r="A707" s="118">
        <v>1912107</v>
      </c>
    </row>
    <row r="708" spans="1:1" ht="15.75" thickBot="1" x14ac:dyDescent="0.3">
      <c r="A708" s="118">
        <v>1912115</v>
      </c>
    </row>
    <row r="709" spans="1:1" ht="15.75" thickBot="1" x14ac:dyDescent="0.3">
      <c r="A709" s="118">
        <v>1912123</v>
      </c>
    </row>
    <row r="710" spans="1:1" ht="15.75" thickBot="1" x14ac:dyDescent="0.3">
      <c r="A710" s="118">
        <v>1912131</v>
      </c>
    </row>
    <row r="711" spans="1:1" ht="15.75" thickBot="1" x14ac:dyDescent="0.3">
      <c r="A711" s="118">
        <v>1912146</v>
      </c>
    </row>
    <row r="712" spans="1:1" ht="15.75" thickBot="1" x14ac:dyDescent="0.3">
      <c r="A712" s="118">
        <v>1912154</v>
      </c>
    </row>
    <row r="713" spans="1:1" ht="15.75" thickBot="1" x14ac:dyDescent="0.3">
      <c r="A713" s="118">
        <v>1912162</v>
      </c>
    </row>
    <row r="714" spans="1:1" ht="15.75" thickBot="1" x14ac:dyDescent="0.3">
      <c r="A714" s="118">
        <v>1912177</v>
      </c>
    </row>
    <row r="715" spans="1:1" ht="15.75" thickBot="1" x14ac:dyDescent="0.3">
      <c r="A715" s="118">
        <v>1912185</v>
      </c>
    </row>
    <row r="716" spans="1:1" ht="15.75" thickBot="1" x14ac:dyDescent="0.3">
      <c r="A716" s="119">
        <v>1912193</v>
      </c>
    </row>
    <row r="717" spans="1:1" ht="16.5" thickTop="1" thickBot="1" x14ac:dyDescent="0.3">
      <c r="A717" s="118">
        <v>1912204</v>
      </c>
    </row>
    <row r="718" spans="1:1" ht="15.75" thickBot="1" x14ac:dyDescent="0.3">
      <c r="A718" s="118">
        <v>1912212</v>
      </c>
    </row>
    <row r="719" spans="1:1" ht="15.75" thickBot="1" x14ac:dyDescent="0.3">
      <c r="A719" s="118">
        <v>1912227</v>
      </c>
    </row>
    <row r="720" spans="1:1" ht="15.75" thickBot="1" x14ac:dyDescent="0.3">
      <c r="A720" s="118">
        <v>1912235</v>
      </c>
    </row>
    <row r="721" spans="1:1" ht="15.75" thickBot="1" x14ac:dyDescent="0.3">
      <c r="A721" s="120">
        <v>1921017</v>
      </c>
    </row>
    <row r="722" spans="1:1" ht="15.75" thickBot="1" x14ac:dyDescent="0.3">
      <c r="A722" s="120">
        <v>1921025</v>
      </c>
    </row>
    <row r="723" spans="1:1" ht="15.75" thickBot="1" x14ac:dyDescent="0.3">
      <c r="A723" s="120">
        <v>1921033</v>
      </c>
    </row>
    <row r="724" spans="1:1" ht="15.75" thickBot="1" x14ac:dyDescent="0.3">
      <c r="A724" s="120">
        <v>1921041</v>
      </c>
    </row>
    <row r="725" spans="1:1" ht="15.75" thickBot="1" x14ac:dyDescent="0.3">
      <c r="A725" s="120">
        <v>1921056</v>
      </c>
    </row>
    <row r="726" spans="1:1" ht="15.75" thickBot="1" x14ac:dyDescent="0.3">
      <c r="A726" s="120">
        <v>1921064</v>
      </c>
    </row>
    <row r="727" spans="1:1" ht="15.75" thickBot="1" x14ac:dyDescent="0.3">
      <c r="A727" s="120">
        <v>1921072</v>
      </c>
    </row>
    <row r="728" spans="1:1" ht="15.75" thickBot="1" x14ac:dyDescent="0.3">
      <c r="A728" s="120">
        <v>1921087</v>
      </c>
    </row>
    <row r="729" spans="1:1" ht="15.75" thickBot="1" x14ac:dyDescent="0.3">
      <c r="A729" s="120">
        <v>1921095</v>
      </c>
    </row>
    <row r="730" spans="1:1" ht="15.75" thickBot="1" x14ac:dyDescent="0.3">
      <c r="A730" s="120">
        <v>1921106</v>
      </c>
    </row>
    <row r="731" spans="1:1" ht="15.75" thickBot="1" x14ac:dyDescent="0.3">
      <c r="A731" s="120">
        <v>1921114</v>
      </c>
    </row>
    <row r="732" spans="1:1" ht="15.75" thickBot="1" x14ac:dyDescent="0.3">
      <c r="A732" s="120">
        <v>1921122</v>
      </c>
    </row>
    <row r="733" spans="1:1" ht="15.75" thickBot="1" x14ac:dyDescent="0.3">
      <c r="A733" s="120">
        <v>1921145</v>
      </c>
    </row>
    <row r="734" spans="1:1" ht="15.75" thickBot="1" x14ac:dyDescent="0.3">
      <c r="A734" s="120">
        <v>1921153</v>
      </c>
    </row>
    <row r="735" spans="1:1" ht="15.75" thickBot="1" x14ac:dyDescent="0.3">
      <c r="A735" s="120">
        <v>1921161</v>
      </c>
    </row>
    <row r="736" spans="1:1" ht="15.75" thickBot="1" x14ac:dyDescent="0.3">
      <c r="A736" s="120">
        <v>1921176</v>
      </c>
    </row>
    <row r="737" spans="1:1" ht="15.75" thickBot="1" x14ac:dyDescent="0.3">
      <c r="A737" s="120">
        <v>1921184</v>
      </c>
    </row>
    <row r="738" spans="1:1" ht="15.75" thickBot="1" x14ac:dyDescent="0.3">
      <c r="A738" s="120">
        <v>1921192</v>
      </c>
    </row>
    <row r="739" spans="1:1" ht="15.75" thickBot="1" x14ac:dyDescent="0.3">
      <c r="A739" s="123">
        <v>1921203</v>
      </c>
    </row>
    <row r="740" spans="1:1" ht="16.5" thickTop="1" thickBot="1" x14ac:dyDescent="0.3">
      <c r="A740" s="120">
        <v>1921211</v>
      </c>
    </row>
    <row r="741" spans="1:1" ht="15.75" thickBot="1" x14ac:dyDescent="0.3">
      <c r="A741" s="120">
        <v>1921226</v>
      </c>
    </row>
    <row r="742" spans="1:1" ht="15.75" thickBot="1" x14ac:dyDescent="0.3">
      <c r="A742" s="120">
        <v>1921234</v>
      </c>
    </row>
    <row r="743" spans="1:1" ht="15.75" thickBot="1" x14ac:dyDescent="0.3">
      <c r="A743" s="120">
        <v>1921242</v>
      </c>
    </row>
    <row r="744" spans="1:1" ht="15.75" thickBot="1" x14ac:dyDescent="0.3">
      <c r="A744" s="127">
        <v>1921257</v>
      </c>
    </row>
    <row r="745" spans="1:1" ht="15.75" thickBot="1" x14ac:dyDescent="0.3">
      <c r="A745" s="120">
        <v>1921265</v>
      </c>
    </row>
    <row r="746" spans="1:1" ht="15.75" thickBot="1" x14ac:dyDescent="0.3">
      <c r="A746" s="120">
        <v>1921273</v>
      </c>
    </row>
    <row r="747" spans="1:1" ht="15.75" thickBot="1" x14ac:dyDescent="0.3">
      <c r="A747" s="120">
        <v>1921281</v>
      </c>
    </row>
    <row r="748" spans="1:1" ht="15.75" thickBot="1" x14ac:dyDescent="0.3">
      <c r="A748" s="120">
        <v>1921296</v>
      </c>
    </row>
    <row r="749" spans="1:1" ht="15.75" thickBot="1" x14ac:dyDescent="0.3">
      <c r="A749" s="118">
        <v>3111014</v>
      </c>
    </row>
    <row r="750" spans="1:1" ht="15.75" thickBot="1" x14ac:dyDescent="0.3">
      <c r="A750" s="118">
        <v>3111022</v>
      </c>
    </row>
    <row r="751" spans="1:1" ht="15.75" thickBot="1" x14ac:dyDescent="0.3">
      <c r="A751" s="118">
        <v>3111037</v>
      </c>
    </row>
    <row r="752" spans="1:1" ht="15.75" thickBot="1" x14ac:dyDescent="0.3">
      <c r="A752" s="118">
        <v>3111045</v>
      </c>
    </row>
    <row r="753" spans="1:1" ht="15.75" thickBot="1" x14ac:dyDescent="0.3">
      <c r="A753" s="118">
        <v>3111053</v>
      </c>
    </row>
    <row r="754" spans="1:1" ht="15.75" thickBot="1" x14ac:dyDescent="0.3">
      <c r="A754" s="118">
        <v>3111061</v>
      </c>
    </row>
    <row r="755" spans="1:1" ht="15.75" thickBot="1" x14ac:dyDescent="0.3">
      <c r="A755" s="118">
        <v>3111076</v>
      </c>
    </row>
    <row r="756" spans="1:1" ht="15.75" thickBot="1" x14ac:dyDescent="0.3">
      <c r="A756" s="118">
        <v>3111084</v>
      </c>
    </row>
    <row r="757" spans="1:1" ht="15.75" thickBot="1" x14ac:dyDescent="0.3">
      <c r="A757" s="118">
        <v>3111092</v>
      </c>
    </row>
    <row r="758" spans="1:1" ht="15.75" thickBot="1" x14ac:dyDescent="0.3">
      <c r="A758" s="118">
        <v>3111103</v>
      </c>
    </row>
    <row r="759" spans="1:1" ht="15.75" thickBot="1" x14ac:dyDescent="0.3">
      <c r="A759" s="118">
        <v>3111111</v>
      </c>
    </row>
    <row r="760" spans="1:1" ht="15.75" thickBot="1" x14ac:dyDescent="0.3">
      <c r="A760" s="118">
        <v>3111126</v>
      </c>
    </row>
    <row r="761" spans="1:1" ht="15.75" thickBot="1" x14ac:dyDescent="0.3">
      <c r="A761" s="118">
        <v>3111134</v>
      </c>
    </row>
    <row r="762" spans="1:1" ht="15.75" thickBot="1" x14ac:dyDescent="0.3">
      <c r="A762" s="118">
        <v>3111142</v>
      </c>
    </row>
    <row r="763" spans="1:1" ht="15.75" thickBot="1" x14ac:dyDescent="0.3">
      <c r="A763" s="118">
        <v>3111157</v>
      </c>
    </row>
    <row r="764" spans="1:1" ht="15.75" thickBot="1" x14ac:dyDescent="0.3">
      <c r="A764" s="118">
        <v>3111165</v>
      </c>
    </row>
    <row r="765" spans="1:1" ht="15.75" thickBot="1" x14ac:dyDescent="0.3">
      <c r="A765" s="118">
        <v>3111173</v>
      </c>
    </row>
    <row r="766" spans="1:1" ht="15.75" thickBot="1" x14ac:dyDescent="0.3">
      <c r="A766" s="118">
        <v>3111181</v>
      </c>
    </row>
    <row r="767" spans="1:1" ht="15.75" thickBot="1" x14ac:dyDescent="0.3">
      <c r="A767" s="118">
        <v>3111196</v>
      </c>
    </row>
    <row r="768" spans="1:1" ht="15.75" thickBot="1" x14ac:dyDescent="0.3">
      <c r="A768" s="118">
        <v>3112017</v>
      </c>
    </row>
    <row r="769" spans="1:1" ht="15.75" thickBot="1" x14ac:dyDescent="0.3">
      <c r="A769" s="118">
        <v>3112025</v>
      </c>
    </row>
    <row r="770" spans="1:1" ht="15.75" thickBot="1" x14ac:dyDescent="0.3">
      <c r="A770" s="118">
        <v>3112033</v>
      </c>
    </row>
    <row r="771" spans="1:1" ht="15.75" thickBot="1" x14ac:dyDescent="0.3">
      <c r="A771" s="119">
        <v>3112041</v>
      </c>
    </row>
    <row r="772" spans="1:1" ht="16.5" thickTop="1" thickBot="1" x14ac:dyDescent="0.3">
      <c r="A772" s="118">
        <v>3112056</v>
      </c>
    </row>
    <row r="773" spans="1:1" ht="15.75" thickBot="1" x14ac:dyDescent="0.3">
      <c r="A773" s="118">
        <v>3112064</v>
      </c>
    </row>
    <row r="774" spans="1:1" ht="15.75" thickBot="1" x14ac:dyDescent="0.3">
      <c r="A774" s="118">
        <v>3112072</v>
      </c>
    </row>
    <row r="775" spans="1:1" ht="15.75" thickBot="1" x14ac:dyDescent="0.3">
      <c r="A775" s="118">
        <v>3112087</v>
      </c>
    </row>
    <row r="776" spans="1:1" ht="15.75" thickBot="1" x14ac:dyDescent="0.3">
      <c r="A776" s="118">
        <v>3112095</v>
      </c>
    </row>
    <row r="777" spans="1:1" ht="15.75" thickBot="1" x14ac:dyDescent="0.3">
      <c r="A777" s="118">
        <v>3112106</v>
      </c>
    </row>
    <row r="778" spans="1:1" ht="15.75" thickBot="1" x14ac:dyDescent="0.3">
      <c r="A778" s="118">
        <v>3112114</v>
      </c>
    </row>
    <row r="779" spans="1:1" ht="15.75" thickBot="1" x14ac:dyDescent="0.3">
      <c r="A779" s="118">
        <v>3112122</v>
      </c>
    </row>
    <row r="780" spans="1:1" ht="15.75" thickBot="1" x14ac:dyDescent="0.3">
      <c r="A780" s="118">
        <v>3112137</v>
      </c>
    </row>
    <row r="781" spans="1:1" ht="15.75" thickBot="1" x14ac:dyDescent="0.3">
      <c r="A781" s="118">
        <v>3112145</v>
      </c>
    </row>
    <row r="782" spans="1:1" ht="15.75" thickBot="1" x14ac:dyDescent="0.3">
      <c r="A782" s="118">
        <v>3112153</v>
      </c>
    </row>
    <row r="783" spans="1:1" ht="15.75" thickBot="1" x14ac:dyDescent="0.3">
      <c r="A783" s="118">
        <v>3112161</v>
      </c>
    </row>
    <row r="784" spans="1:1" ht="15.75" thickBot="1" x14ac:dyDescent="0.3">
      <c r="A784" s="118">
        <v>3112176</v>
      </c>
    </row>
    <row r="785" spans="1:1" ht="15.75" thickBot="1" x14ac:dyDescent="0.3">
      <c r="A785" s="118">
        <v>3112184</v>
      </c>
    </row>
    <row r="786" spans="1:1" ht="15.75" thickBot="1" x14ac:dyDescent="0.3">
      <c r="A786" s="118">
        <v>3112192</v>
      </c>
    </row>
    <row r="787" spans="1:1" ht="15.75" thickBot="1" x14ac:dyDescent="0.3">
      <c r="A787" s="118">
        <v>3211015</v>
      </c>
    </row>
    <row r="788" spans="1:1" ht="15.75" thickBot="1" x14ac:dyDescent="0.3">
      <c r="A788" s="118">
        <v>3211023</v>
      </c>
    </row>
    <row r="789" spans="1:1" ht="15.75" thickBot="1" x14ac:dyDescent="0.3">
      <c r="A789" s="118">
        <v>3211031</v>
      </c>
    </row>
    <row r="790" spans="1:1" ht="15.75" thickBot="1" x14ac:dyDescent="0.3">
      <c r="A790" s="118">
        <v>3211046</v>
      </c>
    </row>
    <row r="791" spans="1:1" ht="15.75" thickBot="1" x14ac:dyDescent="0.3">
      <c r="A791" s="118">
        <v>3211054</v>
      </c>
    </row>
    <row r="792" spans="1:1" ht="15.75" thickBot="1" x14ac:dyDescent="0.3">
      <c r="A792" s="118">
        <v>3211062</v>
      </c>
    </row>
    <row r="793" spans="1:1" ht="15.75" thickBot="1" x14ac:dyDescent="0.3">
      <c r="A793" s="118">
        <v>3211077</v>
      </c>
    </row>
    <row r="794" spans="1:1" ht="15.75" thickBot="1" x14ac:dyDescent="0.3">
      <c r="A794" s="118">
        <v>3211085</v>
      </c>
    </row>
    <row r="795" spans="1:1" ht="15.75" thickBot="1" x14ac:dyDescent="0.3">
      <c r="A795" s="118">
        <v>3211093</v>
      </c>
    </row>
    <row r="796" spans="1:1" ht="15.75" thickBot="1" x14ac:dyDescent="0.3">
      <c r="A796" s="118">
        <v>3211104</v>
      </c>
    </row>
    <row r="797" spans="1:1" ht="15.75" thickBot="1" x14ac:dyDescent="0.3">
      <c r="A797" s="118">
        <v>3211112</v>
      </c>
    </row>
    <row r="798" spans="1:1" ht="15.75" thickBot="1" x14ac:dyDescent="0.3">
      <c r="A798" s="118">
        <v>3211127</v>
      </c>
    </row>
    <row r="799" spans="1:1" ht="15.75" thickBot="1" x14ac:dyDescent="0.3">
      <c r="A799" s="118">
        <v>3211135</v>
      </c>
    </row>
    <row r="800" spans="1:1" ht="15.75" thickBot="1" x14ac:dyDescent="0.3">
      <c r="A800" s="118">
        <v>3211143</v>
      </c>
    </row>
    <row r="801" spans="1:1" ht="15.75" thickBot="1" x14ac:dyDescent="0.3">
      <c r="A801" s="118">
        <v>3211151</v>
      </c>
    </row>
    <row r="802" spans="1:1" ht="15.75" thickBot="1" x14ac:dyDescent="0.3">
      <c r="A802" s="118">
        <v>3211166</v>
      </c>
    </row>
    <row r="803" spans="1:1" ht="15.75" thickBot="1" x14ac:dyDescent="0.3">
      <c r="A803" s="119">
        <v>3211174</v>
      </c>
    </row>
    <row r="804" spans="1:1" ht="16.5" thickTop="1" thickBot="1" x14ac:dyDescent="0.3">
      <c r="A804" s="118">
        <v>3211182</v>
      </c>
    </row>
    <row r="805" spans="1:1" ht="15.75" thickBot="1" x14ac:dyDescent="0.3">
      <c r="A805" s="118">
        <v>3211197</v>
      </c>
    </row>
    <row r="806" spans="1:1" ht="15.75" thickBot="1" x14ac:dyDescent="0.3">
      <c r="A806" s="118">
        <v>3211201</v>
      </c>
    </row>
    <row r="807" spans="1:1" ht="15.75" thickBot="1" x14ac:dyDescent="0.3">
      <c r="A807" s="118">
        <v>3211216</v>
      </c>
    </row>
    <row r="808" spans="1:1" ht="15.75" thickBot="1" x14ac:dyDescent="0.3">
      <c r="A808" s="118">
        <v>3211224</v>
      </c>
    </row>
    <row r="809" spans="1:1" ht="15.75" thickBot="1" x14ac:dyDescent="0.3">
      <c r="A809" s="118">
        <v>3211232</v>
      </c>
    </row>
    <row r="810" spans="1:1" ht="15.75" thickBot="1" x14ac:dyDescent="0.3">
      <c r="A810" s="118">
        <v>3211247</v>
      </c>
    </row>
    <row r="811" spans="1:1" ht="15.75" thickBot="1" x14ac:dyDescent="0.3">
      <c r="A811" s="118">
        <v>3211255</v>
      </c>
    </row>
    <row r="812" spans="1:1" ht="15.75" thickBot="1" x14ac:dyDescent="0.3">
      <c r="A812" s="118">
        <v>3211263</v>
      </c>
    </row>
    <row r="813" spans="1:1" ht="15.75" thickBot="1" x14ac:dyDescent="0.3">
      <c r="A813" s="118">
        <v>3211271</v>
      </c>
    </row>
    <row r="814" spans="1:1" ht="15.75" thickBot="1" x14ac:dyDescent="0.3">
      <c r="A814" s="118">
        <v>3211286</v>
      </c>
    </row>
    <row r="815" spans="1:1" ht="15.75" thickBot="1" x14ac:dyDescent="0.3">
      <c r="A815" s="118">
        <v>3211294</v>
      </c>
    </row>
    <row r="816" spans="1:1" ht="15.75" thickBot="1" x14ac:dyDescent="0.3">
      <c r="A816" s="118">
        <v>3211305</v>
      </c>
    </row>
    <row r="817" spans="1:1" ht="15.75" thickBot="1" x14ac:dyDescent="0.3">
      <c r="A817" s="119">
        <v>3211313</v>
      </c>
    </row>
    <row r="818" spans="1:1" ht="16.5" thickTop="1" thickBot="1" x14ac:dyDescent="0.3">
      <c r="A818" s="118">
        <v>3211321</v>
      </c>
    </row>
    <row r="819" spans="1:1" ht="15.75" thickBot="1" x14ac:dyDescent="0.3">
      <c r="A819" s="118">
        <v>3212011</v>
      </c>
    </row>
    <row r="820" spans="1:1" ht="15.75" thickBot="1" x14ac:dyDescent="0.3">
      <c r="A820" s="118">
        <v>3212026</v>
      </c>
    </row>
    <row r="821" spans="1:1" ht="15.75" thickBot="1" x14ac:dyDescent="0.3">
      <c r="A821" s="118">
        <v>3212034</v>
      </c>
    </row>
    <row r="822" spans="1:1" ht="15.75" thickBot="1" x14ac:dyDescent="0.3">
      <c r="A822" s="118">
        <v>3212042</v>
      </c>
    </row>
    <row r="823" spans="1:1" ht="15.75" thickBot="1" x14ac:dyDescent="0.3">
      <c r="A823" s="118">
        <v>3212057</v>
      </c>
    </row>
    <row r="824" spans="1:1" ht="15.75" thickBot="1" x14ac:dyDescent="0.3">
      <c r="A824" s="118">
        <v>3212065</v>
      </c>
    </row>
    <row r="825" spans="1:1" ht="15.75" thickBot="1" x14ac:dyDescent="0.3">
      <c r="A825" s="118">
        <v>3212073</v>
      </c>
    </row>
    <row r="826" spans="1:1" ht="15.75" thickBot="1" x14ac:dyDescent="0.3">
      <c r="A826" s="118">
        <v>3212081</v>
      </c>
    </row>
    <row r="827" spans="1:1" ht="15.75" thickBot="1" x14ac:dyDescent="0.3">
      <c r="A827" s="118">
        <v>3212096</v>
      </c>
    </row>
    <row r="828" spans="1:1" ht="15.75" thickBot="1" x14ac:dyDescent="0.3">
      <c r="A828" s="119">
        <v>3212107</v>
      </c>
    </row>
    <row r="829" spans="1:1" ht="16.5" thickTop="1" thickBot="1" x14ac:dyDescent="0.3">
      <c r="A829" s="118">
        <v>3212115</v>
      </c>
    </row>
    <row r="830" spans="1:1" ht="15.75" thickBot="1" x14ac:dyDescent="0.3">
      <c r="A830" s="118">
        <v>3212123</v>
      </c>
    </row>
    <row r="831" spans="1:1" ht="15.75" thickBot="1" x14ac:dyDescent="0.3">
      <c r="A831" s="118">
        <v>3212131</v>
      </c>
    </row>
    <row r="832" spans="1:1" ht="15.75" thickBot="1" x14ac:dyDescent="0.3">
      <c r="A832" s="118">
        <v>3212146</v>
      </c>
    </row>
    <row r="833" spans="1:1" ht="15.75" thickBot="1" x14ac:dyDescent="0.3">
      <c r="A833" s="118">
        <v>3212154</v>
      </c>
    </row>
    <row r="834" spans="1:1" ht="15.75" thickBot="1" x14ac:dyDescent="0.3">
      <c r="A834" s="118">
        <v>3212162</v>
      </c>
    </row>
    <row r="835" spans="1:1" ht="15.75" thickBot="1" x14ac:dyDescent="0.3">
      <c r="A835" s="118">
        <v>3212177</v>
      </c>
    </row>
    <row r="836" spans="1:1" ht="15.75" thickBot="1" x14ac:dyDescent="0.3">
      <c r="A836" s="118">
        <v>3212185</v>
      </c>
    </row>
    <row r="837" spans="1:1" ht="15.75" thickBot="1" x14ac:dyDescent="0.3">
      <c r="A837" s="118">
        <v>3212193</v>
      </c>
    </row>
    <row r="838" spans="1:1" ht="15.75" thickBot="1" x14ac:dyDescent="0.3">
      <c r="A838" s="118">
        <v>3212204</v>
      </c>
    </row>
    <row r="839" spans="1:1" ht="15.75" thickBot="1" x14ac:dyDescent="0.3">
      <c r="A839" s="118">
        <v>3212212</v>
      </c>
    </row>
    <row r="840" spans="1:1" ht="15.75" thickBot="1" x14ac:dyDescent="0.3">
      <c r="A840" s="118">
        <v>3212227</v>
      </c>
    </row>
    <row r="841" spans="1:1" ht="15.75" thickBot="1" x14ac:dyDescent="0.3">
      <c r="A841" s="118">
        <v>3212235</v>
      </c>
    </row>
    <row r="842" spans="1:1" ht="15.75" thickBot="1" x14ac:dyDescent="0.3">
      <c r="A842" s="118">
        <v>3212243</v>
      </c>
    </row>
    <row r="843" spans="1:1" ht="15.75" thickBot="1" x14ac:dyDescent="0.3">
      <c r="A843" s="118">
        <v>3212251</v>
      </c>
    </row>
    <row r="844" spans="1:1" ht="15.75" thickBot="1" x14ac:dyDescent="0.3">
      <c r="A844" s="118">
        <v>3212266</v>
      </c>
    </row>
    <row r="845" spans="1:1" ht="15.75" thickBot="1" x14ac:dyDescent="0.3">
      <c r="A845" s="119">
        <v>3212274</v>
      </c>
    </row>
    <row r="846" spans="1:1" ht="16.5" thickTop="1" thickBot="1" x14ac:dyDescent="0.3">
      <c r="A846" s="118">
        <v>3212282</v>
      </c>
    </row>
    <row r="847" spans="1:1" ht="15.75" thickBot="1" x14ac:dyDescent="0.3">
      <c r="A847" s="118">
        <v>3212297</v>
      </c>
    </row>
    <row r="848" spans="1:1" ht="15.75" thickBot="1" x14ac:dyDescent="0.3">
      <c r="A848" s="118">
        <v>3212301</v>
      </c>
    </row>
    <row r="849" spans="1:1" ht="15.75" thickBot="1" x14ac:dyDescent="0.3">
      <c r="A849" s="118">
        <v>3212316</v>
      </c>
    </row>
    <row r="850" spans="1:1" ht="15.75" thickBot="1" x14ac:dyDescent="0.3">
      <c r="A850" s="118">
        <v>3212324</v>
      </c>
    </row>
    <row r="851" spans="1:1" ht="15.75" thickBot="1" x14ac:dyDescent="0.3">
      <c r="A851" s="118">
        <v>3221017</v>
      </c>
    </row>
    <row r="852" spans="1:1" ht="15.75" thickBot="1" x14ac:dyDescent="0.3">
      <c r="A852" s="118">
        <v>3221025</v>
      </c>
    </row>
    <row r="853" spans="1:1" ht="15.75" thickBot="1" x14ac:dyDescent="0.3">
      <c r="A853" s="118">
        <v>3221033</v>
      </c>
    </row>
    <row r="854" spans="1:1" ht="15.75" thickBot="1" x14ac:dyDescent="0.3">
      <c r="A854" s="118">
        <v>3221041</v>
      </c>
    </row>
    <row r="855" spans="1:1" ht="15.75" thickBot="1" x14ac:dyDescent="0.3">
      <c r="A855" s="118">
        <v>3221056</v>
      </c>
    </row>
    <row r="856" spans="1:1" ht="15.75" thickBot="1" x14ac:dyDescent="0.3">
      <c r="A856" s="118">
        <v>3221064</v>
      </c>
    </row>
    <row r="857" spans="1:1" ht="15.75" thickBot="1" x14ac:dyDescent="0.3">
      <c r="A857" s="118">
        <v>3221072</v>
      </c>
    </row>
    <row r="858" spans="1:1" ht="15.75" thickBot="1" x14ac:dyDescent="0.3">
      <c r="A858" s="118">
        <v>3221087</v>
      </c>
    </row>
    <row r="859" spans="1:1" ht="15.75" thickBot="1" x14ac:dyDescent="0.3">
      <c r="A859" s="118">
        <v>3221095</v>
      </c>
    </row>
    <row r="860" spans="1:1" ht="15.75" thickBot="1" x14ac:dyDescent="0.3">
      <c r="A860" s="118">
        <v>3221106</v>
      </c>
    </row>
    <row r="861" spans="1:1" ht="15.75" thickBot="1" x14ac:dyDescent="0.3">
      <c r="A861" s="118">
        <v>3221114</v>
      </c>
    </row>
    <row r="862" spans="1:1" ht="15.75" thickBot="1" x14ac:dyDescent="0.3">
      <c r="A862" s="118">
        <v>3221122</v>
      </c>
    </row>
    <row r="863" spans="1:1" ht="15.75" thickBot="1" x14ac:dyDescent="0.3">
      <c r="A863" s="118">
        <v>3221145</v>
      </c>
    </row>
    <row r="864" spans="1:1" ht="15.75" thickBot="1" x14ac:dyDescent="0.3">
      <c r="A864" s="118">
        <v>3221161</v>
      </c>
    </row>
    <row r="865" spans="1:1" ht="15.75" thickBot="1" x14ac:dyDescent="0.3">
      <c r="A865" s="118">
        <v>3222021</v>
      </c>
    </row>
    <row r="866" spans="1:1" ht="15.75" thickBot="1" x14ac:dyDescent="0.3">
      <c r="A866" s="118">
        <v>3222075</v>
      </c>
    </row>
    <row r="867" spans="1:1" ht="15.75" thickBot="1" x14ac:dyDescent="0.3">
      <c r="A867" s="118">
        <v>3222083</v>
      </c>
    </row>
    <row r="868" spans="1:1" ht="15.75" thickBot="1" x14ac:dyDescent="0.3">
      <c r="A868" s="118">
        <v>3222102</v>
      </c>
    </row>
    <row r="869" spans="1:1" ht="15.75" thickBot="1" x14ac:dyDescent="0.3">
      <c r="A869" s="118">
        <v>3222117</v>
      </c>
    </row>
    <row r="870" spans="1:1" ht="15.75" thickBot="1" x14ac:dyDescent="0.3">
      <c r="A870" s="118">
        <v>3222141</v>
      </c>
    </row>
    <row r="871" spans="1:1" ht="15.75" thickBot="1" x14ac:dyDescent="0.3">
      <c r="A871" s="118">
        <v>3222187</v>
      </c>
    </row>
    <row r="872" spans="1:1" ht="15.75" thickBot="1" x14ac:dyDescent="0.3">
      <c r="A872" s="118">
        <v>3222206</v>
      </c>
    </row>
    <row r="873" spans="1:1" ht="15.75" thickBot="1" x14ac:dyDescent="0.3">
      <c r="A873" s="118">
        <v>3222214</v>
      </c>
    </row>
    <row r="874" spans="1:1" ht="15.75" thickBot="1" x14ac:dyDescent="0.3">
      <c r="A874" s="118">
        <v>3222431</v>
      </c>
    </row>
    <row r="875" spans="1:1" ht="15.75" thickBot="1" x14ac:dyDescent="0.3">
      <c r="A875" s="118">
        <v>3222454</v>
      </c>
    </row>
    <row r="876" spans="1:1" ht="15.75" thickBot="1" x14ac:dyDescent="0.3">
      <c r="A876" s="118">
        <v>3231012</v>
      </c>
    </row>
    <row r="877" spans="1:1" ht="15.75" thickBot="1" x14ac:dyDescent="0.3">
      <c r="A877" s="118">
        <v>3231027</v>
      </c>
    </row>
    <row r="878" spans="1:1" ht="15.75" thickBot="1" x14ac:dyDescent="0.3">
      <c r="A878" s="118">
        <v>3231035</v>
      </c>
    </row>
    <row r="879" spans="1:1" ht="15.75" thickBot="1" x14ac:dyDescent="0.3">
      <c r="A879" s="118">
        <v>3231043</v>
      </c>
    </row>
    <row r="880" spans="1:1" ht="15.75" thickBot="1" x14ac:dyDescent="0.3">
      <c r="A880" s="118">
        <v>3231051</v>
      </c>
    </row>
    <row r="881" spans="1:1" ht="15.75" thickBot="1" x14ac:dyDescent="0.3">
      <c r="A881" s="118">
        <v>3231066</v>
      </c>
    </row>
    <row r="882" spans="1:1" ht="15.75" thickBot="1" x14ac:dyDescent="0.3">
      <c r="A882" s="118">
        <v>3231074</v>
      </c>
    </row>
    <row r="883" spans="1:1" ht="15.75" thickBot="1" x14ac:dyDescent="0.3">
      <c r="A883" s="118">
        <v>3231082</v>
      </c>
    </row>
    <row r="884" spans="1:1" ht="15.75" thickBot="1" x14ac:dyDescent="0.3">
      <c r="A884" s="118">
        <v>3231097</v>
      </c>
    </row>
    <row r="885" spans="1:1" ht="15.75" thickBot="1" x14ac:dyDescent="0.3">
      <c r="A885" s="118">
        <v>3231101</v>
      </c>
    </row>
    <row r="886" spans="1:1" ht="15.75" thickBot="1" x14ac:dyDescent="0.3">
      <c r="A886" s="119">
        <v>3231116</v>
      </c>
    </row>
    <row r="887" spans="1:1" ht="16.5" thickTop="1" thickBot="1" x14ac:dyDescent="0.3">
      <c r="A887" s="118">
        <v>3231124</v>
      </c>
    </row>
    <row r="888" spans="1:1" ht="15.75" thickBot="1" x14ac:dyDescent="0.3">
      <c r="A888" s="118">
        <v>3231132</v>
      </c>
    </row>
    <row r="889" spans="1:1" ht="15.75" thickBot="1" x14ac:dyDescent="0.3">
      <c r="A889" s="118">
        <v>3231147</v>
      </c>
    </row>
    <row r="890" spans="1:1" ht="15.75" thickBot="1" x14ac:dyDescent="0.3">
      <c r="A890" s="118">
        <v>3231155</v>
      </c>
    </row>
    <row r="891" spans="1:1" ht="15.75" thickBot="1" x14ac:dyDescent="0.3">
      <c r="A891" s="118">
        <v>3231163</v>
      </c>
    </row>
    <row r="892" spans="1:1" ht="15.75" thickBot="1" x14ac:dyDescent="0.3">
      <c r="A892" s="118">
        <v>3231171</v>
      </c>
    </row>
    <row r="893" spans="1:1" ht="15.75" thickBot="1" x14ac:dyDescent="0.3">
      <c r="A893" s="118">
        <v>3232015</v>
      </c>
    </row>
    <row r="894" spans="1:1" ht="15.75" thickBot="1" x14ac:dyDescent="0.3">
      <c r="A894" s="118">
        <v>3232023</v>
      </c>
    </row>
    <row r="895" spans="1:1" ht="15.75" thickBot="1" x14ac:dyDescent="0.3">
      <c r="A895" s="118">
        <v>3232031</v>
      </c>
    </row>
    <row r="896" spans="1:1" ht="15.75" thickBot="1" x14ac:dyDescent="0.3">
      <c r="A896" s="118">
        <v>3232046</v>
      </c>
    </row>
    <row r="897" spans="1:1" ht="15.75" thickBot="1" x14ac:dyDescent="0.3">
      <c r="A897" s="119">
        <v>3232054</v>
      </c>
    </row>
    <row r="898" spans="1:1" ht="16.5" thickTop="1" thickBot="1" x14ac:dyDescent="0.3">
      <c r="A898" s="118">
        <v>3232062</v>
      </c>
    </row>
    <row r="899" spans="1:1" ht="15.75" thickBot="1" x14ac:dyDescent="0.3">
      <c r="A899" s="118">
        <v>3232077</v>
      </c>
    </row>
    <row r="900" spans="1:1" ht="15.75" thickBot="1" x14ac:dyDescent="0.3">
      <c r="A900" s="118">
        <v>3232085</v>
      </c>
    </row>
    <row r="901" spans="1:1" ht="15.75" thickBot="1" x14ac:dyDescent="0.3">
      <c r="A901" s="118">
        <v>3232093</v>
      </c>
    </row>
    <row r="902" spans="1:1" ht="15.75" thickBot="1" x14ac:dyDescent="0.3">
      <c r="A902" s="118">
        <v>3232104</v>
      </c>
    </row>
    <row r="903" spans="1:1" ht="15.75" thickBot="1" x14ac:dyDescent="0.3">
      <c r="A903" s="118">
        <v>3232112</v>
      </c>
    </row>
    <row r="904" spans="1:1" ht="15.75" thickBot="1" x14ac:dyDescent="0.3">
      <c r="A904" s="118">
        <v>3232127</v>
      </c>
    </row>
    <row r="905" spans="1:1" ht="15.75" thickBot="1" x14ac:dyDescent="0.3">
      <c r="A905" s="119">
        <v>3232135</v>
      </c>
    </row>
    <row r="906" spans="1:1" ht="16.5" thickTop="1" thickBot="1" x14ac:dyDescent="0.3">
      <c r="A906" s="118">
        <v>3232143</v>
      </c>
    </row>
    <row r="907" spans="1:1" ht="15.75" thickBot="1" x14ac:dyDescent="0.3">
      <c r="A907" s="118">
        <v>3232151</v>
      </c>
    </row>
    <row r="908" spans="1:1" ht="15.75" thickBot="1" x14ac:dyDescent="0.3">
      <c r="A908" s="118">
        <v>3232166</v>
      </c>
    </row>
    <row r="909" spans="1:1" ht="15.75" thickBot="1" x14ac:dyDescent="0.3">
      <c r="A909" s="118">
        <v>3232174</v>
      </c>
    </row>
    <row r="910" spans="1:1" ht="15.75" thickBot="1" x14ac:dyDescent="0.3">
      <c r="A910" s="118">
        <v>3232182</v>
      </c>
    </row>
    <row r="911" spans="1:1" ht="15.75" thickBot="1" x14ac:dyDescent="0.3">
      <c r="A911" s="118">
        <v>3232197</v>
      </c>
    </row>
    <row r="912" spans="1:1" ht="15.75" thickBot="1" x14ac:dyDescent="0.3">
      <c r="A912" s="118">
        <v>3232201</v>
      </c>
    </row>
    <row r="913" spans="1:1" ht="15.75" thickBot="1" x14ac:dyDescent="0.3">
      <c r="A913" s="118">
        <v>3232216</v>
      </c>
    </row>
    <row r="914" spans="1:1" ht="15.75" thickBot="1" x14ac:dyDescent="0.3">
      <c r="A914" s="118">
        <v>3232224</v>
      </c>
    </row>
    <row r="915" spans="1:1" ht="15.75" thickBot="1" x14ac:dyDescent="0.3">
      <c r="A915" s="118">
        <v>3232232</v>
      </c>
    </row>
    <row r="916" spans="1:1" ht="15.75" thickBot="1" x14ac:dyDescent="0.3">
      <c r="A916" s="118">
        <v>3232247</v>
      </c>
    </row>
    <row r="917" spans="1:1" ht="15.75" thickBot="1" x14ac:dyDescent="0.3">
      <c r="A917" s="118">
        <v>3232255</v>
      </c>
    </row>
    <row r="918" spans="1:1" ht="15.75" thickBot="1" x14ac:dyDescent="0.3">
      <c r="A918" s="118">
        <v>3232263</v>
      </c>
    </row>
    <row r="919" spans="1:1" ht="15.75" thickBot="1" x14ac:dyDescent="0.3">
      <c r="A919" s="118">
        <v>3232271</v>
      </c>
    </row>
    <row r="920" spans="1:1" ht="15.75" thickBot="1" x14ac:dyDescent="0.3">
      <c r="A920" s="118">
        <v>3232286</v>
      </c>
    </row>
    <row r="921" spans="1:1" ht="15.75" thickBot="1" x14ac:dyDescent="0.3">
      <c r="A921" s="118">
        <v>3232294</v>
      </c>
    </row>
    <row r="922" spans="1:1" ht="15.75" thickBot="1" x14ac:dyDescent="0.3">
      <c r="A922" s="118">
        <v>3232305</v>
      </c>
    </row>
    <row r="923" spans="1:1" ht="15.75" thickBot="1" x14ac:dyDescent="0.3">
      <c r="A923" s="118">
        <v>3232313</v>
      </c>
    </row>
    <row r="924" spans="1:1" ht="15.75" thickBot="1" x14ac:dyDescent="0.3">
      <c r="A924" s="118">
        <v>3232321</v>
      </c>
    </row>
    <row r="925" spans="1:1" ht="15.75" thickBot="1" x14ac:dyDescent="0.3">
      <c r="A925" s="118">
        <v>3232336</v>
      </c>
    </row>
    <row r="926" spans="1:1" ht="15.75" thickBot="1" x14ac:dyDescent="0.3">
      <c r="A926" s="118">
        <v>3232344</v>
      </c>
    </row>
    <row r="927" spans="1:1" ht="15.75" thickBot="1" x14ac:dyDescent="0.3">
      <c r="A927" s="118">
        <v>3232352</v>
      </c>
    </row>
    <row r="928" spans="1:1" ht="15.75" thickBot="1" x14ac:dyDescent="0.3">
      <c r="A928" s="118">
        <v>3232367</v>
      </c>
    </row>
    <row r="929" spans="1:1" ht="15.75" thickBot="1" x14ac:dyDescent="0.3">
      <c r="A929" s="118">
        <v>3232375</v>
      </c>
    </row>
    <row r="930" spans="1:1" ht="15.75" thickBot="1" x14ac:dyDescent="0.3">
      <c r="A930" s="118">
        <v>3232383</v>
      </c>
    </row>
    <row r="931" spans="1:1" ht="15.75" thickBot="1" x14ac:dyDescent="0.3">
      <c r="A931" s="118">
        <v>3232391</v>
      </c>
    </row>
    <row r="932" spans="1:1" ht="15.75" thickBot="1" x14ac:dyDescent="0.3">
      <c r="A932" s="118">
        <v>3232402</v>
      </c>
    </row>
    <row r="933" spans="1:1" ht="15.75" thickBot="1" x14ac:dyDescent="0.3">
      <c r="A933" s="118">
        <v>3232417</v>
      </c>
    </row>
    <row r="934" spans="1:1" ht="15.75" thickBot="1" x14ac:dyDescent="0.3">
      <c r="A934" s="118">
        <v>3241014</v>
      </c>
    </row>
    <row r="935" spans="1:1" ht="15.75" thickBot="1" x14ac:dyDescent="0.3">
      <c r="A935" s="118">
        <v>3241022</v>
      </c>
    </row>
    <row r="936" spans="1:1" ht="15.75" thickBot="1" x14ac:dyDescent="0.3">
      <c r="A936" s="118">
        <v>3241037</v>
      </c>
    </row>
    <row r="937" spans="1:1" ht="15.75" thickBot="1" x14ac:dyDescent="0.3">
      <c r="A937" s="118">
        <v>3241045</v>
      </c>
    </row>
    <row r="938" spans="1:1" ht="15.75" thickBot="1" x14ac:dyDescent="0.3">
      <c r="A938" s="118">
        <v>3241053</v>
      </c>
    </row>
    <row r="939" spans="1:1" ht="15.75" thickBot="1" x14ac:dyDescent="0.3">
      <c r="A939" s="118">
        <v>3241061</v>
      </c>
    </row>
    <row r="940" spans="1:1" ht="15.75" thickBot="1" x14ac:dyDescent="0.3">
      <c r="A940" s="118">
        <v>3241076</v>
      </c>
    </row>
    <row r="941" spans="1:1" ht="15.75" thickBot="1" x14ac:dyDescent="0.3">
      <c r="A941" s="118">
        <v>3241084</v>
      </c>
    </row>
    <row r="942" spans="1:1" ht="15.75" thickBot="1" x14ac:dyDescent="0.3">
      <c r="A942" s="118">
        <v>3241092</v>
      </c>
    </row>
    <row r="943" spans="1:1" ht="15.75" thickBot="1" x14ac:dyDescent="0.3">
      <c r="A943" s="118">
        <v>3241103</v>
      </c>
    </row>
    <row r="944" spans="1:1" ht="15.75" thickBot="1" x14ac:dyDescent="0.3">
      <c r="A944" s="119">
        <v>3241111</v>
      </c>
    </row>
    <row r="945" spans="1:1" ht="16.5" thickTop="1" thickBot="1" x14ac:dyDescent="0.3">
      <c r="A945" s="118">
        <v>3242017</v>
      </c>
    </row>
    <row r="946" spans="1:1" ht="15.75" thickBot="1" x14ac:dyDescent="0.3">
      <c r="A946" s="118">
        <v>3242025</v>
      </c>
    </row>
    <row r="947" spans="1:1" ht="15.75" thickBot="1" x14ac:dyDescent="0.3">
      <c r="A947" s="118">
        <v>3242033</v>
      </c>
    </row>
    <row r="948" spans="1:1" ht="15.75" thickBot="1" x14ac:dyDescent="0.3">
      <c r="A948" s="118">
        <v>3242041</v>
      </c>
    </row>
    <row r="949" spans="1:1" ht="15.75" thickBot="1" x14ac:dyDescent="0.3">
      <c r="A949" s="118">
        <v>3242056</v>
      </c>
    </row>
    <row r="950" spans="1:1" ht="15.75" thickBot="1" x14ac:dyDescent="0.3">
      <c r="A950" s="118">
        <v>3242064</v>
      </c>
    </row>
    <row r="951" spans="1:1" ht="15.75" thickBot="1" x14ac:dyDescent="0.3">
      <c r="A951" s="118">
        <v>3242072</v>
      </c>
    </row>
    <row r="952" spans="1:1" ht="15.75" thickBot="1" x14ac:dyDescent="0.3">
      <c r="A952" s="118">
        <v>3242087</v>
      </c>
    </row>
    <row r="953" spans="1:1" ht="15.75" thickBot="1" x14ac:dyDescent="0.3">
      <c r="A953" s="118">
        <v>3311016</v>
      </c>
    </row>
    <row r="954" spans="1:1" ht="15.75" thickBot="1" x14ac:dyDescent="0.3">
      <c r="A954" s="118">
        <v>3311024</v>
      </c>
    </row>
    <row r="955" spans="1:1" ht="15.75" thickBot="1" x14ac:dyDescent="0.3">
      <c r="A955" s="118">
        <v>3311032</v>
      </c>
    </row>
    <row r="956" spans="1:1" ht="15.75" thickBot="1" x14ac:dyDescent="0.3">
      <c r="A956" s="118">
        <v>3311047</v>
      </c>
    </row>
    <row r="957" spans="1:1" ht="15.75" thickBot="1" x14ac:dyDescent="0.3">
      <c r="A957" s="118">
        <v>3311055</v>
      </c>
    </row>
    <row r="958" spans="1:1" ht="15.75" thickBot="1" x14ac:dyDescent="0.3">
      <c r="A958" s="118">
        <v>3311063</v>
      </c>
    </row>
    <row r="959" spans="1:1" ht="15.75" thickBot="1" x14ac:dyDescent="0.3">
      <c r="A959" s="119">
        <v>3311071</v>
      </c>
    </row>
    <row r="960" spans="1:1" ht="16.5" thickTop="1" thickBot="1" x14ac:dyDescent="0.3">
      <c r="A960" s="118">
        <v>3311086</v>
      </c>
    </row>
    <row r="961" spans="1:1" ht="15.75" thickBot="1" x14ac:dyDescent="0.3">
      <c r="A961" s="118">
        <v>3311094</v>
      </c>
    </row>
    <row r="962" spans="1:1" ht="15.75" thickBot="1" x14ac:dyDescent="0.3">
      <c r="A962" s="119">
        <v>3311105</v>
      </c>
    </row>
    <row r="963" spans="1:1" ht="16.5" thickTop="1" thickBot="1" x14ac:dyDescent="0.3">
      <c r="A963" s="118">
        <v>3311113</v>
      </c>
    </row>
    <row r="964" spans="1:1" ht="15.75" thickBot="1" x14ac:dyDescent="0.3">
      <c r="A964" s="118">
        <v>3312012</v>
      </c>
    </row>
    <row r="965" spans="1:1" ht="15.75" thickBot="1" x14ac:dyDescent="0.3">
      <c r="A965" s="118">
        <v>3312027</v>
      </c>
    </row>
    <row r="966" spans="1:1" ht="15.75" thickBot="1" x14ac:dyDescent="0.3">
      <c r="A966" s="118">
        <v>3312035</v>
      </c>
    </row>
    <row r="967" spans="1:1" ht="15.75" thickBot="1" x14ac:dyDescent="0.3">
      <c r="A967" s="119">
        <v>3312043</v>
      </c>
    </row>
    <row r="968" spans="1:1" ht="16.5" thickTop="1" thickBot="1" x14ac:dyDescent="0.3">
      <c r="A968" s="118">
        <v>3312051</v>
      </c>
    </row>
    <row r="969" spans="1:1" ht="15.75" thickBot="1" x14ac:dyDescent="0.3">
      <c r="A969" s="118">
        <v>3312066</v>
      </c>
    </row>
    <row r="970" spans="1:1" ht="15.75" thickBot="1" x14ac:dyDescent="0.3">
      <c r="A970" s="118">
        <v>3312074</v>
      </c>
    </row>
    <row r="971" spans="1:1" ht="15.75" thickBot="1" x14ac:dyDescent="0.3">
      <c r="A971" s="118">
        <v>3312082</v>
      </c>
    </row>
    <row r="972" spans="1:1" ht="15.75" thickBot="1" x14ac:dyDescent="0.3">
      <c r="A972" s="118">
        <v>3312097</v>
      </c>
    </row>
    <row r="973" spans="1:1" ht="15.75" thickBot="1" x14ac:dyDescent="0.3">
      <c r="A973" s="118">
        <v>3321011</v>
      </c>
    </row>
    <row r="974" spans="1:1" ht="15.75" thickBot="1" x14ac:dyDescent="0.3">
      <c r="A974" s="119">
        <v>3321026</v>
      </c>
    </row>
    <row r="975" spans="1:1" ht="16.5" thickTop="1" thickBot="1" x14ac:dyDescent="0.3">
      <c r="A975" s="118">
        <v>3321034</v>
      </c>
    </row>
    <row r="976" spans="1:1" ht="15.75" thickBot="1" x14ac:dyDescent="0.3">
      <c r="A976" s="118">
        <v>3321042</v>
      </c>
    </row>
    <row r="977" spans="1:1" ht="15.75" thickBot="1" x14ac:dyDescent="0.3">
      <c r="A977" s="118">
        <v>3321057</v>
      </c>
    </row>
    <row r="978" spans="1:1" ht="15.75" thickBot="1" x14ac:dyDescent="0.3">
      <c r="A978" s="118">
        <v>3321065</v>
      </c>
    </row>
    <row r="979" spans="1:1" ht="15.75" thickBot="1" x14ac:dyDescent="0.3">
      <c r="A979" s="118">
        <v>3321073</v>
      </c>
    </row>
    <row r="980" spans="1:1" ht="15.75" thickBot="1" x14ac:dyDescent="0.3">
      <c r="A980" s="118">
        <v>3321081</v>
      </c>
    </row>
    <row r="981" spans="1:1" ht="15.75" thickBot="1" x14ac:dyDescent="0.3">
      <c r="A981" s="118">
        <v>3321096</v>
      </c>
    </row>
    <row r="982" spans="1:1" ht="15.75" thickBot="1" x14ac:dyDescent="0.3">
      <c r="A982" s="118">
        <v>3321107</v>
      </c>
    </row>
    <row r="983" spans="1:1" ht="15.75" thickBot="1" x14ac:dyDescent="0.3">
      <c r="A983" s="119">
        <v>3321123</v>
      </c>
    </row>
    <row r="984" spans="1:1" ht="16.5" thickTop="1" thickBot="1" x14ac:dyDescent="0.3">
      <c r="A984" s="118">
        <v>3321131</v>
      </c>
    </row>
    <row r="985" spans="1:1" ht="15.75" thickBot="1" x14ac:dyDescent="0.3">
      <c r="A985" s="118">
        <v>3321146</v>
      </c>
    </row>
    <row r="986" spans="1:1" ht="15.75" thickBot="1" x14ac:dyDescent="0.3">
      <c r="A986" s="118">
        <v>3321154</v>
      </c>
    </row>
    <row r="987" spans="1:1" ht="15.75" thickBot="1" x14ac:dyDescent="0.3">
      <c r="A987" s="118">
        <v>3321162</v>
      </c>
    </row>
    <row r="988" spans="1:1" ht="15.75" thickBot="1" x14ac:dyDescent="0.3">
      <c r="A988" s="118">
        <v>3322014</v>
      </c>
    </row>
    <row r="989" spans="1:1" ht="15.75" thickBot="1" x14ac:dyDescent="0.3">
      <c r="A989" s="118">
        <v>3322022</v>
      </c>
    </row>
    <row r="990" spans="1:1" ht="15.75" thickBot="1" x14ac:dyDescent="0.3">
      <c r="A990" s="118">
        <v>3322037</v>
      </c>
    </row>
    <row r="991" spans="1:1" ht="15.75" thickBot="1" x14ac:dyDescent="0.3">
      <c r="A991" s="120">
        <v>3331013</v>
      </c>
    </row>
    <row r="992" spans="1:1" ht="15.75" thickBot="1" x14ac:dyDescent="0.3">
      <c r="A992" s="120">
        <v>3331021</v>
      </c>
    </row>
    <row r="993" spans="1:1" ht="15.75" thickBot="1" x14ac:dyDescent="0.3">
      <c r="A993" s="120">
        <v>3331036</v>
      </c>
    </row>
    <row r="994" spans="1:1" ht="15.75" thickBot="1" x14ac:dyDescent="0.3">
      <c r="A994" s="120">
        <v>3331044</v>
      </c>
    </row>
    <row r="995" spans="1:1" ht="15.75" thickBot="1" x14ac:dyDescent="0.3">
      <c r="A995" s="120">
        <v>3331052</v>
      </c>
    </row>
    <row r="996" spans="1:1" ht="15.75" thickBot="1" x14ac:dyDescent="0.3">
      <c r="A996" s="120">
        <v>3331067</v>
      </c>
    </row>
    <row r="997" spans="1:1" ht="15.75" thickBot="1" x14ac:dyDescent="0.3">
      <c r="A997" s="120">
        <v>3331075</v>
      </c>
    </row>
    <row r="998" spans="1:1" ht="15.75" thickBot="1" x14ac:dyDescent="0.3">
      <c r="A998" s="120">
        <v>3331083</v>
      </c>
    </row>
    <row r="999" spans="1:1" ht="15.75" thickBot="1" x14ac:dyDescent="0.3">
      <c r="A999" s="120">
        <v>3331091</v>
      </c>
    </row>
    <row r="1000" spans="1:1" ht="15.75" thickBot="1" x14ac:dyDescent="0.3">
      <c r="A1000" s="120">
        <v>3331102</v>
      </c>
    </row>
    <row r="1001" spans="1:1" ht="15.75" thickBot="1" x14ac:dyDescent="0.3">
      <c r="A1001" s="120">
        <v>3331117</v>
      </c>
    </row>
    <row r="1002" spans="1:1" ht="15.75" thickBot="1" x14ac:dyDescent="0.3">
      <c r="A1002" s="120">
        <v>3331125</v>
      </c>
    </row>
    <row r="1003" spans="1:1" ht="15.75" thickBot="1" x14ac:dyDescent="0.3">
      <c r="A1003" s="120">
        <v>3331133</v>
      </c>
    </row>
    <row r="1004" spans="1:1" ht="15.75" thickBot="1" x14ac:dyDescent="0.3">
      <c r="A1004" s="127">
        <v>3331141</v>
      </c>
    </row>
    <row r="1005" spans="1:1" ht="15.75" thickBot="1" x14ac:dyDescent="0.3">
      <c r="A1005" s="120">
        <v>3331156</v>
      </c>
    </row>
    <row r="1006" spans="1:1" ht="15.75" thickBot="1" x14ac:dyDescent="0.3">
      <c r="A1006" s="123">
        <v>3331164</v>
      </c>
    </row>
    <row r="1007" spans="1:1" ht="16.5" thickTop="1" thickBot="1" x14ac:dyDescent="0.3">
      <c r="A1007" s="120">
        <v>3331172</v>
      </c>
    </row>
    <row r="1008" spans="1:1" ht="15.75" thickBot="1" x14ac:dyDescent="0.3">
      <c r="A1008" s="120">
        <v>3331187</v>
      </c>
    </row>
    <row r="1009" spans="1:1" ht="15.75" thickBot="1" x14ac:dyDescent="0.3">
      <c r="A1009" s="120">
        <v>3331195</v>
      </c>
    </row>
    <row r="1010" spans="1:1" ht="15.75" thickBot="1" x14ac:dyDescent="0.3">
      <c r="A1010" s="120">
        <v>3331206</v>
      </c>
    </row>
    <row r="1011" spans="1:1" ht="15.75" thickBot="1" x14ac:dyDescent="0.3">
      <c r="A1011" s="120">
        <v>3331214</v>
      </c>
    </row>
    <row r="1012" spans="1:1" ht="15.75" thickBot="1" x14ac:dyDescent="0.3">
      <c r="A1012" s="120">
        <v>3331222</v>
      </c>
    </row>
    <row r="1013" spans="1:1" ht="15.75" thickBot="1" x14ac:dyDescent="0.3">
      <c r="A1013" s="120">
        <v>3331237</v>
      </c>
    </row>
    <row r="1014" spans="1:1" ht="15.75" thickBot="1" x14ac:dyDescent="0.3">
      <c r="A1014" s="118">
        <v>3332016</v>
      </c>
    </row>
    <row r="1015" spans="1:1" ht="15.75" thickBot="1" x14ac:dyDescent="0.3">
      <c r="A1015" s="118">
        <v>3332024</v>
      </c>
    </row>
    <row r="1016" spans="1:1" ht="15.75" thickBot="1" x14ac:dyDescent="0.3">
      <c r="A1016" s="118">
        <v>3332032</v>
      </c>
    </row>
    <row r="1017" spans="1:1" ht="15.75" thickBot="1" x14ac:dyDescent="0.3">
      <c r="A1017" s="118">
        <v>3332047</v>
      </c>
    </row>
    <row r="1018" spans="1:1" ht="15.75" thickBot="1" x14ac:dyDescent="0.3">
      <c r="A1018" s="118">
        <v>3332055</v>
      </c>
    </row>
    <row r="1019" spans="1:1" ht="15.75" thickBot="1" x14ac:dyDescent="0.3">
      <c r="A1019" s="118">
        <v>3332063</v>
      </c>
    </row>
    <row r="1020" spans="1:1" ht="15.75" thickBot="1" x14ac:dyDescent="0.3">
      <c r="A1020" s="118">
        <v>3332071</v>
      </c>
    </row>
    <row r="1021" spans="1:1" ht="15.75" thickBot="1" x14ac:dyDescent="0.3">
      <c r="A1021" s="118">
        <v>3332086</v>
      </c>
    </row>
    <row r="1022" spans="1:1" ht="15.75" thickBot="1" x14ac:dyDescent="0.3">
      <c r="A1022" s="118">
        <v>3332094</v>
      </c>
    </row>
    <row r="1023" spans="1:1" ht="15.75" thickBot="1" x14ac:dyDescent="0.3">
      <c r="A1023" s="118">
        <v>3332105</v>
      </c>
    </row>
    <row r="1024" spans="1:1" ht="15.75" thickBot="1" x14ac:dyDescent="0.3">
      <c r="A1024" s="118">
        <v>3332113</v>
      </c>
    </row>
    <row r="1025" spans="1:1" ht="15.75" thickBot="1" x14ac:dyDescent="0.3">
      <c r="A1025" s="118">
        <v>3332121</v>
      </c>
    </row>
    <row r="1026" spans="1:1" ht="15.75" thickBot="1" x14ac:dyDescent="0.3">
      <c r="A1026" s="118">
        <v>3332136</v>
      </c>
    </row>
    <row r="1027" spans="1:1" ht="15.75" thickBot="1" x14ac:dyDescent="0.3">
      <c r="A1027" s="118">
        <v>3332144</v>
      </c>
    </row>
    <row r="1028" spans="1:1" ht="15.75" thickBot="1" x14ac:dyDescent="0.3">
      <c r="A1028" s="118">
        <v>3332152</v>
      </c>
    </row>
    <row r="1029" spans="1:1" ht="15.75" thickBot="1" x14ac:dyDescent="0.3">
      <c r="A1029" s="118">
        <v>3332167</v>
      </c>
    </row>
    <row r="1030" spans="1:1" ht="15.75" thickBot="1" x14ac:dyDescent="0.3">
      <c r="A1030" s="118">
        <v>3332175</v>
      </c>
    </row>
    <row r="1031" spans="1:1" ht="15.75" thickBot="1" x14ac:dyDescent="0.3">
      <c r="A1031" s="118">
        <v>3332183</v>
      </c>
    </row>
    <row r="1032" spans="1:1" ht="15.75" thickBot="1" x14ac:dyDescent="0.3">
      <c r="A1032" s="118">
        <v>3332191</v>
      </c>
    </row>
    <row r="1033" spans="1:1" ht="15.75" thickBot="1" x14ac:dyDescent="0.3">
      <c r="A1033" s="118">
        <v>3332202</v>
      </c>
    </row>
    <row r="1034" spans="1:1" ht="15.75" thickBot="1" x14ac:dyDescent="0.3">
      <c r="A1034" s="119">
        <v>3332217</v>
      </c>
    </row>
    <row r="1035" spans="1:1" ht="16.5" thickTop="1" thickBot="1" x14ac:dyDescent="0.3">
      <c r="A1035" s="118">
        <v>3332225</v>
      </c>
    </row>
    <row r="1036" spans="1:1" ht="15.75" thickBot="1" x14ac:dyDescent="0.3">
      <c r="A1036" s="118">
        <v>3332233</v>
      </c>
    </row>
    <row r="1037" spans="1:1" ht="15.75" thickBot="1" x14ac:dyDescent="0.3">
      <c r="A1037" s="118">
        <v>3332241</v>
      </c>
    </row>
    <row r="1038" spans="1:1" ht="15.75" thickBot="1" x14ac:dyDescent="0.3">
      <c r="A1038" s="118">
        <v>3332256</v>
      </c>
    </row>
    <row r="1039" spans="1:1" ht="15.75" thickBot="1" x14ac:dyDescent="0.3">
      <c r="A1039" s="118">
        <v>3332264</v>
      </c>
    </row>
    <row r="1040" spans="1:1" ht="15.75" thickBot="1" x14ac:dyDescent="0.3">
      <c r="A1040" s="118">
        <v>3332272</v>
      </c>
    </row>
    <row r="1041" spans="1:1" ht="15.75" thickBot="1" x14ac:dyDescent="0.3">
      <c r="A1041" s="118">
        <v>3332287</v>
      </c>
    </row>
    <row r="1042" spans="1:1" ht="15.75" thickBot="1" x14ac:dyDescent="0.3">
      <c r="A1042" s="118">
        <v>3341015</v>
      </c>
    </row>
    <row r="1043" spans="1:1" ht="15.75" thickBot="1" x14ac:dyDescent="0.3">
      <c r="A1043" s="118">
        <v>3341023</v>
      </c>
    </row>
    <row r="1044" spans="1:1" ht="15.75" thickBot="1" x14ac:dyDescent="0.3">
      <c r="A1044" s="118">
        <v>3341031</v>
      </c>
    </row>
    <row r="1045" spans="1:1" ht="15.75" thickBot="1" x14ac:dyDescent="0.3">
      <c r="A1045" s="118">
        <v>3341046</v>
      </c>
    </row>
    <row r="1046" spans="1:1" ht="15.75" thickBot="1" x14ac:dyDescent="0.3">
      <c r="A1046" s="118">
        <v>3341054</v>
      </c>
    </row>
    <row r="1047" spans="1:1" ht="15.75" thickBot="1" x14ac:dyDescent="0.3">
      <c r="A1047" s="118">
        <v>3341062</v>
      </c>
    </row>
    <row r="1048" spans="1:1" ht="15.75" thickBot="1" x14ac:dyDescent="0.3">
      <c r="A1048" s="118">
        <v>3341077</v>
      </c>
    </row>
    <row r="1049" spans="1:1" ht="15.75" thickBot="1" x14ac:dyDescent="0.3">
      <c r="A1049" s="118">
        <v>3341085</v>
      </c>
    </row>
    <row r="1050" spans="1:1" ht="15.75" thickBot="1" x14ac:dyDescent="0.3">
      <c r="A1050" s="118">
        <v>3341093</v>
      </c>
    </row>
    <row r="1051" spans="1:1" ht="15.75" thickBot="1" x14ac:dyDescent="0.3">
      <c r="A1051" s="118">
        <v>3341104</v>
      </c>
    </row>
    <row r="1052" spans="1:1" ht="15.75" thickBot="1" x14ac:dyDescent="0.3">
      <c r="A1052" s="118">
        <v>3341112</v>
      </c>
    </row>
    <row r="1053" spans="1:1" ht="15.75" thickBot="1" x14ac:dyDescent="0.3">
      <c r="A1053" s="118">
        <v>3341127</v>
      </c>
    </row>
    <row r="1054" spans="1:1" ht="15.75" thickBot="1" x14ac:dyDescent="0.3">
      <c r="A1054" s="118">
        <v>3341143</v>
      </c>
    </row>
    <row r="1055" spans="1:1" ht="15.75" thickBot="1" x14ac:dyDescent="0.3">
      <c r="A1055" s="118">
        <v>3341151</v>
      </c>
    </row>
    <row r="1056" spans="1:1" ht="15.75" thickBot="1" x14ac:dyDescent="0.3">
      <c r="A1056" s="118">
        <v>3341166</v>
      </c>
    </row>
    <row r="1057" spans="1:1" ht="15.75" thickBot="1" x14ac:dyDescent="0.3">
      <c r="A1057" s="119">
        <v>3341174</v>
      </c>
    </row>
    <row r="1058" spans="1:1" ht="16.5" thickTop="1" thickBot="1" x14ac:dyDescent="0.3">
      <c r="A1058" s="118">
        <v>3341182</v>
      </c>
    </row>
    <row r="1059" spans="1:1" ht="15.75" thickBot="1" x14ac:dyDescent="0.3">
      <c r="A1059" s="118">
        <v>3341197</v>
      </c>
    </row>
    <row r="1060" spans="1:1" ht="15.75" thickBot="1" x14ac:dyDescent="0.3">
      <c r="A1060" s="118">
        <v>3341201</v>
      </c>
    </row>
    <row r="1061" spans="1:1" ht="15.75" thickBot="1" x14ac:dyDescent="0.3">
      <c r="A1061" s="118">
        <v>3341216</v>
      </c>
    </row>
    <row r="1062" spans="1:1" ht="15.75" thickBot="1" x14ac:dyDescent="0.3">
      <c r="A1062" s="118">
        <v>3341224</v>
      </c>
    </row>
    <row r="1063" spans="1:1" ht="15.75" thickBot="1" x14ac:dyDescent="0.3">
      <c r="A1063" s="118">
        <v>3341232</v>
      </c>
    </row>
    <row r="1064" spans="1:1" ht="15.75" thickBot="1" x14ac:dyDescent="0.3">
      <c r="A1064" s="118">
        <v>3341247</v>
      </c>
    </row>
    <row r="1065" spans="1:1" ht="15.75" thickBot="1" x14ac:dyDescent="0.3">
      <c r="A1065" s="118">
        <v>3342011</v>
      </c>
    </row>
    <row r="1066" spans="1:1" ht="15.75" thickBot="1" x14ac:dyDescent="0.3">
      <c r="A1066" s="118">
        <v>3342026</v>
      </c>
    </row>
    <row r="1067" spans="1:1" ht="15.75" thickBot="1" x14ac:dyDescent="0.3">
      <c r="A1067" s="118">
        <v>3342034</v>
      </c>
    </row>
    <row r="1068" spans="1:1" ht="15.75" thickBot="1" x14ac:dyDescent="0.3">
      <c r="A1068" s="118">
        <v>3342042</v>
      </c>
    </row>
    <row r="1069" spans="1:1" ht="15.75" thickBot="1" x14ac:dyDescent="0.3">
      <c r="A1069" s="118">
        <v>3342057</v>
      </c>
    </row>
    <row r="1070" spans="1:1" ht="15.75" thickBot="1" x14ac:dyDescent="0.3">
      <c r="A1070" s="118">
        <v>3342065</v>
      </c>
    </row>
    <row r="1071" spans="1:1" ht="15.75" thickBot="1" x14ac:dyDescent="0.3">
      <c r="A1071" s="118">
        <v>3342073</v>
      </c>
    </row>
    <row r="1072" spans="1:1" ht="15.75" thickBot="1" x14ac:dyDescent="0.3">
      <c r="A1072" s="118">
        <v>3342081</v>
      </c>
    </row>
    <row r="1073" spans="1:1" ht="15.75" thickBot="1" x14ac:dyDescent="0.3">
      <c r="A1073" s="118">
        <v>3342096</v>
      </c>
    </row>
    <row r="1074" spans="1:1" ht="15.75" thickBot="1" x14ac:dyDescent="0.3">
      <c r="A1074" s="118">
        <v>3342107</v>
      </c>
    </row>
    <row r="1075" spans="1:1" ht="15.75" thickBot="1" x14ac:dyDescent="0.3">
      <c r="A1075" s="118">
        <v>3342115</v>
      </c>
    </row>
    <row r="1076" spans="1:1" ht="15.75" thickBot="1" x14ac:dyDescent="0.3">
      <c r="A1076" s="118">
        <v>3342123</v>
      </c>
    </row>
    <row r="1077" spans="1:1" ht="15.75" thickBot="1" x14ac:dyDescent="0.3">
      <c r="A1077" s="118">
        <v>3342131</v>
      </c>
    </row>
    <row r="1078" spans="1:1" ht="15.75" thickBot="1" x14ac:dyDescent="0.3">
      <c r="A1078" s="118">
        <v>3342146</v>
      </c>
    </row>
    <row r="1079" spans="1:1" ht="15.75" thickBot="1" x14ac:dyDescent="0.3">
      <c r="A1079" s="118">
        <v>3342154</v>
      </c>
    </row>
    <row r="1080" spans="1:1" ht="15.75" thickBot="1" x14ac:dyDescent="0.3">
      <c r="A1080" s="118">
        <v>3342162</v>
      </c>
    </row>
    <row r="1081" spans="1:1" ht="15.75" thickBot="1" x14ac:dyDescent="0.3">
      <c r="A1081" s="118">
        <v>3342177</v>
      </c>
    </row>
    <row r="1082" spans="1:1" ht="15.75" thickBot="1" x14ac:dyDescent="0.3">
      <c r="A1082" s="118">
        <v>3342185</v>
      </c>
    </row>
    <row r="1083" spans="1:1" ht="15.75" thickBot="1" x14ac:dyDescent="0.3">
      <c r="A1083" s="118">
        <v>3342193</v>
      </c>
    </row>
    <row r="1084" spans="1:1" ht="15.75" thickBot="1" x14ac:dyDescent="0.3">
      <c r="A1084" s="118">
        <v>3342204</v>
      </c>
    </row>
    <row r="1085" spans="1:1" ht="15.75" thickBot="1" x14ac:dyDescent="0.3">
      <c r="A1085" s="118">
        <v>3342212</v>
      </c>
    </row>
    <row r="1086" spans="1:1" ht="15.75" thickBot="1" x14ac:dyDescent="0.3">
      <c r="A1086" s="118">
        <v>3342227</v>
      </c>
    </row>
    <row r="1087" spans="1:1" ht="15.75" thickBot="1" x14ac:dyDescent="0.3">
      <c r="A1087" s="118">
        <v>3342235</v>
      </c>
    </row>
    <row r="1088" spans="1:1" ht="15.75" thickBot="1" x14ac:dyDescent="0.3">
      <c r="A1088" s="118">
        <v>3342243</v>
      </c>
    </row>
    <row r="1089" spans="1:1" ht="15.75" thickBot="1" x14ac:dyDescent="0.3">
      <c r="A1089" s="118">
        <v>3342251</v>
      </c>
    </row>
    <row r="1090" spans="1:1" ht="15.75" thickBot="1" x14ac:dyDescent="0.3">
      <c r="A1090" s="118">
        <v>3342266</v>
      </c>
    </row>
    <row r="1091" spans="1:1" ht="15.75" thickBot="1" x14ac:dyDescent="0.3">
      <c r="A1091" s="118">
        <v>3342274</v>
      </c>
    </row>
    <row r="1092" spans="1:1" ht="15.75" thickBot="1" x14ac:dyDescent="0.3">
      <c r="A1092" s="118">
        <v>3342282</v>
      </c>
    </row>
    <row r="1093" spans="1:1" ht="15.75" thickBot="1" x14ac:dyDescent="0.3">
      <c r="A1093" s="118">
        <v>3342297</v>
      </c>
    </row>
    <row r="1094" spans="1:1" ht="15.75" thickBot="1" x14ac:dyDescent="0.3">
      <c r="A1094" s="118">
        <v>3342301</v>
      </c>
    </row>
    <row r="1095" spans="1:1" ht="15.75" thickBot="1" x14ac:dyDescent="0.3">
      <c r="A1095" s="118">
        <v>3342316</v>
      </c>
    </row>
    <row r="1096" spans="1:1" ht="15.75" thickBot="1" x14ac:dyDescent="0.3">
      <c r="A1096" s="118">
        <v>3342324</v>
      </c>
    </row>
    <row r="1097" spans="1:1" ht="15.75" thickBot="1" x14ac:dyDescent="0.3">
      <c r="A1097" s="118">
        <v>3342332</v>
      </c>
    </row>
    <row r="1098" spans="1:1" ht="15.75" thickBot="1" x14ac:dyDescent="0.3">
      <c r="A1098" s="118">
        <v>3342347</v>
      </c>
    </row>
    <row r="1099" spans="1:1" ht="15.75" thickBot="1" x14ac:dyDescent="0.3">
      <c r="A1099" s="118">
        <v>3342355</v>
      </c>
    </row>
    <row r="1100" spans="1:1" ht="15.75" thickBot="1" x14ac:dyDescent="0.3">
      <c r="A1100" s="118">
        <v>3342363</v>
      </c>
    </row>
    <row r="1101" spans="1:1" ht="15.75" thickBot="1" x14ac:dyDescent="0.3">
      <c r="A1101" s="118">
        <v>3342371</v>
      </c>
    </row>
    <row r="1102" spans="1:1" ht="15.75" thickBot="1" x14ac:dyDescent="0.3">
      <c r="A1102" s="118">
        <v>3342386</v>
      </c>
    </row>
    <row r="1103" spans="1:1" ht="15.75" thickBot="1" x14ac:dyDescent="0.3">
      <c r="A1103" s="118">
        <v>3342394</v>
      </c>
    </row>
    <row r="1104" spans="1:1" ht="15.75" thickBot="1" x14ac:dyDescent="0.3">
      <c r="A1104" s="118">
        <v>3342405</v>
      </c>
    </row>
    <row r="1105" spans="1:1" ht="15.75" thickBot="1" x14ac:dyDescent="0.3">
      <c r="A1105" s="118">
        <v>3342413</v>
      </c>
    </row>
    <row r="1106" spans="1:1" ht="15.75" thickBot="1" x14ac:dyDescent="0.3">
      <c r="A1106" s="118">
        <v>3342421</v>
      </c>
    </row>
    <row r="1107" spans="1:1" ht="15.75" thickBot="1" x14ac:dyDescent="0.3">
      <c r="A1107" s="118">
        <v>3342436</v>
      </c>
    </row>
    <row r="1108" spans="1:1" ht="15.75" thickBot="1" x14ac:dyDescent="0.3">
      <c r="A1108" s="118">
        <v>3342444</v>
      </c>
    </row>
    <row r="1109" spans="1:1" ht="15.75" thickBot="1" x14ac:dyDescent="0.3">
      <c r="A1109" s="118">
        <v>3342452</v>
      </c>
    </row>
    <row r="1110" spans="1:1" ht="15.75" thickBot="1" x14ac:dyDescent="0.3">
      <c r="A1110" s="118">
        <v>3342467</v>
      </c>
    </row>
    <row r="1111" spans="1:1" ht="15.75" thickBot="1" x14ac:dyDescent="0.3">
      <c r="A1111" s="118">
        <v>3342475</v>
      </c>
    </row>
    <row r="1112" spans="1:1" ht="15.75" thickBot="1" x14ac:dyDescent="0.3">
      <c r="A1112" s="118">
        <v>3342483</v>
      </c>
    </row>
    <row r="1113" spans="1:1" ht="15.75" thickBot="1" x14ac:dyDescent="0.3">
      <c r="A1113" s="118">
        <v>3342491</v>
      </c>
    </row>
    <row r="1114" spans="1:1" ht="15.75" thickBot="1" x14ac:dyDescent="0.3">
      <c r="A1114" s="118">
        <v>3342502</v>
      </c>
    </row>
    <row r="1115" spans="1:1" ht="15.75" thickBot="1" x14ac:dyDescent="0.3">
      <c r="A1115" s="119">
        <v>3342517</v>
      </c>
    </row>
    <row r="1116" spans="1:1" ht="16.5" thickTop="1" thickBot="1" x14ac:dyDescent="0.3">
      <c r="A1116" s="118">
        <v>3342525</v>
      </c>
    </row>
    <row r="1117" spans="1:1" ht="15.75" thickBot="1" x14ac:dyDescent="0.3">
      <c r="A1117" s="118">
        <v>3342533</v>
      </c>
    </row>
    <row r="1118" spans="1:1" ht="15.75" thickBot="1" x14ac:dyDescent="0.3">
      <c r="A1118" s="118">
        <v>3342541</v>
      </c>
    </row>
    <row r="1119" spans="1:1" ht="15.75" thickBot="1" x14ac:dyDescent="0.3">
      <c r="A1119" s="118">
        <v>3342556</v>
      </c>
    </row>
    <row r="1120" spans="1:1" ht="15.75" thickBot="1" x14ac:dyDescent="0.3">
      <c r="A1120" s="118">
        <v>3342564</v>
      </c>
    </row>
    <row r="1121" spans="1:1" ht="15.75" thickBot="1" x14ac:dyDescent="0.3">
      <c r="A1121" s="118">
        <v>3342572</v>
      </c>
    </row>
    <row r="1122" spans="1:1" ht="15.75" thickBot="1" x14ac:dyDescent="0.3">
      <c r="A1122" s="118">
        <v>3342587</v>
      </c>
    </row>
    <row r="1123" spans="1:1" ht="15.75" thickBot="1" x14ac:dyDescent="0.3">
      <c r="A1123" s="118">
        <v>3352013</v>
      </c>
    </row>
    <row r="1124" spans="1:1" ht="15.75" thickBot="1" x14ac:dyDescent="0.3">
      <c r="A1124" s="118">
        <v>3352021</v>
      </c>
    </row>
    <row r="1125" spans="1:1" ht="15.75" thickBot="1" x14ac:dyDescent="0.3">
      <c r="A1125" s="119">
        <v>3352036</v>
      </c>
    </row>
    <row r="1126" spans="1:1" ht="16.5" thickTop="1" thickBot="1" x14ac:dyDescent="0.3">
      <c r="A1126" s="118">
        <v>3352044</v>
      </c>
    </row>
    <row r="1127" spans="1:1" ht="15.75" thickBot="1" x14ac:dyDescent="0.3">
      <c r="A1127" s="118">
        <v>3352052</v>
      </c>
    </row>
    <row r="1128" spans="1:1" ht="15.75" thickBot="1" x14ac:dyDescent="0.3">
      <c r="A1128" s="120">
        <v>3361027</v>
      </c>
    </row>
    <row r="1129" spans="1:1" ht="15.75" thickBot="1" x14ac:dyDescent="0.3">
      <c r="A1129" s="120">
        <v>3361035</v>
      </c>
    </row>
    <row r="1130" spans="1:1" ht="15.75" thickBot="1" x14ac:dyDescent="0.3">
      <c r="A1130" s="120">
        <v>3361043</v>
      </c>
    </row>
    <row r="1131" spans="1:1" ht="15.75" thickBot="1" x14ac:dyDescent="0.3">
      <c r="A1131" s="120">
        <v>3361051</v>
      </c>
    </row>
    <row r="1132" spans="1:1" ht="15.75" thickBot="1" x14ac:dyDescent="0.3">
      <c r="A1132" s="127">
        <v>3361066</v>
      </c>
    </row>
    <row r="1133" spans="1:1" ht="15.75" thickBot="1" x14ac:dyDescent="0.3">
      <c r="A1133" s="120">
        <v>3361074</v>
      </c>
    </row>
    <row r="1134" spans="1:1" ht="15.75" thickBot="1" x14ac:dyDescent="0.3">
      <c r="A1134" s="120">
        <v>3361082</v>
      </c>
    </row>
    <row r="1135" spans="1:1" ht="15.75" thickBot="1" x14ac:dyDescent="0.3">
      <c r="A1135" s="118">
        <v>3362015</v>
      </c>
    </row>
    <row r="1136" spans="1:1" ht="15.75" thickBot="1" x14ac:dyDescent="0.3">
      <c r="A1136" s="118">
        <v>3362031</v>
      </c>
    </row>
    <row r="1137" spans="1:1" ht="15.75" thickBot="1" x14ac:dyDescent="0.3">
      <c r="A1137" s="119">
        <v>3362046</v>
      </c>
    </row>
    <row r="1138" spans="1:1" ht="16.5" thickTop="1" thickBot="1" x14ac:dyDescent="0.3">
      <c r="A1138" s="118">
        <v>3362054</v>
      </c>
    </row>
    <row r="1139" spans="1:1" ht="15.75" thickBot="1" x14ac:dyDescent="0.3">
      <c r="A1139" s="118">
        <v>3362062</v>
      </c>
    </row>
    <row r="1140" spans="1:1" ht="15.75" thickBot="1" x14ac:dyDescent="0.3">
      <c r="A1140" s="118">
        <v>3362077</v>
      </c>
    </row>
    <row r="1141" spans="1:1" ht="15.75" thickBot="1" x14ac:dyDescent="0.3">
      <c r="A1141" s="118">
        <v>3362085</v>
      </c>
    </row>
    <row r="1142" spans="1:1" ht="15.75" thickBot="1" x14ac:dyDescent="0.3">
      <c r="A1142" s="118">
        <v>3362093</v>
      </c>
    </row>
    <row r="1143" spans="1:1" ht="15.75" thickBot="1" x14ac:dyDescent="0.3">
      <c r="A1143" s="118">
        <v>3362305</v>
      </c>
    </row>
    <row r="1144" spans="1:1" ht="15.75" thickBot="1" x14ac:dyDescent="0.3">
      <c r="A1144" s="118">
        <v>3411017</v>
      </c>
    </row>
    <row r="1145" spans="1:1" ht="15.75" thickBot="1" x14ac:dyDescent="0.3">
      <c r="A1145" s="118">
        <v>3411025</v>
      </c>
    </row>
    <row r="1146" spans="1:1" ht="15.75" thickBot="1" x14ac:dyDescent="0.3">
      <c r="A1146" s="118">
        <v>3411033</v>
      </c>
    </row>
    <row r="1147" spans="1:1" ht="15.75" thickBot="1" x14ac:dyDescent="0.3">
      <c r="A1147" s="118">
        <v>3411041</v>
      </c>
    </row>
    <row r="1148" spans="1:1" ht="15.75" thickBot="1" x14ac:dyDescent="0.3">
      <c r="A1148" s="119">
        <v>3411056</v>
      </c>
    </row>
    <row r="1149" spans="1:1" ht="16.5" thickTop="1" thickBot="1" x14ac:dyDescent="0.3">
      <c r="A1149" s="118">
        <v>3411064</v>
      </c>
    </row>
    <row r="1150" spans="1:1" ht="15.75" thickBot="1" x14ac:dyDescent="0.3">
      <c r="A1150" s="118">
        <v>3411087</v>
      </c>
    </row>
    <row r="1151" spans="1:1" ht="15.75" thickBot="1" x14ac:dyDescent="0.3">
      <c r="A1151" s="118">
        <v>3411106</v>
      </c>
    </row>
    <row r="1152" spans="1:1" ht="15.75" thickBot="1" x14ac:dyDescent="0.3">
      <c r="A1152" s="118">
        <v>3411114</v>
      </c>
    </row>
    <row r="1153" spans="1:1" ht="15.75" thickBot="1" x14ac:dyDescent="0.3">
      <c r="A1153" s="118">
        <v>3411122</v>
      </c>
    </row>
    <row r="1154" spans="1:1" ht="15.75" thickBot="1" x14ac:dyDescent="0.3">
      <c r="A1154" s="118">
        <v>3411137</v>
      </c>
    </row>
    <row r="1155" spans="1:1" ht="15.75" thickBot="1" x14ac:dyDescent="0.3">
      <c r="A1155" s="118">
        <v>3411145</v>
      </c>
    </row>
    <row r="1156" spans="1:1" ht="15.75" thickBot="1" x14ac:dyDescent="0.3">
      <c r="A1156" s="118">
        <v>3411153</v>
      </c>
    </row>
    <row r="1157" spans="1:1" ht="15.75" thickBot="1" x14ac:dyDescent="0.3">
      <c r="A1157" s="119">
        <v>3411226</v>
      </c>
    </row>
    <row r="1158" spans="1:1" ht="16.5" thickTop="1" thickBot="1" x14ac:dyDescent="0.3">
      <c r="A1158" s="118">
        <v>3411234</v>
      </c>
    </row>
    <row r="1159" spans="1:1" ht="15.75" thickBot="1" x14ac:dyDescent="0.3">
      <c r="A1159" s="118">
        <v>3411242</v>
      </c>
    </row>
    <row r="1160" spans="1:1" ht="15.75" thickBot="1" x14ac:dyDescent="0.3">
      <c r="A1160" s="118">
        <v>3411265</v>
      </c>
    </row>
    <row r="1161" spans="1:1" ht="15.75" thickBot="1" x14ac:dyDescent="0.3">
      <c r="A1161" s="118">
        <v>3411273</v>
      </c>
    </row>
    <row r="1162" spans="1:1" ht="15.75" thickBot="1" x14ac:dyDescent="0.3">
      <c r="A1162" s="118">
        <v>3411281</v>
      </c>
    </row>
    <row r="1163" spans="1:1" ht="15.75" thickBot="1" x14ac:dyDescent="0.3">
      <c r="A1163" s="118">
        <v>3411296</v>
      </c>
    </row>
    <row r="1164" spans="1:1" ht="15.75" thickBot="1" x14ac:dyDescent="0.3">
      <c r="A1164" s="118">
        <v>3411315</v>
      </c>
    </row>
    <row r="1165" spans="1:1" ht="15.75" thickBot="1" x14ac:dyDescent="0.3">
      <c r="A1165" s="118">
        <v>3411323</v>
      </c>
    </row>
    <row r="1166" spans="1:1" ht="15.75" thickBot="1" x14ac:dyDescent="0.3">
      <c r="A1166" s="118">
        <v>3411331</v>
      </c>
    </row>
    <row r="1167" spans="1:1" ht="15.75" thickBot="1" x14ac:dyDescent="0.3">
      <c r="A1167" s="118">
        <v>3411346</v>
      </c>
    </row>
    <row r="1168" spans="1:1" ht="15.75" thickBot="1" x14ac:dyDescent="0.3">
      <c r="A1168" s="119">
        <v>3411354</v>
      </c>
    </row>
    <row r="1169" spans="1:1" ht="16.5" thickTop="1" thickBot="1" x14ac:dyDescent="0.3">
      <c r="A1169" s="118">
        <v>3411362</v>
      </c>
    </row>
    <row r="1170" spans="1:1" ht="15.75" thickBot="1" x14ac:dyDescent="0.3">
      <c r="A1170" s="118">
        <v>3411377</v>
      </c>
    </row>
    <row r="1171" spans="1:1" ht="15.75" thickBot="1" x14ac:dyDescent="0.3">
      <c r="A1171" s="118">
        <v>3411385</v>
      </c>
    </row>
    <row r="1172" spans="1:1" ht="15.75" thickBot="1" x14ac:dyDescent="0.3">
      <c r="A1172" s="118">
        <v>3411393</v>
      </c>
    </row>
    <row r="1173" spans="1:1" ht="15.75" thickBot="1" x14ac:dyDescent="0.3">
      <c r="A1173" s="118">
        <v>3411404</v>
      </c>
    </row>
    <row r="1174" spans="1:1" ht="15.75" thickBot="1" x14ac:dyDescent="0.3">
      <c r="A1174" s="118">
        <v>3411412</v>
      </c>
    </row>
    <row r="1175" spans="1:1" ht="15.75" thickBot="1" x14ac:dyDescent="0.3">
      <c r="A1175" s="118">
        <v>3411427</v>
      </c>
    </row>
    <row r="1176" spans="1:1" ht="15.75" thickBot="1" x14ac:dyDescent="0.3">
      <c r="A1176" s="118">
        <v>3411435</v>
      </c>
    </row>
    <row r="1177" spans="1:1" ht="15.75" thickBot="1" x14ac:dyDescent="0.3">
      <c r="A1177" s="118">
        <v>3411443</v>
      </c>
    </row>
    <row r="1178" spans="1:1" ht="15.75" thickBot="1" x14ac:dyDescent="0.3">
      <c r="A1178" s="118">
        <v>3411451</v>
      </c>
    </row>
    <row r="1179" spans="1:1" ht="15.75" thickBot="1" x14ac:dyDescent="0.3">
      <c r="A1179" s="118">
        <v>3411466</v>
      </c>
    </row>
    <row r="1180" spans="1:1" ht="15.75" thickBot="1" x14ac:dyDescent="0.3">
      <c r="A1180" s="118">
        <v>3411474</v>
      </c>
    </row>
    <row r="1181" spans="1:1" ht="15.75" thickBot="1" x14ac:dyDescent="0.3">
      <c r="A1181" s="118">
        <v>3411482</v>
      </c>
    </row>
    <row r="1182" spans="1:1" ht="15.75" thickBot="1" x14ac:dyDescent="0.3">
      <c r="A1182" s="118">
        <v>3411497</v>
      </c>
    </row>
    <row r="1183" spans="1:1" ht="15.75" thickBot="1" x14ac:dyDescent="0.3">
      <c r="A1183" s="120">
        <v>3421012</v>
      </c>
    </row>
    <row r="1184" spans="1:1" ht="15.75" thickBot="1" x14ac:dyDescent="0.3">
      <c r="A1184" s="120">
        <v>3421027</v>
      </c>
    </row>
    <row r="1185" spans="1:1" ht="15.75" thickBot="1" x14ac:dyDescent="0.3">
      <c r="A1185" s="120">
        <v>3421035</v>
      </c>
    </row>
    <row r="1186" spans="1:1" ht="15.75" thickBot="1" x14ac:dyDescent="0.3">
      <c r="A1186" s="120">
        <v>3421043</v>
      </c>
    </row>
    <row r="1187" spans="1:1" ht="15.75" thickBot="1" x14ac:dyDescent="0.3">
      <c r="A1187" s="127">
        <v>3421051</v>
      </c>
    </row>
    <row r="1188" spans="1:1" ht="15.75" thickBot="1" x14ac:dyDescent="0.3">
      <c r="A1188" s="120">
        <v>3421066</v>
      </c>
    </row>
    <row r="1189" spans="1:1" ht="15.75" thickBot="1" x14ac:dyDescent="0.3">
      <c r="A1189" s="120">
        <v>3421074</v>
      </c>
    </row>
    <row r="1190" spans="1:1" ht="15.75" thickBot="1" x14ac:dyDescent="0.3">
      <c r="A1190" s="120">
        <v>3421082</v>
      </c>
    </row>
    <row r="1191" spans="1:1" ht="15.75" thickBot="1" x14ac:dyDescent="0.3">
      <c r="A1191" s="120">
        <v>3421097</v>
      </c>
    </row>
    <row r="1192" spans="1:1" ht="15.75" thickBot="1" x14ac:dyDescent="0.3">
      <c r="A1192" s="120">
        <v>3421101</v>
      </c>
    </row>
    <row r="1193" spans="1:1" ht="15.75" thickBot="1" x14ac:dyDescent="0.3">
      <c r="A1193" s="118">
        <v>3422015</v>
      </c>
    </row>
    <row r="1194" spans="1:1" ht="15.75" thickBot="1" x14ac:dyDescent="0.3">
      <c r="A1194" s="118">
        <v>3422023</v>
      </c>
    </row>
    <row r="1195" spans="1:1" ht="15.75" thickBot="1" x14ac:dyDescent="0.3">
      <c r="A1195" s="118">
        <v>3422031</v>
      </c>
    </row>
    <row r="1196" spans="1:1" ht="15.75" thickBot="1" x14ac:dyDescent="0.3">
      <c r="A1196" s="118">
        <v>3422046</v>
      </c>
    </row>
    <row r="1197" spans="1:1" ht="15.75" thickBot="1" x14ac:dyDescent="0.3">
      <c r="A1197" s="118">
        <v>3422054</v>
      </c>
    </row>
    <row r="1198" spans="1:1" ht="15.75" thickBot="1" x14ac:dyDescent="0.3">
      <c r="A1198" s="118">
        <v>3422062</v>
      </c>
    </row>
    <row r="1199" spans="1:1" ht="15.75" thickBot="1" x14ac:dyDescent="0.3">
      <c r="A1199" s="118">
        <v>3422077</v>
      </c>
    </row>
    <row r="1200" spans="1:1" ht="15.75" thickBot="1" x14ac:dyDescent="0.3">
      <c r="A1200" s="118">
        <v>3422085</v>
      </c>
    </row>
    <row r="1201" spans="1:1" ht="15.75" thickBot="1" x14ac:dyDescent="0.3">
      <c r="A1201" s="118">
        <v>3422104</v>
      </c>
    </row>
    <row r="1202" spans="1:1" ht="15.75" thickBot="1" x14ac:dyDescent="0.3">
      <c r="A1202" s="118">
        <v>3422112</v>
      </c>
    </row>
    <row r="1203" spans="1:1" ht="15.75" thickBot="1" x14ac:dyDescent="0.3">
      <c r="A1203" s="119">
        <v>3422127</v>
      </c>
    </row>
    <row r="1204" spans="1:1" ht="16.5" thickTop="1" thickBot="1" x14ac:dyDescent="0.3">
      <c r="A1204" s="118">
        <v>3422135</v>
      </c>
    </row>
    <row r="1205" spans="1:1" ht="15.75" thickBot="1" x14ac:dyDescent="0.3">
      <c r="A1205" s="118">
        <v>3511011</v>
      </c>
    </row>
    <row r="1206" spans="1:1" ht="15.75" thickBot="1" x14ac:dyDescent="0.3">
      <c r="A1206" s="118">
        <v>3511026</v>
      </c>
    </row>
    <row r="1207" spans="1:1" ht="15.75" thickBot="1" x14ac:dyDescent="0.3">
      <c r="A1207" s="118">
        <v>3511034</v>
      </c>
    </row>
    <row r="1208" spans="1:1" ht="15.75" thickBot="1" x14ac:dyDescent="0.3">
      <c r="A1208" s="118">
        <v>3511042</v>
      </c>
    </row>
    <row r="1209" spans="1:1" ht="15.75" thickBot="1" x14ac:dyDescent="0.3">
      <c r="A1209" s="118">
        <v>3511057</v>
      </c>
    </row>
    <row r="1210" spans="1:1" ht="15.75" thickBot="1" x14ac:dyDescent="0.3">
      <c r="A1210" s="118">
        <v>3511065</v>
      </c>
    </row>
    <row r="1211" spans="1:1" ht="15.75" thickBot="1" x14ac:dyDescent="0.3">
      <c r="A1211" s="118">
        <v>3511073</v>
      </c>
    </row>
    <row r="1212" spans="1:1" ht="15.75" thickBot="1" x14ac:dyDescent="0.3">
      <c r="A1212" s="118">
        <v>3511081</v>
      </c>
    </row>
    <row r="1213" spans="1:1" ht="15.75" thickBot="1" x14ac:dyDescent="0.3">
      <c r="A1213" s="118">
        <v>3511096</v>
      </c>
    </row>
    <row r="1214" spans="1:1" ht="15.75" thickBot="1" x14ac:dyDescent="0.3">
      <c r="A1214" s="118">
        <v>3511107</v>
      </c>
    </row>
    <row r="1215" spans="1:1" ht="15.75" thickBot="1" x14ac:dyDescent="0.3">
      <c r="A1215" s="118">
        <v>3511115</v>
      </c>
    </row>
    <row r="1216" spans="1:1" ht="15.75" thickBot="1" x14ac:dyDescent="0.3">
      <c r="A1216" s="118">
        <v>3511123</v>
      </c>
    </row>
    <row r="1217" spans="1:1" ht="15.75" thickBot="1" x14ac:dyDescent="0.3">
      <c r="A1217" s="118">
        <v>3511131</v>
      </c>
    </row>
    <row r="1218" spans="1:1" ht="15.75" thickBot="1" x14ac:dyDescent="0.3">
      <c r="A1218" s="118">
        <v>3511146</v>
      </c>
    </row>
    <row r="1219" spans="1:1" ht="15.75" thickBot="1" x14ac:dyDescent="0.3">
      <c r="A1219" s="118">
        <v>3511154</v>
      </c>
    </row>
    <row r="1220" spans="1:1" ht="15.75" thickBot="1" x14ac:dyDescent="0.3">
      <c r="A1220" s="119">
        <v>3511162</v>
      </c>
    </row>
    <row r="1221" spans="1:1" ht="16.5" thickTop="1" thickBot="1" x14ac:dyDescent="0.3">
      <c r="A1221" s="118">
        <v>3511177</v>
      </c>
    </row>
    <row r="1222" spans="1:1" ht="15.75" thickBot="1" x14ac:dyDescent="0.3">
      <c r="A1222" s="118">
        <v>3511185</v>
      </c>
    </row>
    <row r="1223" spans="1:1" ht="15.75" thickBot="1" x14ac:dyDescent="0.3">
      <c r="A1223" s="118">
        <v>3511193</v>
      </c>
    </row>
    <row r="1224" spans="1:1" ht="15.75" thickBot="1" x14ac:dyDescent="0.3">
      <c r="A1224" s="118">
        <v>3511204</v>
      </c>
    </row>
    <row r="1225" spans="1:1" ht="15.75" thickBot="1" x14ac:dyDescent="0.3">
      <c r="A1225" s="118">
        <v>3511212</v>
      </c>
    </row>
    <row r="1226" spans="1:1" ht="15.75" thickBot="1" x14ac:dyDescent="0.3">
      <c r="A1226" s="119">
        <v>3511227</v>
      </c>
    </row>
    <row r="1227" spans="1:1" ht="16.5" thickTop="1" thickBot="1" x14ac:dyDescent="0.3">
      <c r="A1227" s="118">
        <v>3511235</v>
      </c>
    </row>
    <row r="1228" spans="1:1" ht="15.75" thickBot="1" x14ac:dyDescent="0.3">
      <c r="A1228" s="118">
        <v>3511243</v>
      </c>
    </row>
    <row r="1229" spans="1:1" ht="15.75" thickBot="1" x14ac:dyDescent="0.3">
      <c r="A1229" s="118">
        <v>3512014</v>
      </c>
    </row>
    <row r="1230" spans="1:1" ht="15.75" thickBot="1" x14ac:dyDescent="0.3">
      <c r="A1230" s="118">
        <v>3512022</v>
      </c>
    </row>
    <row r="1231" spans="1:1" ht="15.75" thickBot="1" x14ac:dyDescent="0.3">
      <c r="A1231" s="119">
        <v>3512037</v>
      </c>
    </row>
    <row r="1232" spans="1:1" ht="16.5" thickTop="1" thickBot="1" x14ac:dyDescent="0.3">
      <c r="A1232" s="118">
        <v>3512045</v>
      </c>
    </row>
    <row r="1233" spans="1:1" ht="15.75" thickBot="1" x14ac:dyDescent="0.3">
      <c r="A1233" s="118">
        <v>3512053</v>
      </c>
    </row>
    <row r="1234" spans="1:1" ht="15.75" thickBot="1" x14ac:dyDescent="0.3">
      <c r="A1234" s="118">
        <v>3512061</v>
      </c>
    </row>
    <row r="1235" spans="1:1" ht="15.75" thickBot="1" x14ac:dyDescent="0.3">
      <c r="A1235" s="118">
        <v>3512076</v>
      </c>
    </row>
    <row r="1236" spans="1:1" ht="15.75" thickBot="1" x14ac:dyDescent="0.3">
      <c r="A1236" s="118">
        <v>3512084</v>
      </c>
    </row>
    <row r="1237" spans="1:1" ht="15.75" thickBot="1" x14ac:dyDescent="0.3">
      <c r="A1237" s="118">
        <v>3512092</v>
      </c>
    </row>
    <row r="1238" spans="1:1" ht="15.75" thickBot="1" x14ac:dyDescent="0.3">
      <c r="A1238" s="118">
        <v>3512103</v>
      </c>
    </row>
    <row r="1239" spans="1:1" ht="15.75" thickBot="1" x14ac:dyDescent="0.3">
      <c r="A1239" s="118">
        <v>3512111</v>
      </c>
    </row>
    <row r="1240" spans="1:1" ht="15.75" thickBot="1" x14ac:dyDescent="0.3">
      <c r="A1240" s="118">
        <v>3512126</v>
      </c>
    </row>
    <row r="1241" spans="1:1" ht="15.75" thickBot="1" x14ac:dyDescent="0.3">
      <c r="A1241" s="118">
        <v>3512134</v>
      </c>
    </row>
    <row r="1242" spans="1:1" ht="15.75" thickBot="1" x14ac:dyDescent="0.3">
      <c r="A1242" s="118">
        <v>3512142</v>
      </c>
    </row>
    <row r="1243" spans="1:1" ht="15.75" thickBot="1" x14ac:dyDescent="0.3">
      <c r="A1243" s="118">
        <v>3512157</v>
      </c>
    </row>
    <row r="1244" spans="1:1" ht="15.75" thickBot="1" x14ac:dyDescent="0.3">
      <c r="A1244" s="118">
        <v>3521013</v>
      </c>
    </row>
    <row r="1245" spans="1:1" ht="15.75" thickBot="1" x14ac:dyDescent="0.3">
      <c r="A1245" s="118">
        <v>3521021</v>
      </c>
    </row>
    <row r="1246" spans="1:1" ht="15.75" thickBot="1" x14ac:dyDescent="0.3">
      <c r="A1246" s="118">
        <v>3521036</v>
      </c>
    </row>
    <row r="1247" spans="1:1" ht="15.75" thickBot="1" x14ac:dyDescent="0.3">
      <c r="A1247" s="118">
        <v>3521044</v>
      </c>
    </row>
    <row r="1248" spans="1:1" ht="15.75" thickBot="1" x14ac:dyDescent="0.3">
      <c r="A1248" s="118">
        <v>3521052</v>
      </c>
    </row>
    <row r="1249" spans="1:1" ht="15.75" thickBot="1" x14ac:dyDescent="0.3">
      <c r="A1249" s="118">
        <v>3521067</v>
      </c>
    </row>
    <row r="1250" spans="1:1" ht="15.75" thickBot="1" x14ac:dyDescent="0.3">
      <c r="A1250" s="118">
        <v>3521075</v>
      </c>
    </row>
    <row r="1251" spans="1:1" ht="15.75" thickBot="1" x14ac:dyDescent="0.3">
      <c r="A1251" s="118">
        <v>3521083</v>
      </c>
    </row>
    <row r="1252" spans="1:1" ht="15.75" thickBot="1" x14ac:dyDescent="0.3">
      <c r="A1252" s="118">
        <v>3521091</v>
      </c>
    </row>
    <row r="1253" spans="1:1" ht="15.75" thickBot="1" x14ac:dyDescent="0.3">
      <c r="A1253" s="118">
        <v>3522016</v>
      </c>
    </row>
    <row r="1254" spans="1:1" ht="15.75" thickBot="1" x14ac:dyDescent="0.3">
      <c r="A1254" s="118">
        <v>3522024</v>
      </c>
    </row>
    <row r="1255" spans="1:1" ht="15.75" thickBot="1" x14ac:dyDescent="0.3">
      <c r="A1255" s="119">
        <v>3522032</v>
      </c>
    </row>
    <row r="1256" spans="1:1" ht="16.5" thickTop="1" thickBot="1" x14ac:dyDescent="0.3">
      <c r="A1256" s="118">
        <v>3522047</v>
      </c>
    </row>
    <row r="1257" spans="1:1" ht="15.75" thickBot="1" x14ac:dyDescent="0.3">
      <c r="A1257" s="118">
        <v>3522055</v>
      </c>
    </row>
    <row r="1258" spans="1:1" ht="15.75" thickBot="1" x14ac:dyDescent="0.3">
      <c r="A1258" s="118">
        <v>3522063</v>
      </c>
    </row>
    <row r="1259" spans="1:1" ht="15.75" thickBot="1" x14ac:dyDescent="0.3">
      <c r="A1259" s="118">
        <v>3522071</v>
      </c>
    </row>
    <row r="1260" spans="1:1" ht="15.75" thickBot="1" x14ac:dyDescent="0.3">
      <c r="A1260" s="118">
        <v>3522086</v>
      </c>
    </row>
    <row r="1261" spans="1:1" ht="15.75" thickBot="1" x14ac:dyDescent="0.3">
      <c r="A1261" s="118">
        <v>3531015</v>
      </c>
    </row>
    <row r="1262" spans="1:1" ht="15.75" thickBot="1" x14ac:dyDescent="0.3">
      <c r="A1262" s="118">
        <v>3531023</v>
      </c>
    </row>
    <row r="1263" spans="1:1" ht="15.75" thickBot="1" x14ac:dyDescent="0.3">
      <c r="A1263" s="118">
        <v>3531031</v>
      </c>
    </row>
    <row r="1264" spans="1:1" ht="15.75" thickBot="1" x14ac:dyDescent="0.3">
      <c r="A1264" s="118">
        <v>3531046</v>
      </c>
    </row>
    <row r="1265" spans="1:1" ht="15.75" thickBot="1" x14ac:dyDescent="0.3">
      <c r="A1265" s="118">
        <v>3531054</v>
      </c>
    </row>
    <row r="1266" spans="1:1" ht="15.75" thickBot="1" x14ac:dyDescent="0.3">
      <c r="A1266" s="118">
        <v>3531062</v>
      </c>
    </row>
    <row r="1267" spans="1:1" ht="15.75" thickBot="1" x14ac:dyDescent="0.3">
      <c r="A1267" s="118">
        <v>3531077</v>
      </c>
    </row>
    <row r="1268" spans="1:1" ht="15.75" thickBot="1" x14ac:dyDescent="0.3">
      <c r="A1268" s="118">
        <v>3531085</v>
      </c>
    </row>
    <row r="1269" spans="1:1" ht="15.75" thickBot="1" x14ac:dyDescent="0.3">
      <c r="A1269" s="118">
        <v>3531093</v>
      </c>
    </row>
    <row r="1270" spans="1:1" ht="15.75" thickBot="1" x14ac:dyDescent="0.3">
      <c r="A1270" s="119">
        <v>3531104</v>
      </c>
    </row>
    <row r="1271" spans="1:1" ht="16.5" thickTop="1" thickBot="1" x14ac:dyDescent="0.3">
      <c r="A1271" s="118">
        <v>3531112</v>
      </c>
    </row>
    <row r="1272" spans="1:1" ht="15.75" thickBot="1" x14ac:dyDescent="0.3">
      <c r="A1272" s="118">
        <v>3531127</v>
      </c>
    </row>
    <row r="1273" spans="1:1" ht="15.75" thickBot="1" x14ac:dyDescent="0.3">
      <c r="A1273" s="118">
        <v>3531135</v>
      </c>
    </row>
    <row r="1274" spans="1:1" ht="15.75" thickBot="1" x14ac:dyDescent="0.3">
      <c r="A1274" s="118">
        <v>3531143</v>
      </c>
    </row>
    <row r="1275" spans="1:1" ht="15.75" thickBot="1" x14ac:dyDescent="0.3">
      <c r="A1275" s="118">
        <v>3531151</v>
      </c>
    </row>
    <row r="1276" spans="1:1" ht="15.75" thickBot="1" x14ac:dyDescent="0.3">
      <c r="A1276" s="118">
        <v>3531166</v>
      </c>
    </row>
    <row r="1277" spans="1:1" ht="15.75" thickBot="1" x14ac:dyDescent="0.3">
      <c r="A1277" s="118">
        <v>3531174</v>
      </c>
    </row>
    <row r="1278" spans="1:1" ht="15.75" thickBot="1" x14ac:dyDescent="0.3">
      <c r="A1278" s="118">
        <v>3531182</v>
      </c>
    </row>
    <row r="1279" spans="1:1" ht="15.75" thickBot="1" x14ac:dyDescent="0.3">
      <c r="A1279" s="118">
        <v>3531197</v>
      </c>
    </row>
    <row r="1280" spans="1:1" ht="15.75" thickBot="1" x14ac:dyDescent="0.3">
      <c r="A1280" s="118">
        <v>3531201</v>
      </c>
    </row>
    <row r="1281" spans="1:1" ht="15.75" thickBot="1" x14ac:dyDescent="0.3">
      <c r="A1281" s="118">
        <v>3531216</v>
      </c>
    </row>
    <row r="1282" spans="1:1" ht="15.75" thickBot="1" x14ac:dyDescent="0.3">
      <c r="A1282" s="118">
        <v>3531224</v>
      </c>
    </row>
    <row r="1283" spans="1:1" ht="15.75" thickBot="1" x14ac:dyDescent="0.3">
      <c r="A1283" s="118">
        <v>3531232</v>
      </c>
    </row>
    <row r="1284" spans="1:1" ht="15.75" thickBot="1" x14ac:dyDescent="0.3">
      <c r="A1284" s="118">
        <v>3531247</v>
      </c>
    </row>
    <row r="1285" spans="1:1" ht="15.75" thickBot="1" x14ac:dyDescent="0.3">
      <c r="A1285" s="118">
        <v>3531255</v>
      </c>
    </row>
    <row r="1286" spans="1:1" ht="15.75" thickBot="1" x14ac:dyDescent="0.3">
      <c r="A1286" s="118">
        <v>3531263</v>
      </c>
    </row>
    <row r="1287" spans="1:1" ht="15.75" thickBot="1" x14ac:dyDescent="0.3">
      <c r="A1287" s="118">
        <v>3531271</v>
      </c>
    </row>
    <row r="1288" spans="1:1" ht="15.75" thickBot="1" x14ac:dyDescent="0.3">
      <c r="A1288" s="118">
        <v>3531286</v>
      </c>
    </row>
    <row r="1289" spans="1:1" ht="15.75" thickBot="1" x14ac:dyDescent="0.3">
      <c r="A1289" s="118">
        <v>3531294</v>
      </c>
    </row>
    <row r="1290" spans="1:1" ht="15.75" thickBot="1" x14ac:dyDescent="0.3">
      <c r="A1290" s="118">
        <v>3531305</v>
      </c>
    </row>
    <row r="1291" spans="1:1" ht="15.75" thickBot="1" x14ac:dyDescent="0.3">
      <c r="A1291" s="118">
        <v>3531313</v>
      </c>
    </row>
    <row r="1292" spans="1:1" ht="15.75" thickBot="1" x14ac:dyDescent="0.3">
      <c r="A1292" s="118">
        <v>3531321</v>
      </c>
    </row>
    <row r="1293" spans="1:1" ht="15.75" thickBot="1" x14ac:dyDescent="0.3">
      <c r="A1293" s="118">
        <v>3532011</v>
      </c>
    </row>
    <row r="1294" spans="1:1" ht="15.75" thickBot="1" x14ac:dyDescent="0.3">
      <c r="A1294" s="118">
        <v>3532026</v>
      </c>
    </row>
    <row r="1295" spans="1:1" ht="15.75" thickBot="1" x14ac:dyDescent="0.3">
      <c r="A1295" s="118">
        <v>3532034</v>
      </c>
    </row>
    <row r="1296" spans="1:1" ht="15.75" thickBot="1" x14ac:dyDescent="0.3">
      <c r="A1296" s="119">
        <v>3532042</v>
      </c>
    </row>
    <row r="1297" spans="1:1" ht="16.5" thickTop="1" thickBot="1" x14ac:dyDescent="0.3">
      <c r="A1297" s="118">
        <v>3532057</v>
      </c>
    </row>
    <row r="1298" spans="1:1" ht="15.75" thickBot="1" x14ac:dyDescent="0.3">
      <c r="A1298" s="118">
        <v>3532065</v>
      </c>
    </row>
    <row r="1299" spans="1:1" ht="15.75" thickBot="1" x14ac:dyDescent="0.3">
      <c r="A1299" s="118">
        <v>3532073</v>
      </c>
    </row>
    <row r="1300" spans="1:1" ht="15.75" thickBot="1" x14ac:dyDescent="0.3">
      <c r="A1300" s="118">
        <v>3532081</v>
      </c>
    </row>
    <row r="1301" spans="1:1" ht="15.75" thickBot="1" x14ac:dyDescent="0.3">
      <c r="A1301" s="118">
        <v>3532096</v>
      </c>
    </row>
    <row r="1302" spans="1:1" ht="15.75" thickBot="1" x14ac:dyDescent="0.3">
      <c r="A1302" s="118">
        <v>3532107</v>
      </c>
    </row>
    <row r="1303" spans="1:1" ht="15.75" thickBot="1" x14ac:dyDescent="0.3">
      <c r="A1303" s="118">
        <v>3532115</v>
      </c>
    </row>
    <row r="1304" spans="1:1" ht="15.75" thickBot="1" x14ac:dyDescent="0.3">
      <c r="A1304" s="118">
        <v>3532123</v>
      </c>
    </row>
    <row r="1305" spans="1:1" ht="15.75" thickBot="1" x14ac:dyDescent="0.3">
      <c r="A1305" s="118">
        <v>3532131</v>
      </c>
    </row>
    <row r="1306" spans="1:1" ht="15.75" thickBot="1" x14ac:dyDescent="0.3">
      <c r="A1306" s="118">
        <v>3532146</v>
      </c>
    </row>
    <row r="1307" spans="1:1" ht="15.75" thickBot="1" x14ac:dyDescent="0.3">
      <c r="A1307" s="118">
        <v>3532154</v>
      </c>
    </row>
    <row r="1308" spans="1:1" ht="15.75" thickBot="1" x14ac:dyDescent="0.3">
      <c r="A1308" s="118">
        <v>3532162</v>
      </c>
    </row>
    <row r="1309" spans="1:1" ht="15.75" thickBot="1" x14ac:dyDescent="0.3">
      <c r="A1309" s="118">
        <v>3532177</v>
      </c>
    </row>
    <row r="1310" spans="1:1" ht="15.75" thickBot="1" x14ac:dyDescent="0.3">
      <c r="A1310" s="118">
        <v>3532185</v>
      </c>
    </row>
    <row r="1311" spans="1:1" ht="15.75" thickBot="1" x14ac:dyDescent="0.3">
      <c r="A1311" s="118">
        <v>3532193</v>
      </c>
    </row>
    <row r="1312" spans="1:1" ht="15.75" thickBot="1" x14ac:dyDescent="0.3">
      <c r="A1312" s="118">
        <v>3532204</v>
      </c>
    </row>
    <row r="1313" spans="1:1" ht="15.75" thickBot="1" x14ac:dyDescent="0.3">
      <c r="A1313" s="118">
        <v>3532212</v>
      </c>
    </row>
    <row r="1314" spans="1:1" ht="15.75" thickBot="1" x14ac:dyDescent="0.3">
      <c r="A1314" s="118">
        <v>3532235</v>
      </c>
    </row>
    <row r="1315" spans="1:1" ht="15.75" thickBot="1" x14ac:dyDescent="0.3">
      <c r="A1315" s="118">
        <v>3532243</v>
      </c>
    </row>
    <row r="1316" spans="1:1" ht="15.75" thickBot="1" x14ac:dyDescent="0.3">
      <c r="A1316" s="118">
        <v>3532251</v>
      </c>
    </row>
    <row r="1317" spans="1:1" ht="15.75" thickBot="1" x14ac:dyDescent="0.3">
      <c r="A1317" s="118">
        <v>3532266</v>
      </c>
    </row>
    <row r="1318" spans="1:1" ht="15.75" thickBot="1" x14ac:dyDescent="0.3">
      <c r="A1318" s="118">
        <v>3532274</v>
      </c>
    </row>
    <row r="1319" spans="1:1" ht="15.75" thickBot="1" x14ac:dyDescent="0.3">
      <c r="A1319" s="118">
        <v>3532282</v>
      </c>
    </row>
    <row r="1320" spans="1:1" ht="15.75" thickBot="1" x14ac:dyDescent="0.3">
      <c r="A1320" s="118">
        <v>3532297</v>
      </c>
    </row>
    <row r="1321" spans="1:1" ht="15.75" thickBot="1" x14ac:dyDescent="0.3">
      <c r="A1321" s="118">
        <v>3532301</v>
      </c>
    </row>
    <row r="1322" spans="1:1" ht="15.75" thickBot="1" x14ac:dyDescent="0.3">
      <c r="A1322" s="118">
        <v>3532316</v>
      </c>
    </row>
    <row r="1323" spans="1:1" ht="15.75" thickBot="1" x14ac:dyDescent="0.3">
      <c r="A1323" s="118">
        <v>3532324</v>
      </c>
    </row>
    <row r="1324" spans="1:1" ht="15.75" thickBot="1" x14ac:dyDescent="0.3">
      <c r="A1324" s="118">
        <v>3532332</v>
      </c>
    </row>
    <row r="1325" spans="1:1" ht="15.75" thickBot="1" x14ac:dyDescent="0.3">
      <c r="A1325" s="118">
        <v>3532347</v>
      </c>
    </row>
    <row r="1326" spans="1:1" ht="15.75" thickBot="1" x14ac:dyDescent="0.3">
      <c r="A1326" s="118">
        <v>3532355</v>
      </c>
    </row>
    <row r="1327" spans="1:1" ht="15.75" thickBot="1" x14ac:dyDescent="0.3">
      <c r="A1327" s="118">
        <v>3532363</v>
      </c>
    </row>
    <row r="1328" spans="1:1" ht="15.75" thickBot="1" x14ac:dyDescent="0.3">
      <c r="A1328" s="118">
        <v>3542013</v>
      </c>
    </row>
    <row r="1329" spans="1:1" ht="15.75" thickBot="1" x14ac:dyDescent="0.3">
      <c r="A1329" s="118">
        <v>3542021</v>
      </c>
    </row>
    <row r="1330" spans="1:1" ht="15.75" thickBot="1" x14ac:dyDescent="0.3">
      <c r="A1330" s="118">
        <v>3542036</v>
      </c>
    </row>
    <row r="1331" spans="1:1" ht="15.75" thickBot="1" x14ac:dyDescent="0.3">
      <c r="A1331" s="118">
        <v>3542044</v>
      </c>
    </row>
    <row r="1332" spans="1:1" ht="15.75" thickBot="1" x14ac:dyDescent="0.3">
      <c r="A1332" s="118">
        <v>3542052</v>
      </c>
    </row>
    <row r="1333" spans="1:1" ht="15.75" thickBot="1" x14ac:dyDescent="0.3">
      <c r="A1333" s="118">
        <v>3542067</v>
      </c>
    </row>
    <row r="1334" spans="1:1" ht="15.75" thickBot="1" x14ac:dyDescent="0.3">
      <c r="A1334" s="118">
        <v>3542075</v>
      </c>
    </row>
    <row r="1335" spans="1:1" ht="15.75" thickBot="1" x14ac:dyDescent="0.3">
      <c r="A1335" s="118">
        <v>3542083</v>
      </c>
    </row>
    <row r="1336" spans="1:1" ht="15.75" thickBot="1" x14ac:dyDescent="0.3">
      <c r="A1336" s="118">
        <v>3542091</v>
      </c>
    </row>
    <row r="1337" spans="1:1" ht="15.75" thickBot="1" x14ac:dyDescent="0.3">
      <c r="A1337" s="118">
        <v>3542102</v>
      </c>
    </row>
    <row r="1338" spans="1:1" ht="15.75" thickBot="1" x14ac:dyDescent="0.3">
      <c r="A1338" s="118">
        <v>3542117</v>
      </c>
    </row>
    <row r="1339" spans="1:1" ht="15.75" thickBot="1" x14ac:dyDescent="0.3">
      <c r="A1339" s="119">
        <v>3551012</v>
      </c>
    </row>
    <row r="1340" spans="1:1" ht="16.5" thickTop="1" thickBot="1" x14ac:dyDescent="0.3">
      <c r="A1340" s="118">
        <v>3551027</v>
      </c>
    </row>
    <row r="1341" spans="1:1" ht="15.75" thickBot="1" x14ac:dyDescent="0.3">
      <c r="A1341" s="118">
        <v>3551035</v>
      </c>
    </row>
    <row r="1342" spans="1:1" ht="15.75" thickBot="1" x14ac:dyDescent="0.3">
      <c r="A1342" s="118">
        <v>3551043</v>
      </c>
    </row>
    <row r="1343" spans="1:1" ht="15.75" thickBot="1" x14ac:dyDescent="0.3">
      <c r="A1343" s="118">
        <v>3551051</v>
      </c>
    </row>
    <row r="1344" spans="1:1" ht="15.75" thickBot="1" x14ac:dyDescent="0.3">
      <c r="A1344" s="118">
        <v>3551066</v>
      </c>
    </row>
    <row r="1345" spans="1:1" ht="15.75" thickBot="1" x14ac:dyDescent="0.3">
      <c r="A1345" s="118">
        <v>3551074</v>
      </c>
    </row>
    <row r="1346" spans="1:1" ht="15.75" thickBot="1" x14ac:dyDescent="0.3">
      <c r="A1346" s="118">
        <v>3551082</v>
      </c>
    </row>
    <row r="1347" spans="1:1" ht="15.75" thickBot="1" x14ac:dyDescent="0.3">
      <c r="A1347" s="118">
        <v>3551097</v>
      </c>
    </row>
    <row r="1348" spans="1:1" ht="15.75" thickBot="1" x14ac:dyDescent="0.3">
      <c r="A1348" s="118">
        <v>3551101</v>
      </c>
    </row>
    <row r="1349" spans="1:1" ht="15.75" thickBot="1" x14ac:dyDescent="0.3">
      <c r="A1349" s="118">
        <v>3551116</v>
      </c>
    </row>
    <row r="1350" spans="1:1" ht="15.75" thickBot="1" x14ac:dyDescent="0.3">
      <c r="A1350" s="118">
        <v>3551124</v>
      </c>
    </row>
    <row r="1351" spans="1:1" ht="15.75" thickBot="1" x14ac:dyDescent="0.3">
      <c r="A1351" s="118">
        <v>3551132</v>
      </c>
    </row>
    <row r="1352" spans="1:1" ht="15.75" thickBot="1" x14ac:dyDescent="0.3">
      <c r="A1352" s="118">
        <v>3551147</v>
      </c>
    </row>
    <row r="1353" spans="1:1" ht="15.75" thickBot="1" x14ac:dyDescent="0.3">
      <c r="A1353" s="118">
        <v>3551155</v>
      </c>
    </row>
    <row r="1354" spans="1:1" ht="15.75" thickBot="1" x14ac:dyDescent="0.3">
      <c r="A1354" s="118">
        <v>3551163</v>
      </c>
    </row>
    <row r="1355" spans="1:1" ht="15.75" thickBot="1" x14ac:dyDescent="0.3">
      <c r="A1355" s="118">
        <v>3551171</v>
      </c>
    </row>
    <row r="1356" spans="1:1" ht="15.75" thickBot="1" x14ac:dyDescent="0.3">
      <c r="A1356" s="118">
        <v>3551186</v>
      </c>
    </row>
    <row r="1357" spans="1:1" ht="15.75" thickBot="1" x14ac:dyDescent="0.3">
      <c r="A1357" s="118">
        <v>3551194</v>
      </c>
    </row>
    <row r="1358" spans="1:1" ht="15.75" thickBot="1" x14ac:dyDescent="0.3">
      <c r="A1358" s="118">
        <v>3551205</v>
      </c>
    </row>
    <row r="1359" spans="1:1" ht="15.75" thickBot="1" x14ac:dyDescent="0.3">
      <c r="A1359" s="118">
        <v>3551213</v>
      </c>
    </row>
    <row r="1360" spans="1:1" ht="15.75" thickBot="1" x14ac:dyDescent="0.3">
      <c r="A1360" s="118">
        <v>3551221</v>
      </c>
    </row>
    <row r="1361" spans="1:1" ht="15.75" thickBot="1" x14ac:dyDescent="0.3">
      <c r="A1361" s="118">
        <v>3551236</v>
      </c>
    </row>
    <row r="1362" spans="1:1" ht="15.75" thickBot="1" x14ac:dyDescent="0.3">
      <c r="A1362" s="118">
        <v>3551244</v>
      </c>
    </row>
    <row r="1363" spans="1:1" ht="15.75" thickBot="1" x14ac:dyDescent="0.3">
      <c r="A1363" s="118">
        <v>3551252</v>
      </c>
    </row>
    <row r="1364" spans="1:1" ht="15.75" thickBot="1" x14ac:dyDescent="0.3">
      <c r="A1364" s="118">
        <v>3551267</v>
      </c>
    </row>
    <row r="1365" spans="1:1" ht="15.75" thickBot="1" x14ac:dyDescent="0.3">
      <c r="A1365" s="118">
        <v>3551275</v>
      </c>
    </row>
    <row r="1366" spans="1:1" ht="15.75" thickBot="1" x14ac:dyDescent="0.3">
      <c r="A1366" s="118">
        <v>3551283</v>
      </c>
    </row>
    <row r="1367" spans="1:1" ht="15.75" thickBot="1" x14ac:dyDescent="0.3">
      <c r="A1367" s="118">
        <v>3551291</v>
      </c>
    </row>
    <row r="1368" spans="1:1" ht="15.75" thickBot="1" x14ac:dyDescent="0.3">
      <c r="A1368" s="118">
        <v>3551302</v>
      </c>
    </row>
    <row r="1369" spans="1:1" ht="15.75" thickBot="1" x14ac:dyDescent="0.3">
      <c r="A1369" s="118">
        <v>3551317</v>
      </c>
    </row>
    <row r="1370" spans="1:1" ht="15.75" thickBot="1" x14ac:dyDescent="0.3">
      <c r="A1370" s="118">
        <v>3551325</v>
      </c>
    </row>
    <row r="1371" spans="1:1" ht="15.75" thickBot="1" x14ac:dyDescent="0.3">
      <c r="A1371" s="119">
        <v>3551333</v>
      </c>
    </row>
    <row r="1372" spans="1:1" ht="16.5" thickTop="1" thickBot="1" x14ac:dyDescent="0.3">
      <c r="A1372" s="118">
        <v>3551341</v>
      </c>
    </row>
    <row r="1373" spans="1:1" ht="15.75" thickBot="1" x14ac:dyDescent="0.3">
      <c r="A1373" s="118">
        <v>3551356</v>
      </c>
    </row>
    <row r="1374" spans="1:1" ht="15.75" thickBot="1" x14ac:dyDescent="0.3">
      <c r="A1374" s="118">
        <v>3552015</v>
      </c>
    </row>
    <row r="1375" spans="1:1" ht="15.75" thickBot="1" x14ac:dyDescent="0.3">
      <c r="A1375" s="118">
        <v>3552023</v>
      </c>
    </row>
    <row r="1376" spans="1:1" ht="15.75" thickBot="1" x14ac:dyDescent="0.3">
      <c r="A1376" s="118">
        <v>3552031</v>
      </c>
    </row>
    <row r="1377" spans="1:1" ht="15.75" thickBot="1" x14ac:dyDescent="0.3">
      <c r="A1377" s="118">
        <v>3552046</v>
      </c>
    </row>
    <row r="1378" spans="1:1" ht="15.75" thickBot="1" x14ac:dyDescent="0.3">
      <c r="A1378" s="118">
        <v>3552054</v>
      </c>
    </row>
    <row r="1379" spans="1:1" ht="15.75" thickBot="1" x14ac:dyDescent="0.3">
      <c r="A1379" s="118">
        <v>3552062</v>
      </c>
    </row>
    <row r="1380" spans="1:1" ht="15.75" thickBot="1" x14ac:dyDescent="0.3">
      <c r="A1380" s="118">
        <v>3552077</v>
      </c>
    </row>
    <row r="1381" spans="1:1" ht="15.75" thickBot="1" x14ac:dyDescent="0.3">
      <c r="A1381" s="118">
        <v>3552085</v>
      </c>
    </row>
    <row r="1382" spans="1:1" ht="15.75" thickBot="1" x14ac:dyDescent="0.3">
      <c r="A1382" s="118">
        <v>3552093</v>
      </c>
    </row>
    <row r="1383" spans="1:1" ht="15.75" thickBot="1" x14ac:dyDescent="0.3">
      <c r="A1383" s="118">
        <v>3552104</v>
      </c>
    </row>
    <row r="1384" spans="1:1" ht="15.75" thickBot="1" x14ac:dyDescent="0.3">
      <c r="A1384" s="118">
        <v>3552112</v>
      </c>
    </row>
    <row r="1385" spans="1:1" ht="15.75" thickBot="1" x14ac:dyDescent="0.3">
      <c r="A1385" s="118">
        <v>3552127</v>
      </c>
    </row>
    <row r="1386" spans="1:1" ht="15.75" thickBot="1" x14ac:dyDescent="0.3">
      <c r="A1386" s="118">
        <v>3552135</v>
      </c>
    </row>
    <row r="1387" spans="1:1" ht="15.75" thickBot="1" x14ac:dyDescent="0.3">
      <c r="A1387" s="118">
        <v>3552143</v>
      </c>
    </row>
    <row r="1388" spans="1:1" ht="15.75" thickBot="1" x14ac:dyDescent="0.3">
      <c r="A1388" s="118">
        <v>3552151</v>
      </c>
    </row>
    <row r="1389" spans="1:1" ht="15.75" thickBot="1" x14ac:dyDescent="0.3">
      <c r="A1389" s="118">
        <v>3552166</v>
      </c>
    </row>
    <row r="1390" spans="1:1" ht="15.75" thickBot="1" x14ac:dyDescent="0.3">
      <c r="A1390" s="118">
        <v>3552174</v>
      </c>
    </row>
    <row r="1391" spans="1:1" ht="15.75" thickBot="1" x14ac:dyDescent="0.3">
      <c r="A1391" s="118">
        <v>3561014</v>
      </c>
    </row>
    <row r="1392" spans="1:1" ht="15.75" thickBot="1" x14ac:dyDescent="0.3">
      <c r="A1392" s="118">
        <v>3561022</v>
      </c>
    </row>
    <row r="1393" spans="1:1" ht="15.75" thickBot="1" x14ac:dyDescent="0.3">
      <c r="A1393" s="118">
        <v>3561037</v>
      </c>
    </row>
    <row r="1394" spans="1:1" ht="15.75" thickBot="1" x14ac:dyDescent="0.3">
      <c r="A1394" s="118">
        <v>3561045</v>
      </c>
    </row>
    <row r="1395" spans="1:1" ht="15.75" thickBot="1" x14ac:dyDescent="0.3">
      <c r="A1395" s="118">
        <v>3561053</v>
      </c>
    </row>
    <row r="1396" spans="1:1" ht="15.75" thickBot="1" x14ac:dyDescent="0.3">
      <c r="A1396" s="118">
        <v>3561061</v>
      </c>
    </row>
    <row r="1397" spans="1:1" ht="15.75" thickBot="1" x14ac:dyDescent="0.3">
      <c r="A1397" s="118">
        <v>3561076</v>
      </c>
    </row>
    <row r="1398" spans="1:1" ht="15.75" thickBot="1" x14ac:dyDescent="0.3">
      <c r="A1398" s="118">
        <v>3561084</v>
      </c>
    </row>
    <row r="1399" spans="1:1" ht="15.75" thickBot="1" x14ac:dyDescent="0.3">
      <c r="A1399" s="118">
        <v>3561092</v>
      </c>
    </row>
    <row r="1400" spans="1:1" ht="15.75" thickBot="1" x14ac:dyDescent="0.3">
      <c r="A1400" s="118">
        <v>3561103</v>
      </c>
    </row>
    <row r="1401" spans="1:1" ht="15.75" thickBot="1" x14ac:dyDescent="0.3">
      <c r="A1401" s="118">
        <v>3561111</v>
      </c>
    </row>
    <row r="1402" spans="1:1" ht="15.75" thickBot="1" x14ac:dyDescent="0.3">
      <c r="A1402" s="118">
        <v>3561126</v>
      </c>
    </row>
    <row r="1403" spans="1:1" ht="15.75" thickBot="1" x14ac:dyDescent="0.3">
      <c r="A1403" s="118">
        <v>3561134</v>
      </c>
    </row>
    <row r="1404" spans="1:1" ht="15.75" thickBot="1" x14ac:dyDescent="0.3">
      <c r="A1404" s="118">
        <v>3561142</v>
      </c>
    </row>
    <row r="1405" spans="1:1" ht="15.75" thickBot="1" x14ac:dyDescent="0.3">
      <c r="A1405" s="118">
        <v>3561157</v>
      </c>
    </row>
    <row r="1406" spans="1:1" ht="15.75" thickBot="1" x14ac:dyDescent="0.3">
      <c r="A1406" s="119">
        <v>3561165</v>
      </c>
    </row>
    <row r="1407" spans="1:1" ht="16.5" thickTop="1" thickBot="1" x14ac:dyDescent="0.3">
      <c r="A1407" s="118">
        <v>3561173</v>
      </c>
    </row>
    <row r="1408" spans="1:1" ht="15.75" thickBot="1" x14ac:dyDescent="0.3">
      <c r="A1408" s="118">
        <v>3561181</v>
      </c>
    </row>
    <row r="1409" spans="1:1" ht="15.75" thickBot="1" x14ac:dyDescent="0.3">
      <c r="A1409" s="118">
        <v>3561196</v>
      </c>
    </row>
    <row r="1410" spans="1:1" ht="15.75" thickBot="1" x14ac:dyDescent="0.3">
      <c r="A1410" s="118">
        <v>3561207</v>
      </c>
    </row>
    <row r="1411" spans="1:1" ht="15.75" thickBot="1" x14ac:dyDescent="0.3">
      <c r="A1411" s="118">
        <v>3561215</v>
      </c>
    </row>
    <row r="1412" spans="1:1" ht="15.75" thickBot="1" x14ac:dyDescent="0.3">
      <c r="A1412" s="118">
        <v>3561223</v>
      </c>
    </row>
    <row r="1413" spans="1:1" ht="15.75" thickBot="1" x14ac:dyDescent="0.3">
      <c r="A1413" s="118">
        <v>3561231</v>
      </c>
    </row>
    <row r="1414" spans="1:1" ht="15.75" thickBot="1" x14ac:dyDescent="0.3">
      <c r="A1414" s="118">
        <v>3561246</v>
      </c>
    </row>
    <row r="1415" spans="1:1" ht="15.75" thickBot="1" x14ac:dyDescent="0.3">
      <c r="A1415" s="119">
        <v>3561254</v>
      </c>
    </row>
    <row r="1416" spans="1:1" ht="16.5" thickTop="1" thickBot="1" x14ac:dyDescent="0.3">
      <c r="A1416" s="118">
        <v>3561262</v>
      </c>
    </row>
    <row r="1417" spans="1:1" ht="15.75" thickBot="1" x14ac:dyDescent="0.3">
      <c r="A1417" s="118">
        <v>3562017</v>
      </c>
    </row>
    <row r="1418" spans="1:1" ht="15.75" thickBot="1" x14ac:dyDescent="0.3">
      <c r="A1418" s="118">
        <v>3562025</v>
      </c>
    </row>
    <row r="1419" spans="1:1" ht="15.75" thickBot="1" x14ac:dyDescent="0.3">
      <c r="A1419" s="118">
        <v>3562033</v>
      </c>
    </row>
    <row r="1420" spans="1:1" ht="15.75" thickBot="1" x14ac:dyDescent="0.3">
      <c r="A1420" s="118">
        <v>3562041</v>
      </c>
    </row>
    <row r="1421" spans="1:1" ht="15.75" thickBot="1" x14ac:dyDescent="0.3">
      <c r="A1421" s="118">
        <v>3562056</v>
      </c>
    </row>
    <row r="1422" spans="1:1" ht="15.75" thickBot="1" x14ac:dyDescent="0.3">
      <c r="A1422" s="118">
        <v>3562064</v>
      </c>
    </row>
    <row r="1423" spans="1:1" ht="15.75" thickBot="1" x14ac:dyDescent="0.3">
      <c r="A1423" s="119">
        <v>3562072</v>
      </c>
    </row>
    <row r="1424" spans="1:1" ht="16.5" thickTop="1" thickBot="1" x14ac:dyDescent="0.3">
      <c r="A1424" s="118">
        <v>3562087</v>
      </c>
    </row>
    <row r="1425" spans="1:1" ht="15.75" thickBot="1" x14ac:dyDescent="0.3">
      <c r="A1425" s="118">
        <v>3562095</v>
      </c>
    </row>
    <row r="1426" spans="1:1" ht="15.75" thickBot="1" x14ac:dyDescent="0.3">
      <c r="A1426" s="118">
        <v>3562106</v>
      </c>
    </row>
    <row r="1427" spans="1:1" ht="15.75" thickBot="1" x14ac:dyDescent="0.3">
      <c r="A1427" s="118">
        <v>3562114</v>
      </c>
    </row>
    <row r="1428" spans="1:1" ht="15.75" thickBot="1" x14ac:dyDescent="0.3">
      <c r="A1428" s="118">
        <v>3562122</v>
      </c>
    </row>
    <row r="1429" spans="1:1" ht="15.75" thickBot="1" x14ac:dyDescent="0.3">
      <c r="A1429" s="118">
        <v>3562137</v>
      </c>
    </row>
    <row r="1430" spans="1:1" ht="15.75" thickBot="1" x14ac:dyDescent="0.3">
      <c r="A1430" s="118">
        <v>3562145</v>
      </c>
    </row>
    <row r="1431" spans="1:1" ht="15.75" thickBot="1" x14ac:dyDescent="0.3">
      <c r="A1431" s="118">
        <v>3562153</v>
      </c>
    </row>
    <row r="1432" spans="1:1" ht="15.75" thickBot="1" x14ac:dyDescent="0.3">
      <c r="A1432" s="118">
        <v>3562161</v>
      </c>
    </row>
    <row r="1433" spans="1:1" ht="15.75" thickBot="1" x14ac:dyDescent="0.3">
      <c r="A1433" s="118">
        <v>3562176</v>
      </c>
    </row>
    <row r="1434" spans="1:1" ht="15.75" thickBot="1" x14ac:dyDescent="0.3">
      <c r="A1434" s="118">
        <v>3562184</v>
      </c>
    </row>
    <row r="1435" spans="1:1" ht="15.75" thickBot="1" x14ac:dyDescent="0.3">
      <c r="A1435" s="118">
        <v>3562192</v>
      </c>
    </row>
    <row r="1436" spans="1:1" ht="15.75" thickBot="1" x14ac:dyDescent="0.3">
      <c r="A1436" s="118">
        <v>3562203</v>
      </c>
    </row>
    <row r="1437" spans="1:1" ht="15.75" thickBot="1" x14ac:dyDescent="0.3">
      <c r="A1437" s="118">
        <v>3562211</v>
      </c>
    </row>
    <row r="1438" spans="1:1" ht="15.75" thickBot="1" x14ac:dyDescent="0.3">
      <c r="A1438" s="118">
        <v>3562226</v>
      </c>
    </row>
    <row r="1439" spans="1:1" ht="15.75" thickBot="1" x14ac:dyDescent="0.3">
      <c r="A1439" s="118">
        <v>3562234</v>
      </c>
    </row>
    <row r="1440" spans="1:1" ht="15.75" thickBot="1" x14ac:dyDescent="0.3">
      <c r="A1440" s="119">
        <v>3562242</v>
      </c>
    </row>
    <row r="1441" spans="1:1" ht="16.5" thickTop="1" thickBot="1" x14ac:dyDescent="0.3">
      <c r="A1441" s="118">
        <v>3562257</v>
      </c>
    </row>
    <row r="1442" spans="1:1" ht="15.75" thickBot="1" x14ac:dyDescent="0.3">
      <c r="A1442" s="118">
        <v>3562265</v>
      </c>
    </row>
    <row r="1443" spans="1:1" ht="15.75" thickBot="1" x14ac:dyDescent="0.3">
      <c r="A1443" s="118">
        <v>3562273</v>
      </c>
    </row>
    <row r="1444" spans="1:1" ht="15.75" thickBot="1" x14ac:dyDescent="0.3">
      <c r="A1444" s="118">
        <v>3562281</v>
      </c>
    </row>
    <row r="1445" spans="1:1" ht="15.75" thickBot="1" x14ac:dyDescent="0.3">
      <c r="A1445" s="118">
        <v>3562296</v>
      </c>
    </row>
    <row r="1446" spans="1:1" ht="15.75" thickBot="1" x14ac:dyDescent="0.3">
      <c r="A1446" s="118">
        <v>3562307</v>
      </c>
    </row>
    <row r="1447" spans="1:1" ht="15.75" thickBot="1" x14ac:dyDescent="0.3">
      <c r="A1447" s="118">
        <v>3562315</v>
      </c>
    </row>
    <row r="1448" spans="1:1" ht="15.75" thickBot="1" x14ac:dyDescent="0.3">
      <c r="A1448" s="118">
        <v>3562323</v>
      </c>
    </row>
    <row r="1449" spans="1:1" ht="15.75" thickBot="1" x14ac:dyDescent="0.3">
      <c r="A1449" s="118">
        <v>3562331</v>
      </c>
    </row>
    <row r="1450" spans="1:1" ht="15.75" thickBot="1" x14ac:dyDescent="0.3">
      <c r="A1450" s="118">
        <v>3562346</v>
      </c>
    </row>
    <row r="1451" spans="1:1" ht="15.75" thickBot="1" x14ac:dyDescent="0.3">
      <c r="A1451" s="118">
        <v>3562354</v>
      </c>
    </row>
    <row r="1452" spans="1:1" ht="15.75" thickBot="1" x14ac:dyDescent="0.3">
      <c r="A1452" s="118">
        <v>3562362</v>
      </c>
    </row>
    <row r="1453" spans="1:1" ht="15.75" thickBot="1" x14ac:dyDescent="0.3">
      <c r="A1453" s="118">
        <v>3562377</v>
      </c>
    </row>
    <row r="1454" spans="1:1" ht="15.75" thickBot="1" x14ac:dyDescent="0.3">
      <c r="A1454" s="118">
        <v>3562385</v>
      </c>
    </row>
    <row r="1455" spans="1:1" ht="15.75" thickBot="1" x14ac:dyDescent="0.3">
      <c r="A1455" s="118">
        <v>3562393</v>
      </c>
    </row>
    <row r="1456" spans="1:1" ht="15.75" thickBot="1" x14ac:dyDescent="0.3">
      <c r="A1456" s="118">
        <v>3562404</v>
      </c>
    </row>
    <row r="1457" spans="1:1" ht="15.75" thickBot="1" x14ac:dyDescent="0.3">
      <c r="A1457" s="118">
        <v>3562412</v>
      </c>
    </row>
    <row r="1458" spans="1:1" ht="15.75" thickBot="1" x14ac:dyDescent="0.3">
      <c r="A1458" s="118">
        <v>3562435</v>
      </c>
    </row>
    <row r="1459" spans="1:1" ht="15.75" thickBot="1" x14ac:dyDescent="0.3">
      <c r="A1459" s="118">
        <v>3562443</v>
      </c>
    </row>
    <row r="1460" spans="1:1" ht="15.75" thickBot="1" x14ac:dyDescent="0.3">
      <c r="A1460" s="120">
        <v>3571055</v>
      </c>
    </row>
    <row r="1461" spans="1:1" ht="15.75" thickBot="1" x14ac:dyDescent="0.3">
      <c r="A1461" s="120">
        <v>3571063</v>
      </c>
    </row>
    <row r="1462" spans="1:1" ht="15.75" thickBot="1" x14ac:dyDescent="0.3">
      <c r="A1462" s="120">
        <v>3571071</v>
      </c>
    </row>
    <row r="1463" spans="1:1" ht="15.75" thickBot="1" x14ac:dyDescent="0.3">
      <c r="A1463" s="120">
        <v>3571086</v>
      </c>
    </row>
    <row r="1464" spans="1:1" ht="15.75" thickBot="1" x14ac:dyDescent="0.3">
      <c r="A1464" s="120">
        <v>3571094</v>
      </c>
    </row>
    <row r="1465" spans="1:1" ht="15.75" thickBot="1" x14ac:dyDescent="0.3">
      <c r="A1465" s="127">
        <v>3571105</v>
      </c>
    </row>
    <row r="1466" spans="1:1" ht="15.75" thickBot="1" x14ac:dyDescent="0.3">
      <c r="A1466" s="121">
        <v>3572194</v>
      </c>
    </row>
    <row r="1467" spans="1:1" ht="15.75" thickBot="1" x14ac:dyDescent="0.3">
      <c r="A1467" s="121">
        <v>3572205</v>
      </c>
    </row>
    <row r="1468" spans="1:1" ht="15.75" thickBot="1" x14ac:dyDescent="0.3">
      <c r="A1468" s="121">
        <v>3572213</v>
      </c>
    </row>
    <row r="1469" spans="1:1" ht="15.75" thickBot="1" x14ac:dyDescent="0.3">
      <c r="A1469" s="121">
        <v>3572221</v>
      </c>
    </row>
    <row r="1470" spans="1:1" ht="15.75" thickBot="1" x14ac:dyDescent="0.3">
      <c r="A1470" s="121">
        <v>3572236</v>
      </c>
    </row>
    <row r="1471" spans="1:1" ht="15.75" thickBot="1" x14ac:dyDescent="0.3">
      <c r="A1471" s="120">
        <v>3611012</v>
      </c>
    </row>
    <row r="1472" spans="1:1" ht="15.75" thickBot="1" x14ac:dyDescent="0.3">
      <c r="A1472" s="120">
        <v>3611027</v>
      </c>
    </row>
    <row r="1473" spans="1:1" ht="15.75" thickBot="1" x14ac:dyDescent="0.3">
      <c r="A1473" s="120">
        <v>3611035</v>
      </c>
    </row>
    <row r="1474" spans="1:1" ht="15.75" thickBot="1" x14ac:dyDescent="0.3">
      <c r="A1474" s="120">
        <v>3611043</v>
      </c>
    </row>
    <row r="1475" spans="1:1" ht="15.75" thickBot="1" x14ac:dyDescent="0.3">
      <c r="A1475" s="120">
        <v>3611051</v>
      </c>
    </row>
    <row r="1476" spans="1:1" ht="15.75" thickBot="1" x14ac:dyDescent="0.3">
      <c r="A1476" s="120">
        <v>3611066</v>
      </c>
    </row>
    <row r="1477" spans="1:1" ht="15.75" thickBot="1" x14ac:dyDescent="0.3">
      <c r="A1477" s="120">
        <v>3611074</v>
      </c>
    </row>
    <row r="1478" spans="1:1" ht="15.75" thickBot="1" x14ac:dyDescent="0.3">
      <c r="A1478" s="120">
        <v>3611082</v>
      </c>
    </row>
    <row r="1479" spans="1:1" ht="15.75" thickBot="1" x14ac:dyDescent="0.3">
      <c r="A1479" s="120">
        <v>3611097</v>
      </c>
    </row>
    <row r="1480" spans="1:1" ht="15.75" thickBot="1" x14ac:dyDescent="0.3">
      <c r="A1480" s="120">
        <v>3611101</v>
      </c>
    </row>
    <row r="1481" spans="1:1" ht="15.75" thickBot="1" x14ac:dyDescent="0.3">
      <c r="A1481" s="120">
        <v>3611155</v>
      </c>
    </row>
    <row r="1482" spans="1:1" ht="15.75" thickBot="1" x14ac:dyDescent="0.3">
      <c r="A1482" s="120">
        <v>3611163</v>
      </c>
    </row>
    <row r="1483" spans="1:1" ht="15.75" thickBot="1" x14ac:dyDescent="0.3">
      <c r="A1483" s="120">
        <v>3611171</v>
      </c>
    </row>
    <row r="1484" spans="1:1" ht="15.75" thickBot="1" x14ac:dyDescent="0.3">
      <c r="A1484" s="120">
        <v>3611186</v>
      </c>
    </row>
    <row r="1485" spans="1:1" ht="15.75" thickBot="1" x14ac:dyDescent="0.3">
      <c r="A1485" s="123">
        <v>3611194</v>
      </c>
    </row>
    <row r="1486" spans="1:1" ht="16.5" thickTop="1" thickBot="1" x14ac:dyDescent="0.3">
      <c r="A1486" s="120">
        <v>3611205</v>
      </c>
    </row>
    <row r="1487" spans="1:1" ht="15.75" thickBot="1" x14ac:dyDescent="0.3">
      <c r="A1487" s="120">
        <v>3611213</v>
      </c>
    </row>
    <row r="1488" spans="1:1" ht="15.75" thickBot="1" x14ac:dyDescent="0.3">
      <c r="A1488" s="120">
        <v>3611221</v>
      </c>
    </row>
    <row r="1489" spans="1:1" ht="15.75" thickBot="1" x14ac:dyDescent="0.3">
      <c r="A1489" s="120">
        <v>3611244</v>
      </c>
    </row>
    <row r="1490" spans="1:1" ht="15.75" thickBot="1" x14ac:dyDescent="0.3">
      <c r="A1490" s="120">
        <v>3611252</v>
      </c>
    </row>
    <row r="1491" spans="1:1" ht="15.75" thickBot="1" x14ac:dyDescent="0.3">
      <c r="A1491" s="120">
        <v>3611267</v>
      </c>
    </row>
    <row r="1492" spans="1:1" ht="15.75" thickBot="1" x14ac:dyDescent="0.3">
      <c r="A1492" s="120">
        <v>3611275</v>
      </c>
    </row>
    <row r="1493" spans="1:1" ht="15.75" thickBot="1" x14ac:dyDescent="0.3">
      <c r="A1493" s="120">
        <v>3611283</v>
      </c>
    </row>
    <row r="1494" spans="1:1" ht="15.75" thickBot="1" x14ac:dyDescent="0.3">
      <c r="A1494" s="120">
        <v>3611291</v>
      </c>
    </row>
    <row r="1495" spans="1:1" ht="15.75" thickBot="1" x14ac:dyDescent="0.3">
      <c r="A1495" s="120">
        <v>3611302</v>
      </c>
    </row>
    <row r="1496" spans="1:1" ht="15.75" thickBot="1" x14ac:dyDescent="0.3">
      <c r="A1496" s="120">
        <v>3611317</v>
      </c>
    </row>
    <row r="1497" spans="1:1" ht="15.75" thickBot="1" x14ac:dyDescent="0.3">
      <c r="A1497" s="120">
        <v>3611325</v>
      </c>
    </row>
    <row r="1498" spans="1:1" ht="15.75" thickBot="1" x14ac:dyDescent="0.3">
      <c r="A1498" s="120">
        <v>3611333</v>
      </c>
    </row>
    <row r="1499" spans="1:1" ht="15.75" thickBot="1" x14ac:dyDescent="0.3">
      <c r="A1499" s="120">
        <v>3611341</v>
      </c>
    </row>
    <row r="1500" spans="1:1" ht="15.75" thickBot="1" x14ac:dyDescent="0.3">
      <c r="A1500" s="120">
        <v>3611356</v>
      </c>
    </row>
    <row r="1501" spans="1:1" ht="15.75" thickBot="1" x14ac:dyDescent="0.3">
      <c r="A1501" s="120">
        <v>3611364</v>
      </c>
    </row>
    <row r="1502" spans="1:1" ht="15.75" thickBot="1" x14ac:dyDescent="0.3">
      <c r="A1502" s="120">
        <v>3611372</v>
      </c>
    </row>
    <row r="1503" spans="1:1" ht="15.75" thickBot="1" x14ac:dyDescent="0.3">
      <c r="A1503" s="120">
        <v>3611387</v>
      </c>
    </row>
    <row r="1504" spans="1:1" ht="15.75" thickBot="1" x14ac:dyDescent="0.3">
      <c r="A1504" s="120">
        <v>3611395</v>
      </c>
    </row>
    <row r="1505" spans="1:1" ht="15.75" thickBot="1" x14ac:dyDescent="0.3">
      <c r="A1505" s="120">
        <v>3611406</v>
      </c>
    </row>
    <row r="1506" spans="1:1" ht="15.75" thickBot="1" x14ac:dyDescent="0.3">
      <c r="A1506" s="120">
        <v>3611414</v>
      </c>
    </row>
    <row r="1507" spans="1:1" ht="15.75" thickBot="1" x14ac:dyDescent="0.3">
      <c r="A1507" s="120">
        <v>3611422</v>
      </c>
    </row>
    <row r="1508" spans="1:1" ht="15.75" thickBot="1" x14ac:dyDescent="0.3">
      <c r="A1508" s="123">
        <v>3611437</v>
      </c>
    </row>
    <row r="1509" spans="1:1" ht="16.5" thickTop="1" thickBot="1" x14ac:dyDescent="0.3">
      <c r="A1509" s="120">
        <v>3611445</v>
      </c>
    </row>
    <row r="1510" spans="1:1" ht="15.75" thickBot="1" x14ac:dyDescent="0.3">
      <c r="A1510" s="127">
        <v>3611453</v>
      </c>
    </row>
    <row r="1511" spans="1:1" ht="15.75" thickBot="1" x14ac:dyDescent="0.3">
      <c r="A1511" s="120">
        <v>3611461</v>
      </c>
    </row>
    <row r="1512" spans="1:1" ht="15.75" thickBot="1" x14ac:dyDescent="0.3">
      <c r="A1512" s="120">
        <v>3611476</v>
      </c>
    </row>
    <row r="1513" spans="1:1" ht="15.75" thickBot="1" x14ac:dyDescent="0.3">
      <c r="A1513" s="120">
        <v>3611484</v>
      </c>
    </row>
    <row r="1514" spans="1:1" ht="15.75" thickBot="1" x14ac:dyDescent="0.3">
      <c r="A1514" s="120">
        <v>3611492</v>
      </c>
    </row>
    <row r="1515" spans="1:1" ht="15.75" thickBot="1" x14ac:dyDescent="0.3">
      <c r="A1515" s="120">
        <v>3611503</v>
      </c>
    </row>
    <row r="1516" spans="1:1" ht="15.75" thickBot="1" x14ac:dyDescent="0.3">
      <c r="A1516" s="118">
        <v>3612015</v>
      </c>
    </row>
    <row r="1517" spans="1:1" ht="15.75" thickBot="1" x14ac:dyDescent="0.3">
      <c r="A1517" s="118">
        <v>3612023</v>
      </c>
    </row>
    <row r="1518" spans="1:1" ht="15.75" thickBot="1" x14ac:dyDescent="0.3">
      <c r="A1518" s="119">
        <v>3612031</v>
      </c>
    </row>
    <row r="1519" spans="1:1" ht="16.5" thickTop="1" thickBot="1" x14ac:dyDescent="0.3">
      <c r="A1519" s="118">
        <v>3612046</v>
      </c>
    </row>
    <row r="1520" spans="1:1" ht="15.75" thickBot="1" x14ac:dyDescent="0.3">
      <c r="A1520" s="118">
        <v>3612054</v>
      </c>
    </row>
    <row r="1521" spans="1:1" ht="15.75" thickBot="1" x14ac:dyDescent="0.3">
      <c r="A1521" s="118">
        <v>3612062</v>
      </c>
    </row>
    <row r="1522" spans="1:1" ht="15.75" thickBot="1" x14ac:dyDescent="0.3">
      <c r="A1522" s="118">
        <v>3612077</v>
      </c>
    </row>
    <row r="1523" spans="1:1" ht="15.75" thickBot="1" x14ac:dyDescent="0.3">
      <c r="A1523" s="118">
        <v>3612085</v>
      </c>
    </row>
    <row r="1524" spans="1:1" ht="15.75" thickBot="1" x14ac:dyDescent="0.3">
      <c r="A1524" s="118">
        <v>3612093</v>
      </c>
    </row>
    <row r="1525" spans="1:1" ht="15.75" thickBot="1" x14ac:dyDescent="0.3">
      <c r="A1525" s="119">
        <v>3612104</v>
      </c>
    </row>
    <row r="1526" spans="1:1" ht="16.5" thickTop="1" thickBot="1" x14ac:dyDescent="0.3">
      <c r="A1526" s="118">
        <v>3612112</v>
      </c>
    </row>
    <row r="1527" spans="1:1" ht="15.75" thickBot="1" x14ac:dyDescent="0.3">
      <c r="A1527" s="118">
        <v>3612127</v>
      </c>
    </row>
    <row r="1528" spans="1:1" ht="15.75" thickBot="1" x14ac:dyDescent="0.3">
      <c r="A1528" s="118">
        <v>3612135</v>
      </c>
    </row>
    <row r="1529" spans="1:1" ht="15.75" thickBot="1" x14ac:dyDescent="0.3">
      <c r="A1529" s="118">
        <v>3612143</v>
      </c>
    </row>
    <row r="1530" spans="1:1" ht="15.75" thickBot="1" x14ac:dyDescent="0.3">
      <c r="A1530" s="118">
        <v>3612151</v>
      </c>
    </row>
    <row r="1531" spans="1:1" ht="15.75" thickBot="1" x14ac:dyDescent="0.3">
      <c r="A1531" s="118">
        <v>3612166</v>
      </c>
    </row>
    <row r="1532" spans="1:1" ht="15.75" thickBot="1" x14ac:dyDescent="0.3">
      <c r="A1532" s="118">
        <v>3612174</v>
      </c>
    </row>
    <row r="1533" spans="1:1" ht="15.75" thickBot="1" x14ac:dyDescent="0.3">
      <c r="A1533" s="118">
        <v>3612182</v>
      </c>
    </row>
    <row r="1534" spans="1:1" ht="15.75" thickBot="1" x14ac:dyDescent="0.3">
      <c r="A1534" s="118">
        <v>3612197</v>
      </c>
    </row>
    <row r="1535" spans="1:1" ht="15.75" thickBot="1" x14ac:dyDescent="0.3">
      <c r="A1535" s="118">
        <v>3612201</v>
      </c>
    </row>
    <row r="1536" spans="1:1" ht="15.75" thickBot="1" x14ac:dyDescent="0.3">
      <c r="A1536" s="118">
        <v>3612216</v>
      </c>
    </row>
    <row r="1537" spans="1:1" ht="15.75" thickBot="1" x14ac:dyDescent="0.3">
      <c r="A1537" s="118">
        <v>3612224</v>
      </c>
    </row>
    <row r="1538" spans="1:1" ht="15.75" thickBot="1" x14ac:dyDescent="0.3">
      <c r="A1538" s="118">
        <v>3612232</v>
      </c>
    </row>
    <row r="1539" spans="1:1" ht="15.75" thickBot="1" x14ac:dyDescent="0.3">
      <c r="A1539" s="118">
        <v>3621014</v>
      </c>
    </row>
    <row r="1540" spans="1:1" ht="15.75" thickBot="1" x14ac:dyDescent="0.3">
      <c r="A1540" s="118">
        <v>3621022</v>
      </c>
    </row>
    <row r="1541" spans="1:1" ht="15.75" thickBot="1" x14ac:dyDescent="0.3">
      <c r="A1541" s="118">
        <v>3621037</v>
      </c>
    </row>
    <row r="1542" spans="1:1" ht="15.75" thickBot="1" x14ac:dyDescent="0.3">
      <c r="A1542" s="118">
        <v>3621045</v>
      </c>
    </row>
    <row r="1543" spans="1:1" ht="15.75" thickBot="1" x14ac:dyDescent="0.3">
      <c r="A1543" s="118">
        <v>3621053</v>
      </c>
    </row>
    <row r="1544" spans="1:1" ht="15.75" thickBot="1" x14ac:dyDescent="0.3">
      <c r="A1544" s="118">
        <v>3621061</v>
      </c>
    </row>
    <row r="1545" spans="1:1" ht="15.75" thickBot="1" x14ac:dyDescent="0.3">
      <c r="A1545" s="118">
        <v>3621076</v>
      </c>
    </row>
    <row r="1546" spans="1:1" ht="15.75" thickBot="1" x14ac:dyDescent="0.3">
      <c r="A1546" s="118">
        <v>3621084</v>
      </c>
    </row>
    <row r="1547" spans="1:1" ht="15.75" thickBot="1" x14ac:dyDescent="0.3">
      <c r="A1547" s="118">
        <v>3621092</v>
      </c>
    </row>
    <row r="1548" spans="1:1" ht="15.75" thickBot="1" x14ac:dyDescent="0.3">
      <c r="A1548" s="118">
        <v>3621103</v>
      </c>
    </row>
    <row r="1549" spans="1:1" ht="15.75" thickBot="1" x14ac:dyDescent="0.3">
      <c r="A1549" s="119">
        <v>3621111</v>
      </c>
    </row>
    <row r="1550" spans="1:1" ht="16.5" thickTop="1" thickBot="1" x14ac:dyDescent="0.3">
      <c r="A1550" s="118">
        <v>3621126</v>
      </c>
    </row>
    <row r="1551" spans="1:1" ht="15.75" thickBot="1" x14ac:dyDescent="0.3">
      <c r="A1551" s="118">
        <v>3621134</v>
      </c>
    </row>
    <row r="1552" spans="1:1" ht="15.75" thickBot="1" x14ac:dyDescent="0.3">
      <c r="A1552" s="118">
        <v>3621142</v>
      </c>
    </row>
    <row r="1553" spans="1:1" ht="15.75" thickBot="1" x14ac:dyDescent="0.3">
      <c r="A1553" s="118">
        <v>3621157</v>
      </c>
    </row>
    <row r="1554" spans="1:1" ht="15.75" thickBot="1" x14ac:dyDescent="0.3">
      <c r="A1554" s="118">
        <v>3621165</v>
      </c>
    </row>
    <row r="1555" spans="1:1" ht="15.75" thickBot="1" x14ac:dyDescent="0.3">
      <c r="A1555" s="118">
        <v>3621173</v>
      </c>
    </row>
    <row r="1556" spans="1:1" ht="15.75" thickBot="1" x14ac:dyDescent="0.3">
      <c r="A1556" s="118">
        <v>3621397</v>
      </c>
    </row>
    <row r="1557" spans="1:1" ht="15.75" thickBot="1" x14ac:dyDescent="0.3">
      <c r="A1557" s="118">
        <v>3621401</v>
      </c>
    </row>
    <row r="1558" spans="1:1" ht="15.75" thickBot="1" x14ac:dyDescent="0.3">
      <c r="A1558" s="118">
        <v>3621416</v>
      </c>
    </row>
    <row r="1559" spans="1:1" ht="15.75" thickBot="1" x14ac:dyDescent="0.3">
      <c r="A1559" s="118">
        <v>3621424</v>
      </c>
    </row>
    <row r="1560" spans="1:1" ht="15.75" thickBot="1" x14ac:dyDescent="0.3">
      <c r="A1560" s="118">
        <v>3621432</v>
      </c>
    </row>
    <row r="1561" spans="1:1" ht="15.75" thickBot="1" x14ac:dyDescent="0.3">
      <c r="A1561" s="118">
        <v>3621447</v>
      </c>
    </row>
    <row r="1562" spans="1:1" ht="15.75" thickBot="1" x14ac:dyDescent="0.3">
      <c r="A1562" s="118">
        <v>3621455</v>
      </c>
    </row>
    <row r="1563" spans="1:1" ht="15.75" thickBot="1" x14ac:dyDescent="0.3">
      <c r="A1563" s="120">
        <v>3622017</v>
      </c>
    </row>
    <row r="1564" spans="1:1" ht="15.75" thickBot="1" x14ac:dyDescent="0.3">
      <c r="A1564" s="120">
        <v>3622025</v>
      </c>
    </row>
    <row r="1565" spans="1:1" ht="15.75" thickBot="1" x14ac:dyDescent="0.3">
      <c r="A1565" s="120">
        <v>3622033</v>
      </c>
    </row>
    <row r="1566" spans="1:1" ht="15.75" thickBot="1" x14ac:dyDescent="0.3">
      <c r="A1566" s="120">
        <v>3622041</v>
      </c>
    </row>
    <row r="1567" spans="1:1" ht="15.75" thickBot="1" x14ac:dyDescent="0.3">
      <c r="A1567" s="120">
        <v>3622056</v>
      </c>
    </row>
    <row r="1568" spans="1:1" ht="15.75" thickBot="1" x14ac:dyDescent="0.3">
      <c r="A1568" s="120">
        <v>3622064</v>
      </c>
    </row>
    <row r="1569" spans="1:1" ht="15.75" thickBot="1" x14ac:dyDescent="0.3">
      <c r="A1569" s="120">
        <v>3622072</v>
      </c>
    </row>
    <row r="1570" spans="1:1" ht="15.75" thickBot="1" x14ac:dyDescent="0.3">
      <c r="A1570" s="120">
        <v>3622087</v>
      </c>
    </row>
    <row r="1571" spans="1:1" ht="15.75" thickBot="1" x14ac:dyDescent="0.3">
      <c r="A1571" s="120">
        <v>3622095</v>
      </c>
    </row>
    <row r="1572" spans="1:1" ht="15.75" thickBot="1" x14ac:dyDescent="0.3">
      <c r="A1572" s="120">
        <v>3622122</v>
      </c>
    </row>
    <row r="1573" spans="1:1" ht="15.75" thickBot="1" x14ac:dyDescent="0.3">
      <c r="A1573" s="120">
        <v>3622137</v>
      </c>
    </row>
    <row r="1574" spans="1:1" ht="15.75" thickBot="1" x14ac:dyDescent="0.3">
      <c r="A1574" s="120">
        <v>3622145</v>
      </c>
    </row>
    <row r="1575" spans="1:1" ht="15.75" thickBot="1" x14ac:dyDescent="0.3">
      <c r="A1575" s="120">
        <v>3622153</v>
      </c>
    </row>
    <row r="1576" spans="1:1" ht="15.75" thickBot="1" x14ac:dyDescent="0.3">
      <c r="A1576" s="120">
        <v>3622161</v>
      </c>
    </row>
    <row r="1577" spans="1:1" ht="15.75" thickBot="1" x14ac:dyDescent="0.3">
      <c r="A1577" s="120">
        <v>3622176</v>
      </c>
    </row>
    <row r="1578" spans="1:1" ht="15.75" thickBot="1" x14ac:dyDescent="0.3">
      <c r="A1578" s="120">
        <v>3622184</v>
      </c>
    </row>
    <row r="1579" spans="1:1" ht="15.75" thickBot="1" x14ac:dyDescent="0.3">
      <c r="A1579" s="120">
        <v>3622192</v>
      </c>
    </row>
    <row r="1580" spans="1:1" ht="15.75" thickBot="1" x14ac:dyDescent="0.3">
      <c r="A1580" s="120">
        <v>3622203</v>
      </c>
    </row>
    <row r="1581" spans="1:1" ht="15.75" thickBot="1" x14ac:dyDescent="0.3">
      <c r="A1581" s="120">
        <v>3622211</v>
      </c>
    </row>
    <row r="1582" spans="1:1" ht="15.75" thickBot="1" x14ac:dyDescent="0.3">
      <c r="A1582" s="120">
        <v>3622226</v>
      </c>
    </row>
    <row r="1583" spans="1:1" ht="15.75" thickBot="1" x14ac:dyDescent="0.3">
      <c r="A1583" s="120">
        <v>3622234</v>
      </c>
    </row>
    <row r="1584" spans="1:1" ht="15.75" thickBot="1" x14ac:dyDescent="0.3">
      <c r="A1584" s="123">
        <v>3622242</v>
      </c>
    </row>
    <row r="1585" spans="1:1" ht="16.5" thickTop="1" thickBot="1" x14ac:dyDescent="0.3">
      <c r="A1585" s="120">
        <v>3622257</v>
      </c>
    </row>
    <row r="1586" spans="1:1" ht="15.75" thickBot="1" x14ac:dyDescent="0.3">
      <c r="A1586" s="120">
        <v>3622273</v>
      </c>
    </row>
    <row r="1587" spans="1:1" ht="15.75" thickBot="1" x14ac:dyDescent="0.3">
      <c r="A1587" s="120">
        <v>3622281</v>
      </c>
    </row>
    <row r="1588" spans="1:1" ht="15.75" thickBot="1" x14ac:dyDescent="0.3">
      <c r="A1588" s="120">
        <v>3622296</v>
      </c>
    </row>
    <row r="1589" spans="1:1" ht="15.75" thickBot="1" x14ac:dyDescent="0.3">
      <c r="A1589" s="120">
        <v>3622307</v>
      </c>
    </row>
    <row r="1590" spans="1:1" ht="15.75" thickBot="1" x14ac:dyDescent="0.3">
      <c r="A1590" s="120">
        <v>3622315</v>
      </c>
    </row>
    <row r="1591" spans="1:1" ht="15.75" thickBot="1" x14ac:dyDescent="0.3">
      <c r="A1591" s="120">
        <v>3622323</v>
      </c>
    </row>
    <row r="1592" spans="1:1" ht="15.75" thickBot="1" x14ac:dyDescent="0.3">
      <c r="A1592" s="120">
        <v>3622331</v>
      </c>
    </row>
    <row r="1593" spans="1:1" ht="15.75" thickBot="1" x14ac:dyDescent="0.3">
      <c r="A1593" s="120">
        <v>3622346</v>
      </c>
    </row>
    <row r="1594" spans="1:1" ht="15.75" thickBot="1" x14ac:dyDescent="0.3">
      <c r="A1594" s="120">
        <v>3622354</v>
      </c>
    </row>
    <row r="1595" spans="1:1" ht="15.75" thickBot="1" x14ac:dyDescent="0.3">
      <c r="A1595" s="120">
        <v>3622362</v>
      </c>
    </row>
    <row r="1596" spans="1:1" ht="15.75" thickBot="1" x14ac:dyDescent="0.3">
      <c r="A1596" s="120">
        <v>3622377</v>
      </c>
    </row>
    <row r="1597" spans="1:1" ht="15.75" thickBot="1" x14ac:dyDescent="0.3">
      <c r="A1597" s="120">
        <v>3622385</v>
      </c>
    </row>
    <row r="1598" spans="1:1" ht="15.75" thickBot="1" x14ac:dyDescent="0.3">
      <c r="A1598" s="119">
        <v>3631016</v>
      </c>
    </row>
    <row r="1599" spans="1:1" ht="16.5" thickTop="1" thickBot="1" x14ac:dyDescent="0.3">
      <c r="A1599" s="118">
        <v>3631024</v>
      </c>
    </row>
    <row r="1600" spans="1:1" ht="15.75" thickBot="1" x14ac:dyDescent="0.3">
      <c r="A1600" s="118">
        <v>3631032</v>
      </c>
    </row>
    <row r="1601" spans="1:1" ht="15.75" thickBot="1" x14ac:dyDescent="0.3">
      <c r="A1601" s="118">
        <v>3631047</v>
      </c>
    </row>
    <row r="1602" spans="1:1" ht="15.75" thickBot="1" x14ac:dyDescent="0.3">
      <c r="A1602" s="118">
        <v>3631055</v>
      </c>
    </row>
    <row r="1603" spans="1:1" ht="15.75" thickBot="1" x14ac:dyDescent="0.3">
      <c r="A1603" s="118">
        <v>3631063</v>
      </c>
    </row>
    <row r="1604" spans="1:1" ht="15.75" thickBot="1" x14ac:dyDescent="0.3">
      <c r="A1604" s="118">
        <v>3631071</v>
      </c>
    </row>
    <row r="1605" spans="1:1" ht="15.75" thickBot="1" x14ac:dyDescent="0.3">
      <c r="A1605" s="119">
        <v>3631086</v>
      </c>
    </row>
    <row r="1606" spans="1:1" ht="16.5" thickTop="1" thickBot="1" x14ac:dyDescent="0.3">
      <c r="A1606" s="118">
        <v>3631094</v>
      </c>
    </row>
    <row r="1607" spans="1:1" ht="15.75" thickBot="1" x14ac:dyDescent="0.3">
      <c r="A1607" s="118">
        <v>3631105</v>
      </c>
    </row>
    <row r="1608" spans="1:1" ht="15.75" thickBot="1" x14ac:dyDescent="0.3">
      <c r="A1608" s="118">
        <v>3631113</v>
      </c>
    </row>
    <row r="1609" spans="1:1" ht="15.75" thickBot="1" x14ac:dyDescent="0.3">
      <c r="A1609" s="118">
        <v>3631121</v>
      </c>
    </row>
    <row r="1610" spans="1:1" ht="15.75" thickBot="1" x14ac:dyDescent="0.3">
      <c r="A1610" s="118">
        <v>3631136</v>
      </c>
    </row>
    <row r="1611" spans="1:1" ht="15.75" thickBot="1" x14ac:dyDescent="0.3">
      <c r="A1611" s="118">
        <v>3631144</v>
      </c>
    </row>
    <row r="1612" spans="1:1" ht="15.75" thickBot="1" x14ac:dyDescent="0.3">
      <c r="A1612" s="118">
        <v>3632012</v>
      </c>
    </row>
    <row r="1613" spans="1:1" ht="15.75" thickBot="1" x14ac:dyDescent="0.3">
      <c r="A1613" s="118">
        <v>3632027</v>
      </c>
    </row>
    <row r="1614" spans="1:1" ht="15.75" thickBot="1" x14ac:dyDescent="0.3">
      <c r="A1614" s="118">
        <v>3632035</v>
      </c>
    </row>
    <row r="1615" spans="1:1" ht="15.75" thickBot="1" x14ac:dyDescent="0.3">
      <c r="A1615" s="118">
        <v>3632043</v>
      </c>
    </row>
    <row r="1616" spans="1:1" ht="15.75" thickBot="1" x14ac:dyDescent="0.3">
      <c r="A1616" s="118">
        <v>3632051</v>
      </c>
    </row>
    <row r="1617" spans="1:1" ht="15.75" thickBot="1" x14ac:dyDescent="0.3">
      <c r="A1617" s="118">
        <v>3632066</v>
      </c>
    </row>
    <row r="1618" spans="1:1" ht="15.75" thickBot="1" x14ac:dyDescent="0.3">
      <c r="A1618" s="118">
        <v>3632074</v>
      </c>
    </row>
    <row r="1619" spans="1:1" ht="15.75" thickBot="1" x14ac:dyDescent="0.3">
      <c r="A1619" s="118">
        <v>3642014</v>
      </c>
    </row>
    <row r="1620" spans="1:1" ht="15.75" thickBot="1" x14ac:dyDescent="0.3">
      <c r="A1620" s="118">
        <v>3642022</v>
      </c>
    </row>
    <row r="1621" spans="1:1" ht="15.75" thickBot="1" x14ac:dyDescent="0.3">
      <c r="A1621" s="118">
        <v>3642037</v>
      </c>
    </row>
    <row r="1622" spans="1:1" ht="15.75" thickBot="1" x14ac:dyDescent="0.3">
      <c r="A1622" s="118">
        <v>3642045</v>
      </c>
    </row>
    <row r="1623" spans="1:1" ht="15.75" thickBot="1" x14ac:dyDescent="0.3">
      <c r="A1623" s="118">
        <v>3642053</v>
      </c>
    </row>
    <row r="1624" spans="1:1" ht="15.75" thickBot="1" x14ac:dyDescent="0.3">
      <c r="A1624" s="118">
        <v>3642061</v>
      </c>
    </row>
    <row r="1625" spans="1:1" ht="15.75" thickBot="1" x14ac:dyDescent="0.3">
      <c r="A1625" s="118">
        <v>3642076</v>
      </c>
    </row>
    <row r="1626" spans="1:1" ht="15.75" thickBot="1" x14ac:dyDescent="0.3">
      <c r="A1626" s="118">
        <v>3642084</v>
      </c>
    </row>
    <row r="1627" spans="1:1" ht="15.75" thickBot="1" x14ac:dyDescent="0.3">
      <c r="A1627" s="118">
        <v>3642092</v>
      </c>
    </row>
    <row r="1628" spans="1:1" ht="15.75" thickBot="1" x14ac:dyDescent="0.3">
      <c r="A1628" s="118">
        <v>3642103</v>
      </c>
    </row>
    <row r="1629" spans="1:1" ht="15.75" thickBot="1" x14ac:dyDescent="0.3">
      <c r="A1629" s="118">
        <v>3642111</v>
      </c>
    </row>
    <row r="1630" spans="1:1" ht="15.75" thickBot="1" x14ac:dyDescent="0.3">
      <c r="A1630" s="118">
        <v>3642126</v>
      </c>
    </row>
    <row r="1631" spans="1:1" ht="15.75" thickBot="1" x14ac:dyDescent="0.3">
      <c r="A1631" s="118">
        <v>3642134</v>
      </c>
    </row>
    <row r="1632" spans="1:1" ht="15.75" thickBot="1" x14ac:dyDescent="0.3">
      <c r="A1632" s="118">
        <v>3642142</v>
      </c>
    </row>
    <row r="1633" spans="1:1" ht="15.75" thickBot="1" x14ac:dyDescent="0.3">
      <c r="A1633" s="118">
        <v>3642157</v>
      </c>
    </row>
    <row r="1634" spans="1:1" ht="15.75" thickBot="1" x14ac:dyDescent="0.3">
      <c r="A1634" s="118">
        <v>3642165</v>
      </c>
    </row>
    <row r="1635" spans="1:1" ht="15.75" thickBot="1" x14ac:dyDescent="0.3">
      <c r="A1635" s="118">
        <v>3642173</v>
      </c>
    </row>
    <row r="1636" spans="1:1" ht="15.75" thickBot="1" x14ac:dyDescent="0.3">
      <c r="A1636" s="119">
        <v>3651013</v>
      </c>
    </row>
    <row r="1637" spans="1:1" ht="16.5" thickTop="1" thickBot="1" x14ac:dyDescent="0.3">
      <c r="A1637" s="118">
        <v>3651021</v>
      </c>
    </row>
    <row r="1638" spans="1:1" ht="15.75" thickBot="1" x14ac:dyDescent="0.3">
      <c r="A1638" s="119">
        <v>3651036</v>
      </c>
    </row>
    <row r="1639" spans="1:1" ht="16.5" thickTop="1" thickBot="1" x14ac:dyDescent="0.3">
      <c r="A1639" s="118">
        <v>3651044</v>
      </c>
    </row>
    <row r="1640" spans="1:1" ht="15.75" thickBot="1" x14ac:dyDescent="0.3">
      <c r="A1640" s="118">
        <v>3651052</v>
      </c>
    </row>
    <row r="1641" spans="1:1" ht="15.75" thickBot="1" x14ac:dyDescent="0.3">
      <c r="A1641" s="118">
        <v>3651067</v>
      </c>
    </row>
    <row r="1642" spans="1:1" ht="15.75" thickBot="1" x14ac:dyDescent="0.3">
      <c r="A1642" s="118">
        <v>3651075</v>
      </c>
    </row>
    <row r="1643" spans="1:1" ht="15.75" thickBot="1" x14ac:dyDescent="0.3">
      <c r="A1643" s="118">
        <v>3651083</v>
      </c>
    </row>
    <row r="1644" spans="1:1" ht="15.75" thickBot="1" x14ac:dyDescent="0.3">
      <c r="A1644" s="118">
        <v>3651091</v>
      </c>
    </row>
    <row r="1645" spans="1:1" ht="15.75" thickBot="1" x14ac:dyDescent="0.3">
      <c r="A1645" s="118">
        <v>3651102</v>
      </c>
    </row>
    <row r="1646" spans="1:1" ht="15.75" thickBot="1" x14ac:dyDescent="0.3">
      <c r="A1646" s="118">
        <v>3652032</v>
      </c>
    </row>
    <row r="1647" spans="1:1" ht="15.75" thickBot="1" x14ac:dyDescent="0.3">
      <c r="A1647" s="118">
        <v>3652202</v>
      </c>
    </row>
    <row r="1648" spans="1:1" ht="15.75" thickBot="1" x14ac:dyDescent="0.3">
      <c r="A1648" s="118">
        <v>3652217</v>
      </c>
    </row>
    <row r="1649" spans="1:1" ht="15.75" thickBot="1" x14ac:dyDescent="0.3">
      <c r="A1649" s="118">
        <v>3652225</v>
      </c>
    </row>
    <row r="1650" spans="1:1" ht="15.75" thickBot="1" x14ac:dyDescent="0.3">
      <c r="A1650" s="118">
        <v>3652241</v>
      </c>
    </row>
    <row r="1651" spans="1:1" ht="15.75" thickBot="1" x14ac:dyDescent="0.3">
      <c r="A1651" s="118">
        <v>3652272</v>
      </c>
    </row>
    <row r="1652" spans="1:1" ht="15.75" thickBot="1" x14ac:dyDescent="0.3">
      <c r="A1652" s="118">
        <v>3652287</v>
      </c>
    </row>
    <row r="1653" spans="1:1" ht="15.75" thickBot="1" x14ac:dyDescent="0.3">
      <c r="A1653" s="118">
        <v>3711013</v>
      </c>
    </row>
    <row r="1654" spans="1:1" ht="15.75" thickBot="1" x14ac:dyDescent="0.3">
      <c r="A1654" s="118">
        <v>3711021</v>
      </c>
    </row>
    <row r="1655" spans="1:1" ht="15.75" thickBot="1" x14ac:dyDescent="0.3">
      <c r="A1655" s="118">
        <v>3711036</v>
      </c>
    </row>
    <row r="1656" spans="1:1" ht="15.75" thickBot="1" x14ac:dyDescent="0.3">
      <c r="A1656" s="118">
        <v>3711044</v>
      </c>
    </row>
    <row r="1657" spans="1:1" ht="15.75" thickBot="1" x14ac:dyDescent="0.3">
      <c r="A1657" s="118">
        <v>3711052</v>
      </c>
    </row>
    <row r="1658" spans="1:1" ht="15.75" thickBot="1" x14ac:dyDescent="0.3">
      <c r="A1658" s="118">
        <v>3711067</v>
      </c>
    </row>
    <row r="1659" spans="1:1" ht="15.75" thickBot="1" x14ac:dyDescent="0.3">
      <c r="A1659" s="119">
        <v>3711075</v>
      </c>
    </row>
    <row r="1660" spans="1:1" ht="16.5" thickTop="1" thickBot="1" x14ac:dyDescent="0.3">
      <c r="A1660" s="118">
        <v>3711083</v>
      </c>
    </row>
    <row r="1661" spans="1:1" ht="15.75" thickBot="1" x14ac:dyDescent="0.3">
      <c r="A1661" s="118">
        <v>3711091</v>
      </c>
    </row>
    <row r="1662" spans="1:1" ht="15.75" thickBot="1" x14ac:dyDescent="0.3">
      <c r="A1662" s="118">
        <v>3711102</v>
      </c>
    </row>
    <row r="1663" spans="1:1" ht="15.75" thickBot="1" x14ac:dyDescent="0.3">
      <c r="A1663" s="118">
        <v>3711117</v>
      </c>
    </row>
    <row r="1664" spans="1:1" ht="15.75" thickBot="1" x14ac:dyDescent="0.3">
      <c r="A1664" s="118">
        <v>3711125</v>
      </c>
    </row>
    <row r="1665" spans="1:1" ht="15.75" thickBot="1" x14ac:dyDescent="0.3">
      <c r="A1665" s="118">
        <v>3711133</v>
      </c>
    </row>
    <row r="1666" spans="1:1" ht="15.75" thickBot="1" x14ac:dyDescent="0.3">
      <c r="A1666" s="118">
        <v>3711141</v>
      </c>
    </row>
    <row r="1667" spans="1:1" ht="15.75" thickBot="1" x14ac:dyDescent="0.3">
      <c r="A1667" s="118">
        <v>3711156</v>
      </c>
    </row>
    <row r="1668" spans="1:1" ht="15.75" thickBot="1" x14ac:dyDescent="0.3">
      <c r="A1668" s="118">
        <v>3711164</v>
      </c>
    </row>
    <row r="1669" spans="1:1" ht="15.75" thickBot="1" x14ac:dyDescent="0.3">
      <c r="A1669" s="118">
        <v>3711172</v>
      </c>
    </row>
    <row r="1670" spans="1:1" ht="15.75" thickBot="1" x14ac:dyDescent="0.3">
      <c r="A1670" s="118">
        <v>3711187</v>
      </c>
    </row>
    <row r="1671" spans="1:1" ht="15.75" thickBot="1" x14ac:dyDescent="0.3">
      <c r="A1671" s="118">
        <v>3711195</v>
      </c>
    </row>
    <row r="1672" spans="1:1" ht="15.75" thickBot="1" x14ac:dyDescent="0.3">
      <c r="A1672" s="118">
        <v>3711206</v>
      </c>
    </row>
    <row r="1673" spans="1:1" ht="15.75" thickBot="1" x14ac:dyDescent="0.3">
      <c r="A1673" s="118">
        <v>3711245</v>
      </c>
    </row>
    <row r="1674" spans="1:1" ht="15.75" thickBot="1" x14ac:dyDescent="0.3">
      <c r="A1674" s="118">
        <v>3711253</v>
      </c>
    </row>
    <row r="1675" spans="1:1" ht="15.75" thickBot="1" x14ac:dyDescent="0.3">
      <c r="A1675" s="118">
        <v>3711261</v>
      </c>
    </row>
    <row r="1676" spans="1:1" ht="15.75" thickBot="1" x14ac:dyDescent="0.3">
      <c r="A1676" s="118">
        <v>3711276</v>
      </c>
    </row>
    <row r="1677" spans="1:1" ht="15.75" thickBot="1" x14ac:dyDescent="0.3">
      <c r="A1677" s="119">
        <v>3711284</v>
      </c>
    </row>
    <row r="1678" spans="1:1" ht="16.5" thickTop="1" thickBot="1" x14ac:dyDescent="0.3">
      <c r="A1678" s="118">
        <v>3711292</v>
      </c>
    </row>
    <row r="1679" spans="1:1" ht="15.75" thickBot="1" x14ac:dyDescent="0.3">
      <c r="A1679" s="118">
        <v>3711303</v>
      </c>
    </row>
    <row r="1680" spans="1:1" ht="15.75" thickBot="1" x14ac:dyDescent="0.3">
      <c r="A1680" s="118">
        <v>3711311</v>
      </c>
    </row>
    <row r="1681" spans="1:1" ht="15.75" thickBot="1" x14ac:dyDescent="0.3">
      <c r="A1681" s="118">
        <v>3711326</v>
      </c>
    </row>
    <row r="1682" spans="1:1" ht="15.75" thickBot="1" x14ac:dyDescent="0.3">
      <c r="A1682" s="118">
        <v>3711334</v>
      </c>
    </row>
    <row r="1683" spans="1:1" ht="15.75" thickBot="1" x14ac:dyDescent="0.3">
      <c r="A1683" s="118">
        <v>3711342</v>
      </c>
    </row>
    <row r="1684" spans="1:1" ht="15.75" thickBot="1" x14ac:dyDescent="0.3">
      <c r="A1684" s="118">
        <v>3711357</v>
      </c>
    </row>
    <row r="1685" spans="1:1" ht="15.75" thickBot="1" x14ac:dyDescent="0.3">
      <c r="A1685" s="118">
        <v>3711365</v>
      </c>
    </row>
    <row r="1686" spans="1:1" ht="15.75" thickBot="1" x14ac:dyDescent="0.3">
      <c r="A1686" s="118">
        <v>3711373</v>
      </c>
    </row>
    <row r="1687" spans="1:1" ht="15.75" thickBot="1" x14ac:dyDescent="0.3">
      <c r="A1687" s="118">
        <v>3711381</v>
      </c>
    </row>
    <row r="1688" spans="1:1" ht="15.75" thickBot="1" x14ac:dyDescent="0.3">
      <c r="A1688" s="118">
        <v>3711396</v>
      </c>
    </row>
    <row r="1689" spans="1:1" ht="15.75" thickBot="1" x14ac:dyDescent="0.3">
      <c r="A1689" s="118">
        <v>3711407</v>
      </c>
    </row>
    <row r="1690" spans="1:1" ht="15.75" thickBot="1" x14ac:dyDescent="0.3">
      <c r="A1690" s="120">
        <v>3712016</v>
      </c>
    </row>
    <row r="1691" spans="1:1" ht="15.75" thickBot="1" x14ac:dyDescent="0.3">
      <c r="A1691" s="120">
        <v>3712024</v>
      </c>
    </row>
    <row r="1692" spans="1:1" ht="15.75" thickBot="1" x14ac:dyDescent="0.3">
      <c r="A1692" s="120">
        <v>3712032</v>
      </c>
    </row>
    <row r="1693" spans="1:1" ht="15.75" thickBot="1" x14ac:dyDescent="0.3">
      <c r="A1693" s="120">
        <v>3712047</v>
      </c>
    </row>
    <row r="1694" spans="1:1" ht="15.75" thickBot="1" x14ac:dyDescent="0.3">
      <c r="A1694" s="120">
        <v>3712055</v>
      </c>
    </row>
    <row r="1695" spans="1:1" ht="15.75" thickBot="1" x14ac:dyDescent="0.3">
      <c r="A1695" s="120">
        <v>3712063</v>
      </c>
    </row>
    <row r="1696" spans="1:1" ht="15.75" thickBot="1" x14ac:dyDescent="0.3">
      <c r="A1696" s="120">
        <v>3712071</v>
      </c>
    </row>
    <row r="1697" spans="1:1" ht="15.75" thickBot="1" x14ac:dyDescent="0.3">
      <c r="A1697" s="120">
        <v>3712086</v>
      </c>
    </row>
    <row r="1698" spans="1:1" ht="15.75" thickBot="1" x14ac:dyDescent="0.3">
      <c r="A1698" s="120">
        <v>3712094</v>
      </c>
    </row>
    <row r="1699" spans="1:1" ht="15.75" thickBot="1" x14ac:dyDescent="0.3">
      <c r="A1699" s="120">
        <v>3712105</v>
      </c>
    </row>
    <row r="1700" spans="1:1" ht="15.75" thickBot="1" x14ac:dyDescent="0.3">
      <c r="A1700" s="120">
        <v>3712113</v>
      </c>
    </row>
    <row r="1701" spans="1:1" ht="15.75" thickBot="1" x14ac:dyDescent="0.3">
      <c r="A1701" s="120">
        <v>3712121</v>
      </c>
    </row>
    <row r="1702" spans="1:1" ht="15.75" thickBot="1" x14ac:dyDescent="0.3">
      <c r="A1702" s="120">
        <v>3712136</v>
      </c>
    </row>
    <row r="1703" spans="1:1" ht="15.75" thickBot="1" x14ac:dyDescent="0.3">
      <c r="A1703" s="120">
        <v>3712144</v>
      </c>
    </row>
    <row r="1704" spans="1:1" ht="15.75" thickBot="1" x14ac:dyDescent="0.3">
      <c r="A1704" s="120">
        <v>3712152</v>
      </c>
    </row>
    <row r="1705" spans="1:1" ht="15.75" thickBot="1" x14ac:dyDescent="0.3">
      <c r="A1705" s="120">
        <v>3712167</v>
      </c>
    </row>
    <row r="1706" spans="1:1" ht="15.75" thickBot="1" x14ac:dyDescent="0.3">
      <c r="A1706" s="120">
        <v>3712175</v>
      </c>
    </row>
    <row r="1707" spans="1:1" ht="15.75" thickBot="1" x14ac:dyDescent="0.3">
      <c r="A1707" s="120">
        <v>3712183</v>
      </c>
    </row>
    <row r="1708" spans="1:1" ht="15.75" thickBot="1" x14ac:dyDescent="0.3">
      <c r="A1708" s="127">
        <v>3712191</v>
      </c>
    </row>
    <row r="1709" spans="1:1" ht="15.75" thickBot="1" x14ac:dyDescent="0.3">
      <c r="A1709" s="120">
        <v>3712202</v>
      </c>
    </row>
    <row r="1710" spans="1:1" ht="15.75" thickBot="1" x14ac:dyDescent="0.3">
      <c r="A1710" s="120">
        <v>3712217</v>
      </c>
    </row>
    <row r="1711" spans="1:1" ht="15.75" thickBot="1" x14ac:dyDescent="0.3">
      <c r="A1711" s="120">
        <v>3712225</v>
      </c>
    </row>
    <row r="1712" spans="1:1" ht="15.75" thickBot="1" x14ac:dyDescent="0.3">
      <c r="A1712" s="120">
        <v>3712233</v>
      </c>
    </row>
    <row r="1713" spans="1:1" ht="15.75" thickBot="1" x14ac:dyDescent="0.3">
      <c r="A1713" s="120">
        <v>3712241</v>
      </c>
    </row>
    <row r="1714" spans="1:1" ht="15.75" thickBot="1" x14ac:dyDescent="0.3">
      <c r="A1714" s="118">
        <v>3721015</v>
      </c>
    </row>
    <row r="1715" spans="1:1" ht="15.75" thickBot="1" x14ac:dyDescent="0.3">
      <c r="A1715" s="118">
        <v>3721023</v>
      </c>
    </row>
    <row r="1716" spans="1:1" ht="15.75" thickBot="1" x14ac:dyDescent="0.3">
      <c r="A1716" s="118">
        <v>3721031</v>
      </c>
    </row>
    <row r="1717" spans="1:1" ht="15.75" thickBot="1" x14ac:dyDescent="0.3">
      <c r="A1717" s="118">
        <v>3721046</v>
      </c>
    </row>
    <row r="1718" spans="1:1" ht="15.75" thickBot="1" x14ac:dyDescent="0.3">
      <c r="A1718" s="118">
        <v>3721054</v>
      </c>
    </row>
    <row r="1719" spans="1:1" ht="15.75" thickBot="1" x14ac:dyDescent="0.3">
      <c r="A1719" s="118">
        <v>3721062</v>
      </c>
    </row>
    <row r="1720" spans="1:1" ht="15.75" thickBot="1" x14ac:dyDescent="0.3">
      <c r="A1720" s="118">
        <v>3721077</v>
      </c>
    </row>
    <row r="1721" spans="1:1" ht="15.75" thickBot="1" x14ac:dyDescent="0.3">
      <c r="A1721" s="118">
        <v>3721085</v>
      </c>
    </row>
    <row r="1722" spans="1:1" ht="15.75" thickBot="1" x14ac:dyDescent="0.3">
      <c r="A1722" s="118">
        <v>3721093</v>
      </c>
    </row>
    <row r="1723" spans="1:1" ht="15.75" thickBot="1" x14ac:dyDescent="0.3">
      <c r="A1723" s="118">
        <v>3721104</v>
      </c>
    </row>
    <row r="1724" spans="1:1" ht="15.75" thickBot="1" x14ac:dyDescent="0.3">
      <c r="A1724" s="119">
        <v>3721112</v>
      </c>
    </row>
    <row r="1725" spans="1:1" ht="16.5" thickTop="1" thickBot="1" x14ac:dyDescent="0.3">
      <c r="A1725" s="118">
        <v>3721127</v>
      </c>
    </row>
    <row r="1726" spans="1:1" ht="15.75" thickBot="1" x14ac:dyDescent="0.3">
      <c r="A1726" s="118">
        <v>3721135</v>
      </c>
    </row>
    <row r="1727" spans="1:1" ht="15.75" thickBot="1" x14ac:dyDescent="0.3">
      <c r="A1727" s="118">
        <v>3721143</v>
      </c>
    </row>
    <row r="1728" spans="1:1" ht="15.75" thickBot="1" x14ac:dyDescent="0.3">
      <c r="A1728" s="118">
        <v>3721151</v>
      </c>
    </row>
    <row r="1729" spans="1:1" ht="15.75" thickBot="1" x14ac:dyDescent="0.3">
      <c r="A1729" s="118">
        <v>3721166</v>
      </c>
    </row>
    <row r="1730" spans="1:1" ht="15.75" thickBot="1" x14ac:dyDescent="0.3">
      <c r="A1730" s="118">
        <v>3721174</v>
      </c>
    </row>
    <row r="1731" spans="1:1" ht="15.75" thickBot="1" x14ac:dyDescent="0.3">
      <c r="A1731" s="118">
        <v>3721182</v>
      </c>
    </row>
    <row r="1732" spans="1:1" ht="15.75" thickBot="1" x14ac:dyDescent="0.3">
      <c r="A1732" s="118">
        <v>3721197</v>
      </c>
    </row>
    <row r="1733" spans="1:1" ht="15.75" thickBot="1" x14ac:dyDescent="0.3">
      <c r="A1733" s="118">
        <v>3721201</v>
      </c>
    </row>
    <row r="1734" spans="1:1" ht="15.75" thickBot="1" x14ac:dyDescent="0.3">
      <c r="A1734" s="118">
        <v>3721216</v>
      </c>
    </row>
    <row r="1735" spans="1:1" ht="15.75" thickBot="1" x14ac:dyDescent="0.3">
      <c r="A1735" s="118">
        <v>3721232</v>
      </c>
    </row>
    <row r="1736" spans="1:1" ht="15.75" thickBot="1" x14ac:dyDescent="0.3">
      <c r="A1736" s="118">
        <v>3721247</v>
      </c>
    </row>
    <row r="1737" spans="1:1" ht="15.75" thickBot="1" x14ac:dyDescent="0.3">
      <c r="A1737" s="118">
        <v>3721255</v>
      </c>
    </row>
    <row r="1738" spans="1:1" ht="15.75" thickBot="1" x14ac:dyDescent="0.3">
      <c r="A1738" s="118">
        <v>3721263</v>
      </c>
    </row>
    <row r="1739" spans="1:1" ht="15.75" thickBot="1" x14ac:dyDescent="0.3">
      <c r="A1739" s="118">
        <v>3721271</v>
      </c>
    </row>
    <row r="1740" spans="1:1" ht="15.75" thickBot="1" x14ac:dyDescent="0.3">
      <c r="A1740" s="118">
        <v>3721286</v>
      </c>
    </row>
    <row r="1741" spans="1:1" ht="15.75" thickBot="1" x14ac:dyDescent="0.3">
      <c r="A1741" s="118">
        <v>3721294</v>
      </c>
    </row>
    <row r="1742" spans="1:1" ht="15.75" thickBot="1" x14ac:dyDescent="0.3">
      <c r="A1742" s="118">
        <v>3721305</v>
      </c>
    </row>
    <row r="1743" spans="1:1" ht="15.75" thickBot="1" x14ac:dyDescent="0.3">
      <c r="A1743" s="118">
        <v>3721313</v>
      </c>
    </row>
    <row r="1744" spans="1:1" ht="15.75" thickBot="1" x14ac:dyDescent="0.3">
      <c r="A1744" s="118">
        <v>3721321</v>
      </c>
    </row>
    <row r="1745" spans="1:1" ht="15.75" thickBot="1" x14ac:dyDescent="0.3">
      <c r="A1745" s="118">
        <v>3721336</v>
      </c>
    </row>
    <row r="1746" spans="1:1" ht="15.75" thickBot="1" x14ac:dyDescent="0.3">
      <c r="A1746" s="118">
        <v>3721352</v>
      </c>
    </row>
    <row r="1747" spans="1:1" ht="15.75" thickBot="1" x14ac:dyDescent="0.3">
      <c r="A1747" s="118">
        <v>3721367</v>
      </c>
    </row>
    <row r="1748" spans="1:1" ht="15.75" thickBot="1" x14ac:dyDescent="0.3">
      <c r="A1748" s="118">
        <v>3721375</v>
      </c>
    </row>
    <row r="1749" spans="1:1" ht="15.75" thickBot="1" x14ac:dyDescent="0.3">
      <c r="A1749" s="118">
        <v>3721383</v>
      </c>
    </row>
    <row r="1750" spans="1:1" ht="15.75" thickBot="1" x14ac:dyDescent="0.3">
      <c r="A1750" s="118">
        <v>3721391</v>
      </c>
    </row>
    <row r="1751" spans="1:1" ht="15.75" thickBot="1" x14ac:dyDescent="0.3">
      <c r="A1751" s="118">
        <v>3721417</v>
      </c>
    </row>
    <row r="1752" spans="1:1" ht="15.75" thickBot="1" x14ac:dyDescent="0.3">
      <c r="A1752" s="119">
        <v>3721433</v>
      </c>
    </row>
    <row r="1753" spans="1:1" ht="16.5" thickTop="1" thickBot="1" x14ac:dyDescent="0.3">
      <c r="A1753" s="118">
        <v>3721441</v>
      </c>
    </row>
    <row r="1754" spans="1:1" ht="15.75" thickBot="1" x14ac:dyDescent="0.3">
      <c r="A1754" s="118">
        <v>3721472</v>
      </c>
    </row>
    <row r="1755" spans="1:1" ht="15.75" thickBot="1" x14ac:dyDescent="0.3">
      <c r="A1755" s="118">
        <v>3721487</v>
      </c>
    </row>
    <row r="1756" spans="1:1" ht="15.75" thickBot="1" x14ac:dyDescent="0.3">
      <c r="A1756" s="118">
        <v>3721495</v>
      </c>
    </row>
    <row r="1757" spans="1:1" ht="15.75" thickBot="1" x14ac:dyDescent="0.3">
      <c r="A1757" s="118">
        <v>3721506</v>
      </c>
    </row>
    <row r="1758" spans="1:1" ht="15.75" thickBot="1" x14ac:dyDescent="0.3">
      <c r="A1758" s="118">
        <v>3721514</v>
      </c>
    </row>
    <row r="1759" spans="1:1" ht="15.75" thickBot="1" x14ac:dyDescent="0.3">
      <c r="A1759" s="118">
        <v>3721522</v>
      </c>
    </row>
    <row r="1760" spans="1:1" ht="15.75" thickBot="1" x14ac:dyDescent="0.3">
      <c r="A1760" s="119">
        <v>3721537</v>
      </c>
    </row>
    <row r="1761" spans="1:1" ht="16.5" thickTop="1" thickBot="1" x14ac:dyDescent="0.3">
      <c r="A1761" s="118">
        <v>3722011</v>
      </c>
    </row>
    <row r="1762" spans="1:1" ht="15.75" thickBot="1" x14ac:dyDescent="0.3">
      <c r="A1762" s="118">
        <v>3722026</v>
      </c>
    </row>
    <row r="1763" spans="1:1" ht="15.75" thickBot="1" x14ac:dyDescent="0.3">
      <c r="A1763" s="118">
        <v>3722034</v>
      </c>
    </row>
    <row r="1764" spans="1:1" ht="15.75" thickBot="1" x14ac:dyDescent="0.3">
      <c r="A1764" s="118">
        <v>3722042</v>
      </c>
    </row>
    <row r="1765" spans="1:1" ht="15.75" thickBot="1" x14ac:dyDescent="0.3">
      <c r="A1765" s="118">
        <v>3722057</v>
      </c>
    </row>
    <row r="1766" spans="1:1" ht="15.75" thickBot="1" x14ac:dyDescent="0.3">
      <c r="A1766" s="119">
        <v>3722065</v>
      </c>
    </row>
    <row r="1767" spans="1:1" ht="16.5" thickTop="1" thickBot="1" x14ac:dyDescent="0.3">
      <c r="A1767" s="118">
        <v>3722073</v>
      </c>
    </row>
    <row r="1768" spans="1:1" ht="15.75" thickBot="1" x14ac:dyDescent="0.3">
      <c r="A1768" s="118">
        <v>3722081</v>
      </c>
    </row>
    <row r="1769" spans="1:1" ht="15.75" thickBot="1" x14ac:dyDescent="0.3">
      <c r="A1769" s="118">
        <v>3722096</v>
      </c>
    </row>
    <row r="1770" spans="1:1" ht="15.75" thickBot="1" x14ac:dyDescent="0.3">
      <c r="A1770" s="118">
        <v>3722107</v>
      </c>
    </row>
    <row r="1771" spans="1:1" ht="15.75" thickBot="1" x14ac:dyDescent="0.3">
      <c r="A1771" s="118">
        <v>3722115</v>
      </c>
    </row>
    <row r="1772" spans="1:1" ht="15.75" thickBot="1" x14ac:dyDescent="0.3">
      <c r="A1772" s="118">
        <v>3722123</v>
      </c>
    </row>
    <row r="1773" spans="1:1" ht="15.75" thickBot="1" x14ac:dyDescent="0.3">
      <c r="A1773" s="118">
        <v>3722131</v>
      </c>
    </row>
    <row r="1774" spans="1:1" ht="15.75" thickBot="1" x14ac:dyDescent="0.3">
      <c r="A1774" s="119">
        <v>3722146</v>
      </c>
    </row>
    <row r="1775" spans="1:1" ht="16.5" thickTop="1" thickBot="1" x14ac:dyDescent="0.3">
      <c r="A1775" s="118">
        <v>3722177</v>
      </c>
    </row>
    <row r="1776" spans="1:1" ht="15.75" thickBot="1" x14ac:dyDescent="0.3">
      <c r="A1776" s="118">
        <v>3722193</v>
      </c>
    </row>
    <row r="1777" spans="1:1" ht="15.75" thickBot="1" x14ac:dyDescent="0.3">
      <c r="A1777" s="118">
        <v>3722227</v>
      </c>
    </row>
    <row r="1778" spans="1:1" ht="15.75" thickBot="1" x14ac:dyDescent="0.3">
      <c r="A1778" s="118">
        <v>3722235</v>
      </c>
    </row>
    <row r="1779" spans="1:1" ht="15.75" thickBot="1" x14ac:dyDescent="0.3">
      <c r="A1779" s="118">
        <v>3722243</v>
      </c>
    </row>
    <row r="1780" spans="1:1" ht="15.75" thickBot="1" x14ac:dyDescent="0.3">
      <c r="A1780" s="118">
        <v>3722251</v>
      </c>
    </row>
    <row r="1781" spans="1:1" ht="15.75" thickBot="1" x14ac:dyDescent="0.3">
      <c r="A1781" s="118">
        <v>3722274</v>
      </c>
    </row>
    <row r="1782" spans="1:1" ht="15.75" thickBot="1" x14ac:dyDescent="0.3">
      <c r="A1782" s="118">
        <v>3722282</v>
      </c>
    </row>
    <row r="1783" spans="1:1" ht="15.75" thickBot="1" x14ac:dyDescent="0.3">
      <c r="A1783" s="118">
        <v>3722297</v>
      </c>
    </row>
    <row r="1784" spans="1:1" ht="15.75" thickBot="1" x14ac:dyDescent="0.3">
      <c r="A1784" s="118">
        <v>3722324</v>
      </c>
    </row>
    <row r="1785" spans="1:1" ht="15.75" thickBot="1" x14ac:dyDescent="0.3">
      <c r="A1785" s="118">
        <v>3722332</v>
      </c>
    </row>
    <row r="1786" spans="1:1" ht="15.75" thickBot="1" x14ac:dyDescent="0.3">
      <c r="A1786" s="119">
        <v>3722347</v>
      </c>
    </row>
    <row r="1787" spans="1:1" ht="16.5" thickTop="1" thickBot="1" x14ac:dyDescent="0.3">
      <c r="A1787" s="118">
        <v>3722355</v>
      </c>
    </row>
    <row r="1788" spans="1:1" ht="15.75" thickBot="1" x14ac:dyDescent="0.3">
      <c r="A1788" s="118">
        <v>3722363</v>
      </c>
    </row>
    <row r="1789" spans="1:1" ht="15.75" thickBot="1" x14ac:dyDescent="0.3">
      <c r="A1789" s="118">
        <v>3731017</v>
      </c>
    </row>
    <row r="1790" spans="1:1" ht="15.75" thickBot="1" x14ac:dyDescent="0.3">
      <c r="A1790" s="118">
        <v>3731025</v>
      </c>
    </row>
    <row r="1791" spans="1:1" ht="15.75" thickBot="1" x14ac:dyDescent="0.3">
      <c r="A1791" s="118">
        <v>3731033</v>
      </c>
    </row>
    <row r="1792" spans="1:1" ht="15.75" thickBot="1" x14ac:dyDescent="0.3">
      <c r="A1792" s="118">
        <v>3731041</v>
      </c>
    </row>
    <row r="1793" spans="1:1" ht="15.75" thickBot="1" x14ac:dyDescent="0.3">
      <c r="A1793" s="118">
        <v>3731064</v>
      </c>
    </row>
    <row r="1794" spans="1:1" ht="15.75" thickBot="1" x14ac:dyDescent="0.3">
      <c r="A1794" s="118">
        <v>3731072</v>
      </c>
    </row>
    <row r="1795" spans="1:1" ht="15.75" thickBot="1" x14ac:dyDescent="0.3">
      <c r="A1795" s="118">
        <v>3731087</v>
      </c>
    </row>
    <row r="1796" spans="1:1" ht="15.75" thickBot="1" x14ac:dyDescent="0.3">
      <c r="A1796" s="118">
        <v>3731095</v>
      </c>
    </row>
    <row r="1797" spans="1:1" ht="15.75" thickBot="1" x14ac:dyDescent="0.3">
      <c r="A1797" s="118">
        <v>3731106</v>
      </c>
    </row>
    <row r="1798" spans="1:1" ht="15.75" thickBot="1" x14ac:dyDescent="0.3">
      <c r="A1798" s="118">
        <v>3731114</v>
      </c>
    </row>
    <row r="1799" spans="1:1" ht="15.75" thickBot="1" x14ac:dyDescent="0.3">
      <c r="A1799" s="118">
        <v>3731122</v>
      </c>
    </row>
    <row r="1800" spans="1:1" ht="15.75" thickBot="1" x14ac:dyDescent="0.3">
      <c r="A1800" s="118">
        <v>3731137</v>
      </c>
    </row>
    <row r="1801" spans="1:1" ht="15.75" thickBot="1" x14ac:dyDescent="0.3">
      <c r="A1801" s="118">
        <v>3731145</v>
      </c>
    </row>
    <row r="1802" spans="1:1" ht="15.75" thickBot="1" x14ac:dyDescent="0.3">
      <c r="A1802" s="118">
        <v>3731153</v>
      </c>
    </row>
    <row r="1803" spans="1:1" ht="15.75" thickBot="1" x14ac:dyDescent="0.3">
      <c r="A1803" s="118">
        <v>3731161</v>
      </c>
    </row>
    <row r="1804" spans="1:1" ht="15.75" thickBot="1" x14ac:dyDescent="0.3">
      <c r="A1804" s="118">
        <v>3731176</v>
      </c>
    </row>
    <row r="1805" spans="1:1" ht="15.75" thickBot="1" x14ac:dyDescent="0.3">
      <c r="A1805" s="118">
        <v>3731184</v>
      </c>
    </row>
    <row r="1806" spans="1:1" ht="15.75" thickBot="1" x14ac:dyDescent="0.3">
      <c r="A1806" s="118">
        <v>3731192</v>
      </c>
    </row>
    <row r="1807" spans="1:1" ht="15.75" thickBot="1" x14ac:dyDescent="0.3">
      <c r="A1807" s="118">
        <v>3731203</v>
      </c>
    </row>
    <row r="1808" spans="1:1" ht="15.75" thickBot="1" x14ac:dyDescent="0.3">
      <c r="A1808" s="118">
        <v>3731211</v>
      </c>
    </row>
    <row r="1809" spans="1:1" ht="15.75" thickBot="1" x14ac:dyDescent="0.3">
      <c r="A1809" s="118">
        <v>3731226</v>
      </c>
    </row>
    <row r="1810" spans="1:1" ht="15.75" thickBot="1" x14ac:dyDescent="0.3">
      <c r="A1810" s="118">
        <v>3732013</v>
      </c>
    </row>
    <row r="1811" spans="1:1" ht="15.75" thickBot="1" x14ac:dyDescent="0.3">
      <c r="A1811" s="118">
        <v>3732021</v>
      </c>
    </row>
    <row r="1812" spans="1:1" ht="15.75" thickBot="1" x14ac:dyDescent="0.3">
      <c r="A1812" s="118">
        <v>3732036</v>
      </c>
    </row>
    <row r="1813" spans="1:1" ht="15.75" thickBot="1" x14ac:dyDescent="0.3">
      <c r="A1813" s="118">
        <v>3732044</v>
      </c>
    </row>
    <row r="1814" spans="1:1" ht="15.75" thickBot="1" x14ac:dyDescent="0.3">
      <c r="A1814" s="118">
        <v>3732052</v>
      </c>
    </row>
    <row r="1815" spans="1:1" ht="15.75" thickBot="1" x14ac:dyDescent="0.3">
      <c r="A1815" s="118">
        <v>3732067</v>
      </c>
    </row>
    <row r="1816" spans="1:1" ht="15.75" thickBot="1" x14ac:dyDescent="0.3">
      <c r="A1816" s="118">
        <v>3732075</v>
      </c>
    </row>
    <row r="1817" spans="1:1" ht="15.75" thickBot="1" x14ac:dyDescent="0.3">
      <c r="A1817" s="118">
        <v>3732083</v>
      </c>
    </row>
    <row r="1818" spans="1:1" ht="15.75" thickBot="1" x14ac:dyDescent="0.3">
      <c r="A1818" s="118">
        <v>3732091</v>
      </c>
    </row>
    <row r="1819" spans="1:1" ht="15.75" thickBot="1" x14ac:dyDescent="0.3">
      <c r="A1819" s="118">
        <v>3732102</v>
      </c>
    </row>
    <row r="1820" spans="1:1" ht="15.75" thickBot="1" x14ac:dyDescent="0.3">
      <c r="A1820" s="118">
        <v>3732117</v>
      </c>
    </row>
    <row r="1821" spans="1:1" ht="15.75" thickBot="1" x14ac:dyDescent="0.3">
      <c r="A1821" s="118">
        <v>3732125</v>
      </c>
    </row>
    <row r="1822" spans="1:1" ht="15.75" thickBot="1" x14ac:dyDescent="0.3">
      <c r="A1822" s="118">
        <v>3732133</v>
      </c>
    </row>
    <row r="1823" spans="1:1" ht="15.75" thickBot="1" x14ac:dyDescent="0.3">
      <c r="A1823" s="119">
        <v>3732141</v>
      </c>
    </row>
    <row r="1824" spans="1:1" ht="16.5" thickTop="1" thickBot="1" x14ac:dyDescent="0.3">
      <c r="A1824" s="118">
        <v>3732156</v>
      </c>
    </row>
    <row r="1825" spans="1:1" ht="15.75" thickBot="1" x14ac:dyDescent="0.3">
      <c r="A1825" s="118">
        <v>3732164</v>
      </c>
    </row>
    <row r="1826" spans="1:1" ht="15.75" thickBot="1" x14ac:dyDescent="0.3">
      <c r="A1826" s="118">
        <v>3732172</v>
      </c>
    </row>
    <row r="1827" spans="1:1" ht="15.75" thickBot="1" x14ac:dyDescent="0.3">
      <c r="A1827" s="118">
        <v>3732187</v>
      </c>
    </row>
    <row r="1828" spans="1:1" ht="15.75" thickBot="1" x14ac:dyDescent="0.3">
      <c r="A1828" s="118">
        <v>3732195</v>
      </c>
    </row>
    <row r="1829" spans="1:1" ht="15.75" thickBot="1" x14ac:dyDescent="0.3">
      <c r="A1829" s="118">
        <v>3732206</v>
      </c>
    </row>
    <row r="1830" spans="1:1" ht="15.75" thickBot="1" x14ac:dyDescent="0.3">
      <c r="A1830" s="118">
        <v>3732214</v>
      </c>
    </row>
    <row r="1831" spans="1:1" ht="15.75" thickBot="1" x14ac:dyDescent="0.3">
      <c r="A1831" s="118">
        <v>3732222</v>
      </c>
    </row>
    <row r="1832" spans="1:1" ht="15.75" thickBot="1" x14ac:dyDescent="0.3">
      <c r="A1832" s="118">
        <v>3732237</v>
      </c>
    </row>
    <row r="1833" spans="1:1" ht="15.75" thickBot="1" x14ac:dyDescent="0.3">
      <c r="A1833" s="118">
        <v>3732245</v>
      </c>
    </row>
    <row r="1834" spans="1:1" ht="15.75" thickBot="1" x14ac:dyDescent="0.3">
      <c r="A1834" s="118">
        <v>3732253</v>
      </c>
    </row>
    <row r="1835" spans="1:1" ht="15.75" thickBot="1" x14ac:dyDescent="0.3">
      <c r="A1835" s="118">
        <v>3732261</v>
      </c>
    </row>
    <row r="1836" spans="1:1" ht="15.75" thickBot="1" x14ac:dyDescent="0.3">
      <c r="A1836" s="118">
        <v>3732276</v>
      </c>
    </row>
    <row r="1837" spans="1:1" ht="15.75" thickBot="1" x14ac:dyDescent="0.3">
      <c r="A1837" s="118">
        <v>3732284</v>
      </c>
    </row>
    <row r="1838" spans="1:1" ht="15.75" thickBot="1" x14ac:dyDescent="0.3">
      <c r="A1838" s="118">
        <v>3732292</v>
      </c>
    </row>
    <row r="1839" spans="1:1" ht="15.75" thickBot="1" x14ac:dyDescent="0.3">
      <c r="A1839" s="118">
        <v>3732303</v>
      </c>
    </row>
    <row r="1840" spans="1:1" ht="15.75" thickBot="1" x14ac:dyDescent="0.3">
      <c r="A1840" s="118">
        <v>3732311</v>
      </c>
    </row>
    <row r="1841" spans="1:1" ht="15.75" thickBot="1" x14ac:dyDescent="0.3">
      <c r="A1841" s="118">
        <v>3732326</v>
      </c>
    </row>
    <row r="1842" spans="1:1" ht="15.75" thickBot="1" x14ac:dyDescent="0.3">
      <c r="A1842" s="118">
        <v>3732334</v>
      </c>
    </row>
    <row r="1843" spans="1:1" ht="15.75" thickBot="1" x14ac:dyDescent="0.3">
      <c r="A1843" s="118">
        <v>3732342</v>
      </c>
    </row>
    <row r="1844" spans="1:1" ht="15.75" thickBot="1" x14ac:dyDescent="0.3">
      <c r="A1844" s="118">
        <v>3732357</v>
      </c>
    </row>
    <row r="1845" spans="1:1" ht="15.75" thickBot="1" x14ac:dyDescent="0.3">
      <c r="A1845" s="118">
        <v>3732365</v>
      </c>
    </row>
    <row r="1846" spans="1:1" ht="15.75" thickBot="1" x14ac:dyDescent="0.3">
      <c r="A1846" s="118">
        <v>3732373</v>
      </c>
    </row>
    <row r="1847" spans="1:1" ht="15.75" thickBot="1" x14ac:dyDescent="0.3">
      <c r="A1847" s="123">
        <v>3741012</v>
      </c>
    </row>
    <row r="1848" spans="1:1" ht="16.5" thickTop="1" thickBot="1" x14ac:dyDescent="0.3">
      <c r="A1848" s="120">
        <v>3741027</v>
      </c>
    </row>
    <row r="1849" spans="1:1" ht="15.75" thickBot="1" x14ac:dyDescent="0.3">
      <c r="A1849" s="120">
        <v>3741035</v>
      </c>
    </row>
    <row r="1850" spans="1:1" ht="15.75" thickBot="1" x14ac:dyDescent="0.3">
      <c r="A1850" s="120">
        <v>3741043</v>
      </c>
    </row>
    <row r="1851" spans="1:1" ht="15.75" thickBot="1" x14ac:dyDescent="0.3">
      <c r="A1851" s="127">
        <v>3741051</v>
      </c>
    </row>
    <row r="1852" spans="1:1" ht="15.75" thickBot="1" x14ac:dyDescent="0.3">
      <c r="A1852" s="120">
        <v>3741066</v>
      </c>
    </row>
    <row r="1853" spans="1:1" ht="15.75" thickBot="1" x14ac:dyDescent="0.3">
      <c r="A1853" s="120">
        <v>3741074</v>
      </c>
    </row>
    <row r="1854" spans="1:1" ht="15.75" thickBot="1" x14ac:dyDescent="0.3">
      <c r="A1854" s="120">
        <v>3741124</v>
      </c>
    </row>
    <row r="1855" spans="1:1" ht="15.75" thickBot="1" x14ac:dyDescent="0.3">
      <c r="A1855" s="118">
        <v>3742023</v>
      </c>
    </row>
    <row r="1856" spans="1:1" ht="15.75" thickBot="1" x14ac:dyDescent="0.3">
      <c r="A1856" s="118">
        <v>3742077</v>
      </c>
    </row>
    <row r="1857" spans="1:1" ht="15.75" thickBot="1" x14ac:dyDescent="0.3">
      <c r="A1857" s="118">
        <v>3742093</v>
      </c>
    </row>
    <row r="1858" spans="1:1" ht="15.75" thickBot="1" x14ac:dyDescent="0.3">
      <c r="A1858" s="118">
        <v>3742104</v>
      </c>
    </row>
    <row r="1859" spans="1:1" ht="15.75" thickBot="1" x14ac:dyDescent="0.3">
      <c r="A1859" s="118">
        <v>3742112</v>
      </c>
    </row>
    <row r="1860" spans="1:1" ht="15.75" thickBot="1" x14ac:dyDescent="0.3">
      <c r="A1860" s="118">
        <v>3742135</v>
      </c>
    </row>
    <row r="1861" spans="1:1" ht="15.75" thickBot="1" x14ac:dyDescent="0.3">
      <c r="A1861" s="118">
        <v>3811014</v>
      </c>
    </row>
    <row r="1862" spans="1:1" ht="15.75" thickBot="1" x14ac:dyDescent="0.3">
      <c r="A1862" s="118">
        <v>3811022</v>
      </c>
    </row>
    <row r="1863" spans="1:1" ht="15.75" thickBot="1" x14ac:dyDescent="0.3">
      <c r="A1863" s="118">
        <v>3811037</v>
      </c>
    </row>
    <row r="1864" spans="1:1" ht="15.75" thickBot="1" x14ac:dyDescent="0.3">
      <c r="A1864" s="118">
        <v>3811045</v>
      </c>
    </row>
    <row r="1865" spans="1:1" ht="15.75" thickBot="1" x14ac:dyDescent="0.3">
      <c r="A1865" s="118">
        <v>3811053</v>
      </c>
    </row>
    <row r="1866" spans="1:1" ht="15.75" thickBot="1" x14ac:dyDescent="0.3">
      <c r="A1866" s="118">
        <v>3811061</v>
      </c>
    </row>
    <row r="1867" spans="1:1" ht="15.75" thickBot="1" x14ac:dyDescent="0.3">
      <c r="A1867" s="118">
        <v>3811076</v>
      </c>
    </row>
    <row r="1868" spans="1:1" ht="15.75" thickBot="1" x14ac:dyDescent="0.3">
      <c r="A1868" s="119">
        <v>3811084</v>
      </c>
    </row>
    <row r="1869" spans="1:1" ht="16.5" thickTop="1" thickBot="1" x14ac:dyDescent="0.3">
      <c r="A1869" s="118">
        <v>3811092</v>
      </c>
    </row>
    <row r="1870" spans="1:1" ht="15.75" thickBot="1" x14ac:dyDescent="0.3">
      <c r="A1870" s="118">
        <v>3811103</v>
      </c>
    </row>
    <row r="1871" spans="1:1" ht="15.75" thickBot="1" x14ac:dyDescent="0.3">
      <c r="A1871" s="118">
        <v>3811111</v>
      </c>
    </row>
    <row r="1872" spans="1:1" ht="15.75" thickBot="1" x14ac:dyDescent="0.3">
      <c r="A1872" s="118">
        <v>3811126</v>
      </c>
    </row>
    <row r="1873" spans="1:1" ht="15.75" thickBot="1" x14ac:dyDescent="0.3">
      <c r="A1873" s="118">
        <v>3811134</v>
      </c>
    </row>
    <row r="1874" spans="1:1" ht="15.75" thickBot="1" x14ac:dyDescent="0.3">
      <c r="A1874" s="118">
        <v>3811142</v>
      </c>
    </row>
    <row r="1875" spans="1:1" ht="15.75" thickBot="1" x14ac:dyDescent="0.3">
      <c r="A1875" s="118">
        <v>3811157</v>
      </c>
    </row>
    <row r="1876" spans="1:1" ht="15.75" thickBot="1" x14ac:dyDescent="0.3">
      <c r="A1876" s="118">
        <v>3811165</v>
      </c>
    </row>
    <row r="1877" spans="1:1" ht="15.75" thickBot="1" x14ac:dyDescent="0.3">
      <c r="A1877" s="118">
        <v>3811173</v>
      </c>
    </row>
    <row r="1878" spans="1:1" ht="15.75" thickBot="1" x14ac:dyDescent="0.3">
      <c r="A1878" s="118">
        <v>3811181</v>
      </c>
    </row>
    <row r="1879" spans="1:1" ht="15.75" thickBot="1" x14ac:dyDescent="0.3">
      <c r="A1879" s="118">
        <v>3811196</v>
      </c>
    </row>
    <row r="1880" spans="1:1" ht="15.75" thickBot="1" x14ac:dyDescent="0.3">
      <c r="A1880" s="118">
        <v>3811207</v>
      </c>
    </row>
    <row r="1881" spans="1:1" ht="15.75" thickBot="1" x14ac:dyDescent="0.3">
      <c r="A1881" s="118">
        <v>3811215</v>
      </c>
    </row>
    <row r="1882" spans="1:1" ht="15.75" thickBot="1" x14ac:dyDescent="0.3">
      <c r="A1882" s="118">
        <v>3812017</v>
      </c>
    </row>
    <row r="1883" spans="1:1" ht="15.75" thickBot="1" x14ac:dyDescent="0.3">
      <c r="A1883" s="118">
        <v>3812025</v>
      </c>
    </row>
    <row r="1884" spans="1:1" ht="15.75" thickBot="1" x14ac:dyDescent="0.3">
      <c r="A1884" s="118">
        <v>3812033</v>
      </c>
    </row>
    <row r="1885" spans="1:1" ht="15.75" thickBot="1" x14ac:dyDescent="0.3">
      <c r="A1885" s="118">
        <v>3812041</v>
      </c>
    </row>
    <row r="1886" spans="1:1" ht="15.75" thickBot="1" x14ac:dyDescent="0.3">
      <c r="A1886" s="118">
        <v>3812056</v>
      </c>
    </row>
    <row r="1887" spans="1:1" ht="15.75" thickBot="1" x14ac:dyDescent="0.3">
      <c r="A1887" s="118">
        <v>3812064</v>
      </c>
    </row>
    <row r="1888" spans="1:1" ht="15.75" thickBot="1" x14ac:dyDescent="0.3">
      <c r="A1888" s="118">
        <v>3812072</v>
      </c>
    </row>
    <row r="1889" spans="1:1" ht="15.75" thickBot="1" x14ac:dyDescent="0.3">
      <c r="A1889" s="118">
        <v>3812087</v>
      </c>
    </row>
    <row r="1890" spans="1:1" ht="15.75" thickBot="1" x14ac:dyDescent="0.3">
      <c r="A1890" s="118">
        <v>3812095</v>
      </c>
    </row>
    <row r="1891" spans="1:1" ht="15.75" thickBot="1" x14ac:dyDescent="0.3">
      <c r="A1891" s="118">
        <v>3812106</v>
      </c>
    </row>
    <row r="1892" spans="1:1" ht="15.75" thickBot="1" x14ac:dyDescent="0.3">
      <c r="A1892" s="118">
        <v>3812114</v>
      </c>
    </row>
    <row r="1893" spans="1:1" ht="15.75" thickBot="1" x14ac:dyDescent="0.3">
      <c r="A1893" s="118">
        <v>3812122</v>
      </c>
    </row>
    <row r="1894" spans="1:1" ht="15.75" thickBot="1" x14ac:dyDescent="0.3">
      <c r="A1894" s="118">
        <v>3812137</v>
      </c>
    </row>
    <row r="1895" spans="1:1" ht="15.75" thickBot="1" x14ac:dyDescent="0.3">
      <c r="A1895" s="118">
        <v>3812145</v>
      </c>
    </row>
    <row r="1896" spans="1:1" ht="15.75" thickBot="1" x14ac:dyDescent="0.3">
      <c r="A1896" s="118">
        <v>3812153</v>
      </c>
    </row>
    <row r="1897" spans="1:1" ht="15.75" thickBot="1" x14ac:dyDescent="0.3">
      <c r="A1897" s="118">
        <v>3812161</v>
      </c>
    </row>
    <row r="1898" spans="1:1" ht="15.75" thickBot="1" x14ac:dyDescent="0.3">
      <c r="A1898" s="118">
        <v>3812176</v>
      </c>
    </row>
    <row r="1899" spans="1:1" ht="15.75" thickBot="1" x14ac:dyDescent="0.3">
      <c r="A1899" s="118">
        <v>3812184</v>
      </c>
    </row>
    <row r="1900" spans="1:1" ht="15.75" thickBot="1" x14ac:dyDescent="0.3">
      <c r="A1900" s="118">
        <v>3821016</v>
      </c>
    </row>
    <row r="1901" spans="1:1" ht="15.75" thickBot="1" x14ac:dyDescent="0.3">
      <c r="A1901" s="118">
        <v>3821024</v>
      </c>
    </row>
    <row r="1902" spans="1:1" ht="15.75" thickBot="1" x14ac:dyDescent="0.3">
      <c r="A1902" s="118">
        <v>3821032</v>
      </c>
    </row>
    <row r="1903" spans="1:1" ht="15.75" thickBot="1" x14ac:dyDescent="0.3">
      <c r="A1903" s="118">
        <v>3821047</v>
      </c>
    </row>
    <row r="1904" spans="1:1" ht="15.75" thickBot="1" x14ac:dyDescent="0.3">
      <c r="A1904" s="118">
        <v>3821055</v>
      </c>
    </row>
    <row r="1905" spans="1:1" ht="15.75" thickBot="1" x14ac:dyDescent="0.3">
      <c r="A1905" s="119">
        <v>3821063</v>
      </c>
    </row>
    <row r="1906" spans="1:1" ht="16.5" thickTop="1" thickBot="1" x14ac:dyDescent="0.3">
      <c r="A1906" s="118">
        <v>3821071</v>
      </c>
    </row>
    <row r="1907" spans="1:1" ht="15.75" thickBot="1" x14ac:dyDescent="0.3">
      <c r="A1907" s="118">
        <v>3821086</v>
      </c>
    </row>
    <row r="1908" spans="1:1" ht="15.75" thickBot="1" x14ac:dyDescent="0.3">
      <c r="A1908" s="118">
        <v>3821094</v>
      </c>
    </row>
    <row r="1909" spans="1:1" ht="15.75" thickBot="1" x14ac:dyDescent="0.3">
      <c r="A1909" s="118">
        <v>3821105</v>
      </c>
    </row>
    <row r="1910" spans="1:1" ht="15.75" thickBot="1" x14ac:dyDescent="0.3">
      <c r="A1910" s="118">
        <v>3821113</v>
      </c>
    </row>
    <row r="1911" spans="1:1" ht="15.75" thickBot="1" x14ac:dyDescent="0.3">
      <c r="A1911" s="118">
        <v>3821121</v>
      </c>
    </row>
    <row r="1912" spans="1:1" ht="15.75" thickBot="1" x14ac:dyDescent="0.3">
      <c r="A1912" s="118">
        <v>3821136</v>
      </c>
    </row>
    <row r="1913" spans="1:1" ht="15.75" thickBot="1" x14ac:dyDescent="0.3">
      <c r="A1913" s="118">
        <v>3821144</v>
      </c>
    </row>
    <row r="1914" spans="1:1" ht="15.75" thickBot="1" x14ac:dyDescent="0.3">
      <c r="A1914" s="118">
        <v>3821152</v>
      </c>
    </row>
    <row r="1915" spans="1:1" ht="15.75" thickBot="1" x14ac:dyDescent="0.3">
      <c r="A1915" s="118">
        <v>3821167</v>
      </c>
    </row>
    <row r="1916" spans="1:1" ht="15.75" thickBot="1" x14ac:dyDescent="0.3">
      <c r="A1916" s="118">
        <v>3821175</v>
      </c>
    </row>
    <row r="1917" spans="1:1" ht="15.75" thickBot="1" x14ac:dyDescent="0.3">
      <c r="A1917" s="118">
        <v>3821183</v>
      </c>
    </row>
    <row r="1918" spans="1:1" ht="15.75" thickBot="1" x14ac:dyDescent="0.3">
      <c r="A1918" s="118">
        <v>3821191</v>
      </c>
    </row>
    <row r="1919" spans="1:1" ht="15.75" thickBot="1" x14ac:dyDescent="0.3">
      <c r="A1919" s="118">
        <v>3821202</v>
      </c>
    </row>
    <row r="1920" spans="1:1" ht="15.75" thickBot="1" x14ac:dyDescent="0.3">
      <c r="A1920" s="118">
        <v>3821217</v>
      </c>
    </row>
    <row r="1921" spans="1:1" ht="15.75" thickBot="1" x14ac:dyDescent="0.3">
      <c r="A1921" s="118">
        <v>3821225</v>
      </c>
    </row>
    <row r="1922" spans="1:1" ht="15.75" thickBot="1" x14ac:dyDescent="0.3">
      <c r="A1922" s="118">
        <v>3821233</v>
      </c>
    </row>
    <row r="1923" spans="1:1" ht="15.75" thickBot="1" x14ac:dyDescent="0.3">
      <c r="A1923" s="118">
        <v>3821241</v>
      </c>
    </row>
    <row r="1924" spans="1:1" ht="15.75" thickBot="1" x14ac:dyDescent="0.3">
      <c r="A1924" s="118">
        <v>3821256</v>
      </c>
    </row>
    <row r="1925" spans="1:1" ht="15.75" thickBot="1" x14ac:dyDescent="0.3">
      <c r="A1925" s="119">
        <v>3821272</v>
      </c>
    </row>
    <row r="1926" spans="1:1" ht="16.5" thickTop="1" thickBot="1" x14ac:dyDescent="0.3">
      <c r="A1926" s="118">
        <v>3821287</v>
      </c>
    </row>
    <row r="1927" spans="1:1" ht="15.75" thickBot="1" x14ac:dyDescent="0.3">
      <c r="A1927" s="118">
        <v>3821295</v>
      </c>
    </row>
    <row r="1928" spans="1:1" ht="15.75" thickBot="1" x14ac:dyDescent="0.3">
      <c r="A1928" s="118">
        <v>3821306</v>
      </c>
    </row>
    <row r="1929" spans="1:1" ht="15.75" thickBot="1" x14ac:dyDescent="0.3">
      <c r="A1929" s="118">
        <v>3821314</v>
      </c>
    </row>
    <row r="1930" spans="1:1" ht="15.75" thickBot="1" x14ac:dyDescent="0.3">
      <c r="A1930" s="118">
        <v>3821322</v>
      </c>
    </row>
    <row r="1931" spans="1:1" ht="15.75" thickBot="1" x14ac:dyDescent="0.3">
      <c r="A1931" s="118">
        <v>3822012</v>
      </c>
    </row>
    <row r="1932" spans="1:1" ht="15.75" thickBot="1" x14ac:dyDescent="0.3">
      <c r="A1932" s="118">
        <v>3822027</v>
      </c>
    </row>
    <row r="1933" spans="1:1" ht="15.75" thickBot="1" x14ac:dyDescent="0.3">
      <c r="A1933" s="118">
        <v>3831011</v>
      </c>
    </row>
    <row r="1934" spans="1:1" ht="15.75" thickBot="1" x14ac:dyDescent="0.3">
      <c r="A1934" s="118">
        <v>3831026</v>
      </c>
    </row>
    <row r="1935" spans="1:1" ht="15.75" thickBot="1" x14ac:dyDescent="0.3">
      <c r="A1935" s="118">
        <v>3831034</v>
      </c>
    </row>
    <row r="1936" spans="1:1" ht="15.75" thickBot="1" x14ac:dyDescent="0.3">
      <c r="A1936" s="118">
        <v>3831042</v>
      </c>
    </row>
    <row r="1937" spans="1:1" ht="15.75" thickBot="1" x14ac:dyDescent="0.3">
      <c r="A1937" s="118">
        <v>3831057</v>
      </c>
    </row>
    <row r="1938" spans="1:1" ht="15.75" thickBot="1" x14ac:dyDescent="0.3">
      <c r="A1938" s="118">
        <v>3831065</v>
      </c>
    </row>
    <row r="1939" spans="1:1" ht="15.75" thickBot="1" x14ac:dyDescent="0.3">
      <c r="A1939" s="118">
        <v>3831073</v>
      </c>
    </row>
    <row r="1940" spans="1:1" ht="15.75" thickBot="1" x14ac:dyDescent="0.3">
      <c r="A1940" s="118">
        <v>3831081</v>
      </c>
    </row>
    <row r="1941" spans="1:1" ht="15.75" thickBot="1" x14ac:dyDescent="0.3">
      <c r="A1941" s="118">
        <v>3831096</v>
      </c>
    </row>
    <row r="1942" spans="1:1" ht="15.75" thickBot="1" x14ac:dyDescent="0.3">
      <c r="A1942" s="118">
        <v>3831107</v>
      </c>
    </row>
    <row r="1943" spans="1:1" ht="15.75" thickBot="1" x14ac:dyDescent="0.3">
      <c r="A1943" s="118">
        <v>3831115</v>
      </c>
    </row>
    <row r="1944" spans="1:1" ht="15.75" thickBot="1" x14ac:dyDescent="0.3">
      <c r="A1944" s="118">
        <v>3831123</v>
      </c>
    </row>
    <row r="1945" spans="1:1" ht="15.75" thickBot="1" x14ac:dyDescent="0.3">
      <c r="A1945" s="118">
        <v>3831131</v>
      </c>
    </row>
    <row r="1946" spans="1:1" ht="15.75" thickBot="1" x14ac:dyDescent="0.3">
      <c r="A1946" s="118">
        <v>3831146</v>
      </c>
    </row>
    <row r="1947" spans="1:1" ht="15.75" thickBot="1" x14ac:dyDescent="0.3">
      <c r="A1947" s="118">
        <v>3831154</v>
      </c>
    </row>
    <row r="1948" spans="1:1" ht="15.75" thickBot="1" x14ac:dyDescent="0.3">
      <c r="A1948" s="118">
        <v>3831162</v>
      </c>
    </row>
    <row r="1949" spans="1:1" ht="15.75" thickBot="1" x14ac:dyDescent="0.3">
      <c r="A1949" s="118">
        <v>3831177</v>
      </c>
    </row>
    <row r="1950" spans="1:1" ht="15.75" thickBot="1" x14ac:dyDescent="0.3">
      <c r="A1950" s="118">
        <v>3831185</v>
      </c>
    </row>
    <row r="1951" spans="1:1" ht="15.75" thickBot="1" x14ac:dyDescent="0.3">
      <c r="A1951" s="118">
        <v>3831193</v>
      </c>
    </row>
    <row r="1952" spans="1:1" ht="15.75" thickBot="1" x14ac:dyDescent="0.3">
      <c r="A1952" s="118">
        <v>3831204</v>
      </c>
    </row>
    <row r="1953" spans="1:1" ht="15.75" thickBot="1" x14ac:dyDescent="0.3">
      <c r="A1953" s="118">
        <v>3832014</v>
      </c>
    </row>
    <row r="1954" spans="1:1" ht="15.75" thickBot="1" x14ac:dyDescent="0.3">
      <c r="A1954" s="118">
        <v>3832022</v>
      </c>
    </row>
    <row r="1955" spans="1:1" ht="15.75" thickBot="1" x14ac:dyDescent="0.3">
      <c r="A1955" s="118">
        <v>3832037</v>
      </c>
    </row>
    <row r="1956" spans="1:1" ht="15.75" thickBot="1" x14ac:dyDescent="0.3">
      <c r="A1956" s="118">
        <v>3832045</v>
      </c>
    </row>
    <row r="1957" spans="1:1" ht="15.75" thickBot="1" x14ac:dyDescent="0.3">
      <c r="A1957" s="118">
        <v>3832053</v>
      </c>
    </row>
    <row r="1958" spans="1:1" ht="15.75" thickBot="1" x14ac:dyDescent="0.3">
      <c r="A1958" s="118">
        <v>3832061</v>
      </c>
    </row>
    <row r="1959" spans="1:1" ht="15.75" thickBot="1" x14ac:dyDescent="0.3">
      <c r="A1959" s="118">
        <v>3832076</v>
      </c>
    </row>
    <row r="1960" spans="1:1" ht="15.75" thickBot="1" x14ac:dyDescent="0.3">
      <c r="A1960" s="118">
        <v>3832084</v>
      </c>
    </row>
    <row r="1961" spans="1:1" ht="15.75" thickBot="1" x14ac:dyDescent="0.3">
      <c r="A1961" s="118">
        <v>3832092</v>
      </c>
    </row>
    <row r="1962" spans="1:1" ht="15.75" thickBot="1" x14ac:dyDescent="0.3">
      <c r="A1962" s="118">
        <v>3832103</v>
      </c>
    </row>
    <row r="1963" spans="1:1" ht="15.75" thickBot="1" x14ac:dyDescent="0.3">
      <c r="A1963" s="118">
        <v>3832111</v>
      </c>
    </row>
    <row r="1964" spans="1:1" ht="15.75" thickBot="1" x14ac:dyDescent="0.3">
      <c r="A1964" s="118">
        <v>3832126</v>
      </c>
    </row>
    <row r="1965" spans="1:1" ht="15.75" thickBot="1" x14ac:dyDescent="0.3">
      <c r="A1965" s="118">
        <v>3832134</v>
      </c>
    </row>
    <row r="1966" spans="1:1" ht="15.75" thickBot="1" x14ac:dyDescent="0.3">
      <c r="A1966" s="118">
        <v>3832142</v>
      </c>
    </row>
    <row r="1967" spans="1:1" ht="15.75" thickBot="1" x14ac:dyDescent="0.3">
      <c r="A1967" s="118">
        <v>3832157</v>
      </c>
    </row>
    <row r="1968" spans="1:1" ht="15.75" thickBot="1" x14ac:dyDescent="0.3">
      <c r="A1968" s="119">
        <v>3832165</v>
      </c>
    </row>
    <row r="1969" spans="1:1" ht="16.5" thickTop="1" thickBot="1" x14ac:dyDescent="0.3">
      <c r="A1969" s="118">
        <v>3832173</v>
      </c>
    </row>
    <row r="1970" spans="1:1" ht="15.75" thickBot="1" x14ac:dyDescent="0.3">
      <c r="A1970" s="118">
        <v>3832181</v>
      </c>
    </row>
    <row r="1971" spans="1:1" ht="15.75" thickBot="1" x14ac:dyDescent="0.3">
      <c r="A1971" s="118">
        <v>3832196</v>
      </c>
    </row>
    <row r="1972" spans="1:1" ht="15.75" thickBot="1" x14ac:dyDescent="0.3">
      <c r="A1972" s="118">
        <v>3832207</v>
      </c>
    </row>
    <row r="1973" spans="1:1" ht="15.75" thickBot="1" x14ac:dyDescent="0.3">
      <c r="A1973" s="118">
        <v>3832215</v>
      </c>
    </row>
    <row r="1974" spans="1:1" ht="15.75" thickBot="1" x14ac:dyDescent="0.3">
      <c r="A1974" s="118">
        <v>3832223</v>
      </c>
    </row>
    <row r="1975" spans="1:1" ht="15.75" thickBot="1" x14ac:dyDescent="0.3">
      <c r="A1975" s="118">
        <v>3832246</v>
      </c>
    </row>
    <row r="1976" spans="1:1" ht="15.75" thickBot="1" x14ac:dyDescent="0.3">
      <c r="A1976" s="118">
        <v>3832254</v>
      </c>
    </row>
    <row r="1977" spans="1:1" ht="15.75" thickBot="1" x14ac:dyDescent="0.3">
      <c r="A1977" s="118">
        <v>3832262</v>
      </c>
    </row>
    <row r="1978" spans="1:1" ht="15.75" thickBot="1" x14ac:dyDescent="0.3">
      <c r="A1978" s="118">
        <v>3832277</v>
      </c>
    </row>
    <row r="1979" spans="1:1" ht="15.75" thickBot="1" x14ac:dyDescent="0.3">
      <c r="A1979" s="118">
        <v>3832285</v>
      </c>
    </row>
    <row r="1980" spans="1:1" ht="15.75" thickBot="1" x14ac:dyDescent="0.3">
      <c r="A1980" s="118">
        <v>3832293</v>
      </c>
    </row>
    <row r="1981" spans="1:1" ht="15.75" thickBot="1" x14ac:dyDescent="0.3">
      <c r="A1981" s="119">
        <v>3832304</v>
      </c>
    </row>
    <row r="1982" spans="1:1" ht="16.5" thickTop="1" thickBot="1" x14ac:dyDescent="0.3">
      <c r="A1982" s="118">
        <v>3832312</v>
      </c>
    </row>
    <row r="1983" spans="1:1" ht="15.75" thickBot="1" x14ac:dyDescent="0.3">
      <c r="A1983" s="118">
        <v>3832327</v>
      </c>
    </row>
    <row r="1984" spans="1:1" ht="15.75" thickBot="1" x14ac:dyDescent="0.3">
      <c r="A1984" s="118">
        <v>3832335</v>
      </c>
    </row>
    <row r="1985" spans="1:1" ht="15.75" thickBot="1" x14ac:dyDescent="0.3">
      <c r="A1985" s="118">
        <v>3832343</v>
      </c>
    </row>
    <row r="1986" spans="1:1" ht="15.75" thickBot="1" x14ac:dyDescent="0.3">
      <c r="A1986" s="118">
        <v>3832351</v>
      </c>
    </row>
    <row r="1987" spans="1:1" ht="15.75" thickBot="1" x14ac:dyDescent="0.3">
      <c r="A1987" s="118">
        <v>3832366</v>
      </c>
    </row>
    <row r="1988" spans="1:1" ht="15.75" thickBot="1" x14ac:dyDescent="0.3">
      <c r="A1988" s="118">
        <v>3832374</v>
      </c>
    </row>
    <row r="1989" spans="1:1" ht="15.75" thickBot="1" x14ac:dyDescent="0.3">
      <c r="A1989" s="118">
        <v>3832382</v>
      </c>
    </row>
    <row r="1990" spans="1:1" ht="15.75" thickBot="1" x14ac:dyDescent="0.3">
      <c r="A1990" s="118">
        <v>3832397</v>
      </c>
    </row>
    <row r="1991" spans="1:1" ht="15.75" thickBot="1" x14ac:dyDescent="0.3">
      <c r="A1991" s="118">
        <v>3832401</v>
      </c>
    </row>
    <row r="1992" spans="1:1" ht="15.75" thickBot="1" x14ac:dyDescent="0.3">
      <c r="A1992" s="118">
        <v>3832416</v>
      </c>
    </row>
    <row r="1993" spans="1:1" ht="15.75" thickBot="1" x14ac:dyDescent="0.3">
      <c r="A1993" s="118">
        <v>3832424</v>
      </c>
    </row>
    <row r="1994" spans="1:1" ht="15.75" thickBot="1" x14ac:dyDescent="0.3">
      <c r="A1994" s="119">
        <v>3832432</v>
      </c>
    </row>
    <row r="1995" spans="1:1" ht="16.5" thickTop="1" thickBot="1" x14ac:dyDescent="0.3">
      <c r="A1995" s="118">
        <v>3832447</v>
      </c>
    </row>
    <row r="1996" spans="1:1" ht="15.75" thickBot="1" x14ac:dyDescent="0.3">
      <c r="A1996" s="118">
        <v>3841013</v>
      </c>
    </row>
    <row r="1997" spans="1:1" ht="15.75" thickBot="1" x14ac:dyDescent="0.3">
      <c r="A1997" s="118">
        <v>3841021</v>
      </c>
    </row>
    <row r="1998" spans="1:1" ht="15.75" thickBot="1" x14ac:dyDescent="0.3">
      <c r="A1998" s="118">
        <v>3841036</v>
      </c>
    </row>
    <row r="1999" spans="1:1" ht="15.75" thickBot="1" x14ac:dyDescent="0.3">
      <c r="A1999" s="118">
        <v>3841044</v>
      </c>
    </row>
    <row r="2000" spans="1:1" ht="15.75" thickBot="1" x14ac:dyDescent="0.3">
      <c r="A2000" s="118">
        <v>3841052</v>
      </c>
    </row>
    <row r="2001" spans="1:1" ht="15.75" thickBot="1" x14ac:dyDescent="0.3">
      <c r="A2001" s="118">
        <v>3841067</v>
      </c>
    </row>
    <row r="2002" spans="1:1" ht="15.75" thickBot="1" x14ac:dyDescent="0.3">
      <c r="A2002" s="118">
        <v>3841075</v>
      </c>
    </row>
    <row r="2003" spans="1:1" ht="15.75" thickBot="1" x14ac:dyDescent="0.3">
      <c r="A2003" s="118">
        <v>3841083</v>
      </c>
    </row>
    <row r="2004" spans="1:1" ht="15.75" thickBot="1" x14ac:dyDescent="0.3">
      <c r="A2004" s="118">
        <v>3841091</v>
      </c>
    </row>
    <row r="2005" spans="1:1" ht="15.75" thickBot="1" x14ac:dyDescent="0.3">
      <c r="A2005" s="119">
        <v>3841102</v>
      </c>
    </row>
    <row r="2006" spans="1:1" ht="16.5" thickTop="1" thickBot="1" x14ac:dyDescent="0.3">
      <c r="A2006" s="118">
        <v>3841117</v>
      </c>
    </row>
    <row r="2007" spans="1:1" ht="15.75" thickBot="1" x14ac:dyDescent="0.3">
      <c r="A2007" s="118">
        <v>3841125</v>
      </c>
    </row>
    <row r="2008" spans="1:1" ht="15.75" thickBot="1" x14ac:dyDescent="0.3">
      <c r="A2008" s="118">
        <v>3841133</v>
      </c>
    </row>
    <row r="2009" spans="1:1" ht="15.75" thickBot="1" x14ac:dyDescent="0.3">
      <c r="A2009" s="118">
        <v>3842016</v>
      </c>
    </row>
    <row r="2010" spans="1:1" ht="15.75" thickBot="1" x14ac:dyDescent="0.3">
      <c r="A2010" s="118">
        <v>3842024</v>
      </c>
    </row>
    <row r="2011" spans="1:1" ht="15.75" thickBot="1" x14ac:dyDescent="0.3">
      <c r="A2011" s="118">
        <v>3842032</v>
      </c>
    </row>
    <row r="2012" spans="1:1" ht="15.75" thickBot="1" x14ac:dyDescent="0.3">
      <c r="A2012" s="118">
        <v>3842047</v>
      </c>
    </row>
    <row r="2013" spans="1:1" ht="15.75" thickBot="1" x14ac:dyDescent="0.3">
      <c r="A2013" s="119">
        <v>3842055</v>
      </c>
    </row>
    <row r="2014" spans="1:1" ht="16.5" thickTop="1" thickBot="1" x14ac:dyDescent="0.3">
      <c r="A2014" s="118">
        <v>3842063</v>
      </c>
    </row>
    <row r="2015" spans="1:1" ht="15.75" thickBot="1" x14ac:dyDescent="0.3">
      <c r="A2015" s="118">
        <v>3842071</v>
      </c>
    </row>
    <row r="2016" spans="1:1" ht="15.75" thickBot="1" x14ac:dyDescent="0.3">
      <c r="A2016" s="118">
        <v>3842086</v>
      </c>
    </row>
    <row r="2017" spans="1:1" ht="15.75" thickBot="1" x14ac:dyDescent="0.3">
      <c r="A2017" s="118">
        <v>3842094</v>
      </c>
    </row>
    <row r="2018" spans="1:1" ht="15.75" thickBot="1" x14ac:dyDescent="0.3">
      <c r="A2018" s="118">
        <v>3842105</v>
      </c>
    </row>
    <row r="2019" spans="1:1" ht="15.75" thickBot="1" x14ac:dyDescent="0.3">
      <c r="A2019" s="118">
        <v>3842113</v>
      </c>
    </row>
    <row r="2020" spans="1:1" ht="15.75" thickBot="1" x14ac:dyDescent="0.3">
      <c r="A2020" s="118">
        <v>3842121</v>
      </c>
    </row>
    <row r="2021" spans="1:1" ht="15.75" thickBot="1" x14ac:dyDescent="0.3">
      <c r="A2021" s="118">
        <v>3842136</v>
      </c>
    </row>
    <row r="2022" spans="1:1" ht="15.75" thickBot="1" x14ac:dyDescent="0.3">
      <c r="A2022" s="120">
        <v>3851015</v>
      </c>
    </row>
    <row r="2023" spans="1:1" ht="15.75" thickBot="1" x14ac:dyDescent="0.3">
      <c r="A2023" s="120">
        <v>3851023</v>
      </c>
    </row>
    <row r="2024" spans="1:1" ht="15.75" thickBot="1" x14ac:dyDescent="0.3">
      <c r="A2024" s="120">
        <v>3851031</v>
      </c>
    </row>
    <row r="2025" spans="1:1" ht="15.75" thickBot="1" x14ac:dyDescent="0.3">
      <c r="A2025" s="120">
        <v>3851046</v>
      </c>
    </row>
    <row r="2026" spans="1:1" ht="15.75" thickBot="1" x14ac:dyDescent="0.3">
      <c r="A2026" s="127">
        <v>3851054</v>
      </c>
    </row>
    <row r="2027" spans="1:1" ht="15.75" thickBot="1" x14ac:dyDescent="0.3">
      <c r="A2027" s="120">
        <v>3851062</v>
      </c>
    </row>
    <row r="2028" spans="1:1" ht="15.75" thickBot="1" x14ac:dyDescent="0.3">
      <c r="A2028" s="120">
        <v>3851077</v>
      </c>
    </row>
    <row r="2029" spans="1:1" ht="15.75" thickBot="1" x14ac:dyDescent="0.3">
      <c r="A2029" s="120">
        <v>3851085</v>
      </c>
    </row>
    <row r="2030" spans="1:1" ht="15.75" thickBot="1" x14ac:dyDescent="0.3">
      <c r="A2030" s="120">
        <v>3851093</v>
      </c>
    </row>
    <row r="2031" spans="1:1" ht="15.75" thickBot="1" x14ac:dyDescent="0.3">
      <c r="A2031" s="120">
        <v>3851104</v>
      </c>
    </row>
    <row r="2032" spans="1:1" ht="15.75" thickBot="1" x14ac:dyDescent="0.3">
      <c r="A2032" s="123">
        <v>3851112</v>
      </c>
    </row>
    <row r="2033" spans="1:1" ht="16.5" thickTop="1" thickBot="1" x14ac:dyDescent="0.3">
      <c r="A2033" s="118">
        <v>3852011</v>
      </c>
    </row>
    <row r="2034" spans="1:1" ht="15.75" thickBot="1" x14ac:dyDescent="0.3">
      <c r="A2034" s="118">
        <v>3852026</v>
      </c>
    </row>
    <row r="2035" spans="1:1" ht="15.75" thickBot="1" x14ac:dyDescent="0.3">
      <c r="A2035" s="118">
        <v>3852034</v>
      </c>
    </row>
    <row r="2036" spans="1:1" ht="15.75" thickBot="1" x14ac:dyDescent="0.3">
      <c r="A2036" s="118">
        <v>3852042</v>
      </c>
    </row>
    <row r="2037" spans="1:1" ht="15.75" thickBot="1" x14ac:dyDescent="0.3">
      <c r="A2037" s="118">
        <v>3852057</v>
      </c>
    </row>
    <row r="2038" spans="1:1" ht="15.75" thickBot="1" x14ac:dyDescent="0.3">
      <c r="A2038" s="118">
        <v>3852065</v>
      </c>
    </row>
    <row r="2039" spans="1:1" ht="15.75" thickBot="1" x14ac:dyDescent="0.3">
      <c r="A2039" s="118">
        <v>3852073</v>
      </c>
    </row>
    <row r="2040" spans="1:1" ht="15.75" thickBot="1" x14ac:dyDescent="0.3">
      <c r="A2040" s="118">
        <v>3852081</v>
      </c>
    </row>
    <row r="2041" spans="1:1" ht="15.75" thickBot="1" x14ac:dyDescent="0.3">
      <c r="A2041" s="118">
        <v>3861017</v>
      </c>
    </row>
    <row r="2042" spans="1:1" ht="15.75" thickBot="1" x14ac:dyDescent="0.3">
      <c r="A2042" s="118">
        <v>3861025</v>
      </c>
    </row>
    <row r="2043" spans="1:1" ht="15.75" thickBot="1" x14ac:dyDescent="0.3">
      <c r="A2043" s="118">
        <v>3861033</v>
      </c>
    </row>
    <row r="2044" spans="1:1" ht="15.75" thickBot="1" x14ac:dyDescent="0.3">
      <c r="A2044" s="118">
        <v>3861041</v>
      </c>
    </row>
    <row r="2045" spans="1:1" ht="15.75" thickBot="1" x14ac:dyDescent="0.3">
      <c r="A2045" s="118">
        <v>3861056</v>
      </c>
    </row>
    <row r="2046" spans="1:1" ht="15.75" thickBot="1" x14ac:dyDescent="0.3">
      <c r="A2046" s="118">
        <v>3861064</v>
      </c>
    </row>
    <row r="2047" spans="1:1" ht="15.75" thickBot="1" x14ac:dyDescent="0.3">
      <c r="A2047" s="118">
        <v>3861072</v>
      </c>
    </row>
    <row r="2048" spans="1:1" ht="15.75" thickBot="1" x14ac:dyDescent="0.3">
      <c r="A2048" s="118">
        <v>3861087</v>
      </c>
    </row>
    <row r="2049" spans="1:1" ht="15.75" thickBot="1" x14ac:dyDescent="0.3">
      <c r="A2049" s="118">
        <v>3862013</v>
      </c>
    </row>
    <row r="2050" spans="1:1" ht="15.75" thickBot="1" x14ac:dyDescent="0.3">
      <c r="A2050" s="118">
        <v>3862052</v>
      </c>
    </row>
    <row r="2051" spans="1:1" ht="15.75" thickBot="1" x14ac:dyDescent="0.3">
      <c r="A2051" s="119">
        <v>3862067</v>
      </c>
    </row>
    <row r="2052" spans="1:1" ht="16.5" thickTop="1" thickBot="1" x14ac:dyDescent="0.3">
      <c r="A2052" s="118">
        <v>3862075</v>
      </c>
    </row>
    <row r="2053" spans="1:1" ht="15.75" thickBot="1" x14ac:dyDescent="0.3">
      <c r="A2053" s="118">
        <v>3862237</v>
      </c>
    </row>
    <row r="2054" spans="1:1" ht="15.75" thickBot="1" x14ac:dyDescent="0.3">
      <c r="A2054" s="118">
        <v>3862245</v>
      </c>
    </row>
    <row r="2055" spans="1:1" ht="15.75" thickBot="1" x14ac:dyDescent="0.3">
      <c r="A2055" s="118">
        <v>3862253</v>
      </c>
    </row>
    <row r="2056" spans="1:1" ht="15.75" thickBot="1" x14ac:dyDescent="0.3">
      <c r="A2056" s="118">
        <v>3862261</v>
      </c>
    </row>
    <row r="2057" spans="1:1" ht="15.75" thickBot="1" x14ac:dyDescent="0.3">
      <c r="A2057" s="118">
        <v>3862276</v>
      </c>
    </row>
    <row r="2058" spans="1:1" ht="15.75" thickBot="1" x14ac:dyDescent="0.3">
      <c r="A2058" s="118">
        <v>3862284</v>
      </c>
    </row>
    <row r="2059" spans="1:1" ht="15.75" thickBot="1" x14ac:dyDescent="0.3">
      <c r="A2059" s="118">
        <v>3862311</v>
      </c>
    </row>
    <row r="2060" spans="1:1" ht="15.75" thickBot="1" x14ac:dyDescent="0.3">
      <c r="A2060" s="118">
        <v>3862326</v>
      </c>
    </row>
    <row r="2061" spans="1:1" ht="15.75" thickBot="1" x14ac:dyDescent="0.3">
      <c r="A2061" s="119">
        <v>5111022</v>
      </c>
    </row>
    <row r="2062" spans="1:1" ht="16.5" thickTop="1" thickBot="1" x14ac:dyDescent="0.3">
      <c r="A2062" s="118">
        <v>5111045</v>
      </c>
    </row>
    <row r="2063" spans="1:1" ht="15.75" thickBot="1" x14ac:dyDescent="0.3">
      <c r="A2063" s="118">
        <v>5111053</v>
      </c>
    </row>
    <row r="2064" spans="1:1" ht="15.75" thickBot="1" x14ac:dyDescent="0.3">
      <c r="A2064" s="118">
        <v>5111061</v>
      </c>
    </row>
    <row r="2065" spans="1:1" ht="15.75" thickBot="1" x14ac:dyDescent="0.3">
      <c r="A2065" s="118">
        <v>5111076</v>
      </c>
    </row>
    <row r="2066" spans="1:1" ht="15.75" thickBot="1" x14ac:dyDescent="0.3">
      <c r="A2066" s="118">
        <v>5111084</v>
      </c>
    </row>
    <row r="2067" spans="1:1" ht="15.75" thickBot="1" x14ac:dyDescent="0.3">
      <c r="A2067" s="118">
        <v>5111092</v>
      </c>
    </row>
    <row r="2068" spans="1:1" ht="15.75" thickBot="1" x14ac:dyDescent="0.3">
      <c r="A2068" s="118">
        <v>5111103</v>
      </c>
    </row>
    <row r="2069" spans="1:1" ht="15.75" thickBot="1" x14ac:dyDescent="0.3">
      <c r="A2069" s="118">
        <v>5111111</v>
      </c>
    </row>
    <row r="2070" spans="1:1" ht="15.75" thickBot="1" x14ac:dyDescent="0.3">
      <c r="A2070" s="118">
        <v>5111126</v>
      </c>
    </row>
    <row r="2071" spans="1:1" ht="15.75" thickBot="1" x14ac:dyDescent="0.3">
      <c r="A2071" s="118">
        <v>5111134</v>
      </c>
    </row>
    <row r="2072" spans="1:1" ht="15.75" thickBot="1" x14ac:dyDescent="0.3">
      <c r="A2072" s="118">
        <v>5111165</v>
      </c>
    </row>
    <row r="2073" spans="1:1" ht="15.75" thickBot="1" x14ac:dyDescent="0.3">
      <c r="A2073" s="118">
        <v>5111173</v>
      </c>
    </row>
    <row r="2074" spans="1:1" ht="15.75" thickBot="1" x14ac:dyDescent="0.3">
      <c r="A2074" s="118">
        <v>5111181</v>
      </c>
    </row>
    <row r="2075" spans="1:1" ht="15.75" thickBot="1" x14ac:dyDescent="0.3">
      <c r="A2075" s="118">
        <v>5111196</v>
      </c>
    </row>
    <row r="2076" spans="1:1" ht="15.75" thickBot="1" x14ac:dyDescent="0.3">
      <c r="A2076" s="118">
        <v>5111207</v>
      </c>
    </row>
    <row r="2077" spans="1:1" ht="15.75" thickBot="1" x14ac:dyDescent="0.3">
      <c r="A2077" s="119">
        <v>5111215</v>
      </c>
    </row>
    <row r="2078" spans="1:1" ht="16.5" thickTop="1" thickBot="1" x14ac:dyDescent="0.3">
      <c r="A2078" s="118">
        <v>5111223</v>
      </c>
    </row>
    <row r="2079" spans="1:1" ht="15.75" thickBot="1" x14ac:dyDescent="0.3">
      <c r="A2079" s="118">
        <v>5111231</v>
      </c>
    </row>
    <row r="2080" spans="1:1" ht="15.75" thickBot="1" x14ac:dyDescent="0.3">
      <c r="A2080" s="118">
        <v>5111246</v>
      </c>
    </row>
    <row r="2081" spans="1:1" ht="15.75" thickBot="1" x14ac:dyDescent="0.3">
      <c r="A2081" s="118">
        <v>5111254</v>
      </c>
    </row>
    <row r="2082" spans="1:1" ht="15.75" thickBot="1" x14ac:dyDescent="0.3">
      <c r="A2082" s="118">
        <v>5111262</v>
      </c>
    </row>
    <row r="2083" spans="1:1" ht="15.75" thickBot="1" x14ac:dyDescent="0.3">
      <c r="A2083" s="118">
        <v>5111277</v>
      </c>
    </row>
    <row r="2084" spans="1:1" ht="15.75" thickBot="1" x14ac:dyDescent="0.3">
      <c r="A2084" s="118">
        <v>5111285</v>
      </c>
    </row>
    <row r="2085" spans="1:1" ht="15.75" thickBot="1" x14ac:dyDescent="0.3">
      <c r="A2085" s="118">
        <v>5111293</v>
      </c>
    </row>
    <row r="2086" spans="1:1" ht="15.75" thickBot="1" x14ac:dyDescent="0.3">
      <c r="A2086" s="118">
        <v>5111304</v>
      </c>
    </row>
    <row r="2087" spans="1:1" ht="15.75" thickBot="1" x14ac:dyDescent="0.3">
      <c r="A2087" s="118">
        <v>5111312</v>
      </c>
    </row>
    <row r="2088" spans="1:1" ht="15.75" thickBot="1" x14ac:dyDescent="0.3">
      <c r="A2088" s="118">
        <v>5111327</v>
      </c>
    </row>
    <row r="2089" spans="1:1" ht="15.75" thickBot="1" x14ac:dyDescent="0.3">
      <c r="A2089" s="118">
        <v>5111335</v>
      </c>
    </row>
    <row r="2090" spans="1:1" ht="15.75" thickBot="1" x14ac:dyDescent="0.3">
      <c r="A2090" s="118">
        <v>5111343</v>
      </c>
    </row>
    <row r="2091" spans="1:1" ht="15.75" thickBot="1" x14ac:dyDescent="0.3">
      <c r="A2091" s="118">
        <v>5111351</v>
      </c>
    </row>
    <row r="2092" spans="1:1" ht="15.75" thickBot="1" x14ac:dyDescent="0.3">
      <c r="A2092" s="118">
        <v>5111366</v>
      </c>
    </row>
    <row r="2093" spans="1:1" ht="15.75" thickBot="1" x14ac:dyDescent="0.3">
      <c r="A2093" s="118">
        <v>5111374</v>
      </c>
    </row>
    <row r="2094" spans="1:1" ht="15.75" thickBot="1" x14ac:dyDescent="0.3">
      <c r="A2094" s="118">
        <v>5112017</v>
      </c>
    </row>
    <row r="2095" spans="1:1" ht="15.75" thickBot="1" x14ac:dyDescent="0.3">
      <c r="A2095" s="118">
        <v>5112025</v>
      </c>
    </row>
    <row r="2096" spans="1:1" ht="15.75" thickBot="1" x14ac:dyDescent="0.3">
      <c r="A2096" s="118">
        <v>5112033</v>
      </c>
    </row>
    <row r="2097" spans="1:1" ht="15.75" thickBot="1" x14ac:dyDescent="0.3">
      <c r="A2097" s="118">
        <v>5112041</v>
      </c>
    </row>
    <row r="2098" spans="1:1" ht="15.75" thickBot="1" x14ac:dyDescent="0.3">
      <c r="A2098" s="119">
        <v>5112056</v>
      </c>
    </row>
    <row r="2099" spans="1:1" ht="16.5" thickTop="1" thickBot="1" x14ac:dyDescent="0.3">
      <c r="A2099" s="118">
        <v>5112064</v>
      </c>
    </row>
    <row r="2100" spans="1:1" ht="15.75" thickBot="1" x14ac:dyDescent="0.3">
      <c r="A2100" s="118">
        <v>5112072</v>
      </c>
    </row>
    <row r="2101" spans="1:1" ht="15.75" thickBot="1" x14ac:dyDescent="0.3">
      <c r="A2101" s="118">
        <v>5112087</v>
      </c>
    </row>
    <row r="2102" spans="1:1" ht="15.75" thickBot="1" x14ac:dyDescent="0.3">
      <c r="A2102" s="118">
        <v>5112095</v>
      </c>
    </row>
    <row r="2103" spans="1:1" ht="15.75" thickBot="1" x14ac:dyDescent="0.3">
      <c r="A2103" s="118">
        <v>5112106</v>
      </c>
    </row>
    <row r="2104" spans="1:1" ht="15.75" thickBot="1" x14ac:dyDescent="0.3">
      <c r="A2104" s="118">
        <v>5112114</v>
      </c>
    </row>
    <row r="2105" spans="1:1" ht="15.75" thickBot="1" x14ac:dyDescent="0.3">
      <c r="A2105" s="118">
        <v>5112122</v>
      </c>
    </row>
    <row r="2106" spans="1:1" ht="15.75" thickBot="1" x14ac:dyDescent="0.3">
      <c r="A2106" s="118">
        <v>5112137</v>
      </c>
    </row>
    <row r="2107" spans="1:1" ht="15.75" thickBot="1" x14ac:dyDescent="0.3">
      <c r="A2107" s="118">
        <v>5112145</v>
      </c>
    </row>
    <row r="2108" spans="1:1" ht="15.75" thickBot="1" x14ac:dyDescent="0.3">
      <c r="A2108" s="118">
        <v>5112153</v>
      </c>
    </row>
    <row r="2109" spans="1:1" ht="15.75" thickBot="1" x14ac:dyDescent="0.3">
      <c r="A2109" s="118">
        <v>5112161</v>
      </c>
    </row>
    <row r="2110" spans="1:1" ht="15.75" thickBot="1" x14ac:dyDescent="0.3">
      <c r="A2110" s="118">
        <v>5112176</v>
      </c>
    </row>
    <row r="2111" spans="1:1" ht="15.75" thickBot="1" x14ac:dyDescent="0.3">
      <c r="A2111" s="118">
        <v>5112184</v>
      </c>
    </row>
    <row r="2112" spans="1:1" ht="15.75" thickBot="1" x14ac:dyDescent="0.3">
      <c r="A2112" s="118">
        <v>5112192</v>
      </c>
    </row>
    <row r="2113" spans="1:1" ht="15.75" thickBot="1" x14ac:dyDescent="0.3">
      <c r="A2113" s="118">
        <v>5112203</v>
      </c>
    </row>
    <row r="2114" spans="1:1" ht="15.75" thickBot="1" x14ac:dyDescent="0.3">
      <c r="A2114" s="118">
        <v>5112211</v>
      </c>
    </row>
    <row r="2115" spans="1:1" ht="15.75" thickBot="1" x14ac:dyDescent="0.3">
      <c r="A2115" s="118">
        <v>5112226</v>
      </c>
    </row>
    <row r="2116" spans="1:1" ht="15.75" thickBot="1" x14ac:dyDescent="0.3">
      <c r="A2116" s="118">
        <v>5112234</v>
      </c>
    </row>
    <row r="2117" spans="1:1" ht="15.75" thickBot="1" x14ac:dyDescent="0.3">
      <c r="A2117" s="118">
        <v>5112242</v>
      </c>
    </row>
    <row r="2118" spans="1:1" ht="15.75" thickBot="1" x14ac:dyDescent="0.3">
      <c r="A2118" s="118">
        <v>5112257</v>
      </c>
    </row>
    <row r="2119" spans="1:1" ht="15.75" thickBot="1" x14ac:dyDescent="0.3">
      <c r="A2119" s="118">
        <v>5112265</v>
      </c>
    </row>
    <row r="2120" spans="1:1" ht="15.75" thickBot="1" x14ac:dyDescent="0.3">
      <c r="A2120" s="118">
        <v>5112273</v>
      </c>
    </row>
    <row r="2121" spans="1:1" ht="15.75" thickBot="1" x14ac:dyDescent="0.3">
      <c r="A2121" s="118">
        <v>5112281</v>
      </c>
    </row>
    <row r="2122" spans="1:1" ht="15.75" thickBot="1" x14ac:dyDescent="0.3">
      <c r="A2122" s="118">
        <v>5112296</v>
      </c>
    </row>
    <row r="2123" spans="1:1" ht="15.75" thickBot="1" x14ac:dyDescent="0.3">
      <c r="A2123" s="118">
        <v>5112307</v>
      </c>
    </row>
    <row r="2124" spans="1:1" ht="15.75" thickBot="1" x14ac:dyDescent="0.3">
      <c r="A2124" s="119">
        <v>5112315</v>
      </c>
    </row>
    <row r="2125" spans="1:1" ht="16.5" thickTop="1" thickBot="1" x14ac:dyDescent="0.3">
      <c r="A2125" s="118">
        <v>5211015</v>
      </c>
    </row>
    <row r="2126" spans="1:1" ht="15.75" thickBot="1" x14ac:dyDescent="0.3">
      <c r="A2126" s="118">
        <v>5211054</v>
      </c>
    </row>
    <row r="2127" spans="1:1" ht="15.75" thickBot="1" x14ac:dyDescent="0.3">
      <c r="A2127" s="118">
        <v>5211062</v>
      </c>
    </row>
    <row r="2128" spans="1:1" ht="15.75" thickBot="1" x14ac:dyDescent="0.3">
      <c r="A2128" s="118">
        <v>5211085</v>
      </c>
    </row>
    <row r="2129" spans="1:1" ht="15.75" thickBot="1" x14ac:dyDescent="0.3">
      <c r="A2129" s="118">
        <v>5211093</v>
      </c>
    </row>
    <row r="2130" spans="1:1" ht="15.75" thickBot="1" x14ac:dyDescent="0.3">
      <c r="A2130" s="118">
        <v>5211104</v>
      </c>
    </row>
    <row r="2131" spans="1:1" ht="15.75" thickBot="1" x14ac:dyDescent="0.3">
      <c r="A2131" s="118">
        <v>5211112</v>
      </c>
    </row>
    <row r="2132" spans="1:1" ht="15.75" thickBot="1" x14ac:dyDescent="0.3">
      <c r="A2132" s="118">
        <v>5211127</v>
      </c>
    </row>
    <row r="2133" spans="1:1" ht="15.75" thickBot="1" x14ac:dyDescent="0.3">
      <c r="A2133" s="118">
        <v>5211135</v>
      </c>
    </row>
    <row r="2134" spans="1:1" ht="15.75" thickBot="1" x14ac:dyDescent="0.3">
      <c r="A2134" s="118">
        <v>5211143</v>
      </c>
    </row>
    <row r="2135" spans="1:1" ht="15.75" thickBot="1" x14ac:dyDescent="0.3">
      <c r="A2135" s="118">
        <v>5211151</v>
      </c>
    </row>
    <row r="2136" spans="1:1" ht="15.75" thickBot="1" x14ac:dyDescent="0.3">
      <c r="A2136" s="118">
        <v>5211166</v>
      </c>
    </row>
    <row r="2137" spans="1:1" ht="15.75" thickBot="1" x14ac:dyDescent="0.3">
      <c r="A2137" s="118">
        <v>5211174</v>
      </c>
    </row>
    <row r="2138" spans="1:1" ht="15.75" thickBot="1" x14ac:dyDescent="0.3">
      <c r="A2138" s="118">
        <v>5211182</v>
      </c>
    </row>
    <row r="2139" spans="1:1" ht="15.75" thickBot="1" x14ac:dyDescent="0.3">
      <c r="A2139" s="118">
        <v>5211197</v>
      </c>
    </row>
    <row r="2140" spans="1:1" ht="15.75" thickBot="1" x14ac:dyDescent="0.3">
      <c r="A2140" s="118">
        <v>5211201</v>
      </c>
    </row>
    <row r="2141" spans="1:1" ht="15.75" thickBot="1" x14ac:dyDescent="0.3">
      <c r="A2141" s="118">
        <v>5211216</v>
      </c>
    </row>
    <row r="2142" spans="1:1" ht="15.75" thickBot="1" x14ac:dyDescent="0.3">
      <c r="A2142" s="118">
        <v>5211224</v>
      </c>
    </row>
    <row r="2143" spans="1:1" ht="15.75" thickBot="1" x14ac:dyDescent="0.3">
      <c r="A2143" s="118">
        <v>5211232</v>
      </c>
    </row>
    <row r="2144" spans="1:1" ht="15.75" thickBot="1" x14ac:dyDescent="0.3">
      <c r="A2144" s="119">
        <v>5211247</v>
      </c>
    </row>
    <row r="2145" spans="1:1" ht="16.5" thickTop="1" thickBot="1" x14ac:dyDescent="0.3">
      <c r="A2145" s="118">
        <v>5211255</v>
      </c>
    </row>
    <row r="2146" spans="1:1" ht="15.75" thickBot="1" x14ac:dyDescent="0.3">
      <c r="A2146" s="118">
        <v>5211263</v>
      </c>
    </row>
    <row r="2147" spans="1:1" ht="15.75" thickBot="1" x14ac:dyDescent="0.3">
      <c r="A2147" s="118">
        <v>5212011</v>
      </c>
    </row>
    <row r="2148" spans="1:1" ht="15.75" thickBot="1" x14ac:dyDescent="0.3">
      <c r="A2148" s="118">
        <v>5212026</v>
      </c>
    </row>
    <row r="2149" spans="1:1" ht="15.75" thickBot="1" x14ac:dyDescent="0.3">
      <c r="A2149" s="118">
        <v>5212034</v>
      </c>
    </row>
    <row r="2150" spans="1:1" ht="15.75" thickBot="1" x14ac:dyDescent="0.3">
      <c r="A2150" s="118">
        <v>5212042</v>
      </c>
    </row>
    <row r="2151" spans="1:1" ht="15.75" thickBot="1" x14ac:dyDescent="0.3">
      <c r="A2151" s="118">
        <v>5212057</v>
      </c>
    </row>
    <row r="2152" spans="1:1" ht="15.75" thickBot="1" x14ac:dyDescent="0.3">
      <c r="A2152" s="118">
        <v>5212065</v>
      </c>
    </row>
    <row r="2153" spans="1:1" ht="15.75" thickBot="1" x14ac:dyDescent="0.3">
      <c r="A2153" s="118">
        <v>5212073</v>
      </c>
    </row>
    <row r="2154" spans="1:1" ht="15.75" thickBot="1" x14ac:dyDescent="0.3">
      <c r="A2154" s="118">
        <v>5212081</v>
      </c>
    </row>
    <row r="2155" spans="1:1" ht="15.75" thickBot="1" x14ac:dyDescent="0.3">
      <c r="A2155" s="118">
        <v>5212096</v>
      </c>
    </row>
    <row r="2156" spans="1:1" ht="15.75" thickBot="1" x14ac:dyDescent="0.3">
      <c r="A2156" s="118">
        <v>5212107</v>
      </c>
    </row>
    <row r="2157" spans="1:1" ht="15.75" thickBot="1" x14ac:dyDescent="0.3">
      <c r="A2157" s="118">
        <v>5212115</v>
      </c>
    </row>
    <row r="2158" spans="1:1" ht="15.75" thickBot="1" x14ac:dyDescent="0.3">
      <c r="A2158" s="118">
        <v>5212123</v>
      </c>
    </row>
    <row r="2159" spans="1:1" ht="15.75" thickBot="1" x14ac:dyDescent="0.3">
      <c r="A2159" s="118">
        <v>5212131</v>
      </c>
    </row>
    <row r="2160" spans="1:1" ht="15.75" thickBot="1" x14ac:dyDescent="0.3">
      <c r="A2160" s="118">
        <v>5212146</v>
      </c>
    </row>
    <row r="2161" spans="1:1" ht="15.75" thickBot="1" x14ac:dyDescent="0.3">
      <c r="A2161" s="118">
        <v>5212154</v>
      </c>
    </row>
    <row r="2162" spans="1:1" ht="15.75" thickBot="1" x14ac:dyDescent="0.3">
      <c r="A2162" s="118">
        <v>5212162</v>
      </c>
    </row>
    <row r="2163" spans="1:1" ht="15.75" thickBot="1" x14ac:dyDescent="0.3">
      <c r="A2163" s="118">
        <v>5212185</v>
      </c>
    </row>
    <row r="2164" spans="1:1" ht="15.75" thickBot="1" x14ac:dyDescent="0.3">
      <c r="A2164" s="118">
        <v>5212193</v>
      </c>
    </row>
    <row r="2165" spans="1:1" ht="15.75" thickBot="1" x14ac:dyDescent="0.3">
      <c r="A2165" s="118">
        <v>5212204</v>
      </c>
    </row>
    <row r="2166" spans="1:1" ht="15.75" thickBot="1" x14ac:dyDescent="0.3">
      <c r="A2166" s="119">
        <v>5311016</v>
      </c>
    </row>
    <row r="2167" spans="1:1" ht="16.5" thickTop="1" thickBot="1" x14ac:dyDescent="0.3">
      <c r="A2167" s="118">
        <v>5311024</v>
      </c>
    </row>
    <row r="2168" spans="1:1" ht="15.75" thickBot="1" x14ac:dyDescent="0.3">
      <c r="A2168" s="118">
        <v>5311032</v>
      </c>
    </row>
    <row r="2169" spans="1:1" ht="15.75" thickBot="1" x14ac:dyDescent="0.3">
      <c r="A2169" s="118">
        <v>5311047</v>
      </c>
    </row>
    <row r="2170" spans="1:1" ht="15.75" thickBot="1" x14ac:dyDescent="0.3">
      <c r="A2170" s="118">
        <v>5311055</v>
      </c>
    </row>
    <row r="2171" spans="1:1" ht="15.75" thickBot="1" x14ac:dyDescent="0.3">
      <c r="A2171" s="118">
        <v>5311063</v>
      </c>
    </row>
    <row r="2172" spans="1:1" ht="15.75" thickBot="1" x14ac:dyDescent="0.3">
      <c r="A2172" s="118">
        <v>5311071</v>
      </c>
    </row>
    <row r="2173" spans="1:1" ht="15.75" thickBot="1" x14ac:dyDescent="0.3">
      <c r="A2173" s="118">
        <v>5311113</v>
      </c>
    </row>
    <row r="2174" spans="1:1" ht="15.75" thickBot="1" x14ac:dyDescent="0.3">
      <c r="A2174" s="118">
        <v>5311121</v>
      </c>
    </row>
    <row r="2175" spans="1:1" ht="15.75" thickBot="1" x14ac:dyDescent="0.3">
      <c r="A2175" s="118">
        <v>5311136</v>
      </c>
    </row>
    <row r="2176" spans="1:1" ht="15.75" thickBot="1" x14ac:dyDescent="0.3">
      <c r="A2176" s="118">
        <v>5311144</v>
      </c>
    </row>
    <row r="2177" spans="1:1" ht="15.75" thickBot="1" x14ac:dyDescent="0.3">
      <c r="A2177" s="118">
        <v>5311152</v>
      </c>
    </row>
    <row r="2178" spans="1:1" ht="15.75" thickBot="1" x14ac:dyDescent="0.3">
      <c r="A2178" s="118">
        <v>5311167</v>
      </c>
    </row>
    <row r="2179" spans="1:1" ht="15.75" thickBot="1" x14ac:dyDescent="0.3">
      <c r="A2179" s="119">
        <v>5311175</v>
      </c>
    </row>
    <row r="2180" spans="1:1" ht="16.5" thickTop="1" thickBot="1" x14ac:dyDescent="0.3">
      <c r="A2180" s="118">
        <v>5311183</v>
      </c>
    </row>
    <row r="2181" spans="1:1" ht="15.75" thickBot="1" x14ac:dyDescent="0.3">
      <c r="A2181" s="118">
        <v>5311191</v>
      </c>
    </row>
    <row r="2182" spans="1:1" ht="15.75" thickBot="1" x14ac:dyDescent="0.3">
      <c r="A2182" s="118">
        <v>5311202</v>
      </c>
    </row>
    <row r="2183" spans="1:1" ht="15.75" thickBot="1" x14ac:dyDescent="0.3">
      <c r="A2183" s="118">
        <v>5311217</v>
      </c>
    </row>
    <row r="2184" spans="1:1" ht="15.75" thickBot="1" x14ac:dyDescent="0.3">
      <c r="A2184" s="118">
        <v>5311225</v>
      </c>
    </row>
    <row r="2185" spans="1:1" ht="15.75" thickBot="1" x14ac:dyDescent="0.3">
      <c r="A2185" s="118">
        <v>5311233</v>
      </c>
    </row>
    <row r="2186" spans="1:1" ht="15.75" thickBot="1" x14ac:dyDescent="0.3">
      <c r="A2186" s="118">
        <v>5311241</v>
      </c>
    </row>
    <row r="2187" spans="1:1" ht="15.75" thickBot="1" x14ac:dyDescent="0.3">
      <c r="A2187" s="118">
        <v>5311256</v>
      </c>
    </row>
    <row r="2188" spans="1:1" ht="15.75" thickBot="1" x14ac:dyDescent="0.3">
      <c r="A2188" s="118">
        <v>5311264</v>
      </c>
    </row>
    <row r="2189" spans="1:1" ht="15.75" thickBot="1" x14ac:dyDescent="0.3">
      <c r="A2189" s="118">
        <v>5311272</v>
      </c>
    </row>
    <row r="2190" spans="1:1" ht="15.75" thickBot="1" x14ac:dyDescent="0.3">
      <c r="A2190" s="118">
        <v>5311287</v>
      </c>
    </row>
    <row r="2191" spans="1:1" ht="15.75" thickBot="1" x14ac:dyDescent="0.3">
      <c r="A2191" s="118">
        <v>5311295</v>
      </c>
    </row>
    <row r="2192" spans="1:1" ht="15.75" thickBot="1" x14ac:dyDescent="0.3">
      <c r="A2192" s="118">
        <v>5311306</v>
      </c>
    </row>
    <row r="2193" spans="1:1" ht="15.75" thickBot="1" x14ac:dyDescent="0.3">
      <c r="A2193" s="118">
        <v>5311314</v>
      </c>
    </row>
    <row r="2194" spans="1:1" ht="15.75" thickBot="1" x14ac:dyDescent="0.3">
      <c r="A2194" s="118">
        <v>5311322</v>
      </c>
    </row>
    <row r="2195" spans="1:1" ht="15.75" thickBot="1" x14ac:dyDescent="0.3">
      <c r="A2195" s="118">
        <v>5311337</v>
      </c>
    </row>
    <row r="2196" spans="1:1" ht="15.75" thickBot="1" x14ac:dyDescent="0.3">
      <c r="A2196" s="118">
        <v>5311353</v>
      </c>
    </row>
    <row r="2197" spans="1:1" ht="15.75" thickBot="1" x14ac:dyDescent="0.3">
      <c r="A2197" s="118">
        <v>5311361</v>
      </c>
    </row>
    <row r="2198" spans="1:1" ht="15.75" thickBot="1" x14ac:dyDescent="0.3">
      <c r="A2198" s="118">
        <v>5311376</v>
      </c>
    </row>
    <row r="2199" spans="1:1" ht="15.75" thickBot="1" x14ac:dyDescent="0.3">
      <c r="A2199" s="118">
        <v>5311384</v>
      </c>
    </row>
    <row r="2200" spans="1:1" ht="15.75" thickBot="1" x14ac:dyDescent="0.3">
      <c r="A2200" s="118">
        <v>5311392</v>
      </c>
    </row>
    <row r="2201" spans="1:1" ht="15.75" thickBot="1" x14ac:dyDescent="0.3">
      <c r="A2201" s="118">
        <v>5311403</v>
      </c>
    </row>
    <row r="2202" spans="1:1" ht="15.75" thickBot="1" x14ac:dyDescent="0.3">
      <c r="A2202" s="118">
        <v>5311411</v>
      </c>
    </row>
    <row r="2203" spans="1:1" ht="15.75" thickBot="1" x14ac:dyDescent="0.3">
      <c r="A2203" s="118">
        <v>5311426</v>
      </c>
    </row>
    <row r="2204" spans="1:1" ht="15.75" thickBot="1" x14ac:dyDescent="0.3">
      <c r="A2204" s="118">
        <v>5312012</v>
      </c>
    </row>
    <row r="2205" spans="1:1" ht="15.75" thickBot="1" x14ac:dyDescent="0.3">
      <c r="A2205" s="119">
        <v>5312027</v>
      </c>
    </row>
    <row r="2206" spans="1:1" ht="16.5" thickTop="1" thickBot="1" x14ac:dyDescent="0.3">
      <c r="A2206" s="118">
        <v>5312035</v>
      </c>
    </row>
    <row r="2207" spans="1:1" ht="15.75" thickBot="1" x14ac:dyDescent="0.3">
      <c r="A2207" s="118">
        <v>5312043</v>
      </c>
    </row>
    <row r="2208" spans="1:1" ht="15.75" thickBot="1" x14ac:dyDescent="0.3">
      <c r="A2208" s="118">
        <v>5312051</v>
      </c>
    </row>
    <row r="2209" spans="1:1" ht="15.75" thickBot="1" x14ac:dyDescent="0.3">
      <c r="A2209" s="118">
        <v>5312066</v>
      </c>
    </row>
    <row r="2210" spans="1:1" ht="15.75" thickBot="1" x14ac:dyDescent="0.3">
      <c r="A2210" s="118">
        <v>5312074</v>
      </c>
    </row>
    <row r="2211" spans="1:1" ht="15.75" thickBot="1" x14ac:dyDescent="0.3">
      <c r="A2211" s="118">
        <v>5312082</v>
      </c>
    </row>
    <row r="2212" spans="1:1" ht="15.75" thickBot="1" x14ac:dyDescent="0.3">
      <c r="A2212" s="118">
        <v>5312097</v>
      </c>
    </row>
    <row r="2213" spans="1:1" ht="15.75" thickBot="1" x14ac:dyDescent="0.3">
      <c r="A2213" s="118">
        <v>5312101</v>
      </c>
    </row>
    <row r="2214" spans="1:1" ht="15.75" thickBot="1" x14ac:dyDescent="0.3">
      <c r="A2214" s="118">
        <v>5312116</v>
      </c>
    </row>
    <row r="2215" spans="1:1" ht="15.75" thickBot="1" x14ac:dyDescent="0.3">
      <c r="A2215" s="118">
        <v>5312124</v>
      </c>
    </row>
    <row r="2216" spans="1:1" ht="15.75" thickBot="1" x14ac:dyDescent="0.3">
      <c r="A2216" s="118">
        <v>5312132</v>
      </c>
    </row>
    <row r="2217" spans="1:1" ht="15.75" thickBot="1" x14ac:dyDescent="0.3">
      <c r="A2217" s="118">
        <v>5312147</v>
      </c>
    </row>
    <row r="2218" spans="1:1" ht="15.75" thickBot="1" x14ac:dyDescent="0.3">
      <c r="A2218" s="118">
        <v>5312155</v>
      </c>
    </row>
    <row r="2219" spans="1:1" ht="15.75" thickBot="1" x14ac:dyDescent="0.3">
      <c r="A2219" s="118">
        <v>5312163</v>
      </c>
    </row>
    <row r="2220" spans="1:1" ht="15.75" thickBot="1" x14ac:dyDescent="0.3">
      <c r="A2220" s="118">
        <v>5312171</v>
      </c>
    </row>
    <row r="2221" spans="1:1" ht="15.75" thickBot="1" x14ac:dyDescent="0.3">
      <c r="A2221" s="118">
        <v>5312186</v>
      </c>
    </row>
    <row r="2222" spans="1:1" ht="15.75" thickBot="1" x14ac:dyDescent="0.3">
      <c r="A2222" s="118">
        <v>5312194</v>
      </c>
    </row>
    <row r="2223" spans="1:1" ht="15.75" thickBot="1" x14ac:dyDescent="0.3">
      <c r="A2223" s="118">
        <v>5312205</v>
      </c>
    </row>
    <row r="2224" spans="1:1" ht="15.75" thickBot="1" x14ac:dyDescent="0.3">
      <c r="A2224" s="118">
        <v>5312213</v>
      </c>
    </row>
    <row r="2225" spans="1:1" ht="15.75" thickBot="1" x14ac:dyDescent="0.3">
      <c r="A2225" s="118">
        <v>5312221</v>
      </c>
    </row>
    <row r="2226" spans="1:1" ht="15.75" thickBot="1" x14ac:dyDescent="0.3">
      <c r="A2226" s="119">
        <v>5312236</v>
      </c>
    </row>
    <row r="2227" spans="1:1" ht="16.5" thickTop="1" thickBot="1" x14ac:dyDescent="0.3">
      <c r="A2227" s="118">
        <v>5312244</v>
      </c>
    </row>
    <row r="2228" spans="1:1" ht="15.75" thickBot="1" x14ac:dyDescent="0.3">
      <c r="A2228" s="121">
        <v>5411017</v>
      </c>
    </row>
    <row r="2229" spans="1:1" ht="15.75" thickBot="1" x14ac:dyDescent="0.3">
      <c r="A2229" s="121">
        <v>5411025</v>
      </c>
    </row>
    <row r="2230" spans="1:1" ht="15.75" thickBot="1" x14ac:dyDescent="0.3">
      <c r="A2230" s="121">
        <v>5411033</v>
      </c>
    </row>
    <row r="2231" spans="1:1" ht="15.75" thickBot="1" x14ac:dyDescent="0.3">
      <c r="A2231" s="121">
        <v>5411041</v>
      </c>
    </row>
    <row r="2232" spans="1:1" ht="15.75" thickBot="1" x14ac:dyDescent="0.3">
      <c r="A2232" s="121">
        <v>5411056</v>
      </c>
    </row>
    <row r="2233" spans="1:1" ht="15.75" thickBot="1" x14ac:dyDescent="0.3">
      <c r="A2233" s="121">
        <v>5411064</v>
      </c>
    </row>
    <row r="2234" spans="1:1" ht="15.75" thickBot="1" x14ac:dyDescent="0.3">
      <c r="A2234" s="121">
        <v>5411072</v>
      </c>
    </row>
    <row r="2235" spans="1:1" ht="15.75" thickBot="1" x14ac:dyDescent="0.3">
      <c r="A2235" s="122">
        <v>5411087</v>
      </c>
    </row>
    <row r="2236" spans="1:1" ht="16.5" thickTop="1" thickBot="1" x14ac:dyDescent="0.3">
      <c r="A2236" s="121">
        <v>5411095</v>
      </c>
    </row>
    <row r="2237" spans="1:1" ht="15.75" thickBot="1" x14ac:dyDescent="0.3">
      <c r="A2237" s="121">
        <v>5411106</v>
      </c>
    </row>
    <row r="2238" spans="1:1" ht="15.75" thickBot="1" x14ac:dyDescent="0.3">
      <c r="A2238" s="121">
        <v>5411114</v>
      </c>
    </row>
    <row r="2239" spans="1:1" ht="15.75" thickBot="1" x14ac:dyDescent="0.3">
      <c r="A2239" s="121">
        <v>5411122</v>
      </c>
    </row>
    <row r="2240" spans="1:1" ht="15.75" thickBot="1" x14ac:dyDescent="0.3">
      <c r="A2240" s="121">
        <v>5411137</v>
      </c>
    </row>
    <row r="2241" spans="1:1" ht="15.75" thickBot="1" x14ac:dyDescent="0.3">
      <c r="A2241" s="122">
        <v>5411145</v>
      </c>
    </row>
    <row r="2242" spans="1:1" ht="16.5" thickTop="1" thickBot="1" x14ac:dyDescent="0.3">
      <c r="A2242" s="121">
        <v>5411153</v>
      </c>
    </row>
    <row r="2243" spans="1:1" ht="15.75" thickBot="1" x14ac:dyDescent="0.3">
      <c r="A2243" s="121">
        <v>5411161</v>
      </c>
    </row>
    <row r="2244" spans="1:1" ht="15.75" thickBot="1" x14ac:dyDescent="0.3">
      <c r="A2244" s="121">
        <v>5411176</v>
      </c>
    </row>
    <row r="2245" spans="1:1" ht="15.75" thickBot="1" x14ac:dyDescent="0.3">
      <c r="A2245" s="121">
        <v>5411184</v>
      </c>
    </row>
    <row r="2246" spans="1:1" ht="15.75" thickBot="1" x14ac:dyDescent="0.3">
      <c r="A2246" s="121">
        <v>5411192</v>
      </c>
    </row>
    <row r="2247" spans="1:1" ht="15.75" thickBot="1" x14ac:dyDescent="0.3">
      <c r="A2247" s="121">
        <v>5411203</v>
      </c>
    </row>
    <row r="2248" spans="1:1" ht="15.75" thickBot="1" x14ac:dyDescent="0.3">
      <c r="A2248" s="121">
        <v>5411211</v>
      </c>
    </row>
    <row r="2249" spans="1:1" ht="15.75" thickBot="1" x14ac:dyDescent="0.3">
      <c r="A2249" s="121">
        <v>5411226</v>
      </c>
    </row>
    <row r="2250" spans="1:1" ht="15.75" thickBot="1" x14ac:dyDescent="0.3">
      <c r="A2250" s="121">
        <v>5411234</v>
      </c>
    </row>
    <row r="2251" spans="1:1" ht="15.75" thickBot="1" x14ac:dyDescent="0.3">
      <c r="A2251" s="121">
        <v>5411242</v>
      </c>
    </row>
    <row r="2252" spans="1:1" ht="15.75" thickBot="1" x14ac:dyDescent="0.3">
      <c r="A2252" s="121">
        <v>5411257</v>
      </c>
    </row>
    <row r="2253" spans="1:1" ht="15.75" thickBot="1" x14ac:dyDescent="0.3">
      <c r="A2253" s="121">
        <v>5411265</v>
      </c>
    </row>
    <row r="2254" spans="1:1" ht="15.75" thickBot="1" x14ac:dyDescent="0.3">
      <c r="A2254" s="121">
        <v>5411281</v>
      </c>
    </row>
    <row r="2255" spans="1:1" ht="15.75" thickBot="1" x14ac:dyDescent="0.3">
      <c r="A2255" s="121">
        <v>5411307</v>
      </c>
    </row>
    <row r="2256" spans="1:1" ht="15.75" thickBot="1" x14ac:dyDescent="0.3">
      <c r="A2256" s="121">
        <v>5411315</v>
      </c>
    </row>
    <row r="2257" spans="1:1" ht="15.75" thickBot="1" x14ac:dyDescent="0.3">
      <c r="A2257" s="121">
        <v>5411323</v>
      </c>
    </row>
    <row r="2258" spans="1:1" ht="15.75" thickBot="1" x14ac:dyDescent="0.3">
      <c r="A2258" s="121">
        <v>5411331</v>
      </c>
    </row>
    <row r="2259" spans="1:1" ht="15.75" thickBot="1" x14ac:dyDescent="0.3">
      <c r="A2259" s="121">
        <v>5411346</v>
      </c>
    </row>
    <row r="2260" spans="1:1" ht="15.75" thickBot="1" x14ac:dyDescent="0.3">
      <c r="A2260" s="121">
        <v>5411354</v>
      </c>
    </row>
    <row r="2261" spans="1:1" ht="15.75" thickBot="1" x14ac:dyDescent="0.3">
      <c r="A2261" s="121">
        <v>5411362</v>
      </c>
    </row>
    <row r="2262" spans="1:1" ht="15.75" thickBot="1" x14ac:dyDescent="0.3">
      <c r="A2262" s="121">
        <v>5411377</v>
      </c>
    </row>
    <row r="2263" spans="1:1" ht="15.75" thickBot="1" x14ac:dyDescent="0.3">
      <c r="A2263" s="121">
        <v>5411385</v>
      </c>
    </row>
    <row r="2264" spans="1:1" ht="15.75" thickBot="1" x14ac:dyDescent="0.3">
      <c r="A2264" s="118">
        <v>5412013</v>
      </c>
    </row>
    <row r="2265" spans="1:1" ht="15.75" thickBot="1" x14ac:dyDescent="0.3">
      <c r="A2265" s="118">
        <v>5412021</v>
      </c>
    </row>
    <row r="2266" spans="1:1" ht="15.75" thickBot="1" x14ac:dyDescent="0.3">
      <c r="A2266" s="118">
        <v>5412036</v>
      </c>
    </row>
    <row r="2267" spans="1:1" ht="15.75" thickBot="1" x14ac:dyDescent="0.3">
      <c r="A2267" s="118">
        <v>5412044</v>
      </c>
    </row>
    <row r="2268" spans="1:1" ht="15.75" thickBot="1" x14ac:dyDescent="0.3">
      <c r="A2268" s="118">
        <v>5412052</v>
      </c>
    </row>
    <row r="2269" spans="1:1" ht="15.75" thickBot="1" x14ac:dyDescent="0.3">
      <c r="A2269" s="118">
        <v>5412067</v>
      </c>
    </row>
    <row r="2270" spans="1:1" ht="15.75" thickBot="1" x14ac:dyDescent="0.3">
      <c r="A2270" s="118">
        <v>5412075</v>
      </c>
    </row>
    <row r="2271" spans="1:1" ht="15.75" thickBot="1" x14ac:dyDescent="0.3">
      <c r="A2271" s="118">
        <v>5412083</v>
      </c>
    </row>
    <row r="2272" spans="1:1" ht="15.75" thickBot="1" x14ac:dyDescent="0.3">
      <c r="A2272" s="118">
        <v>5412091</v>
      </c>
    </row>
    <row r="2273" spans="1:1" ht="15.75" thickBot="1" x14ac:dyDescent="0.3">
      <c r="A2273" s="118">
        <v>5412102</v>
      </c>
    </row>
    <row r="2274" spans="1:1" ht="15.75" thickBot="1" x14ac:dyDescent="0.3">
      <c r="A2274" s="119">
        <v>5412117</v>
      </c>
    </row>
    <row r="2275" spans="1:1" ht="16.5" thickTop="1" thickBot="1" x14ac:dyDescent="0.3">
      <c r="A2275" s="118">
        <v>5412125</v>
      </c>
    </row>
    <row r="2276" spans="1:1" ht="15.75" thickBot="1" x14ac:dyDescent="0.3">
      <c r="A2276" s="118">
        <v>5412133</v>
      </c>
    </row>
    <row r="2277" spans="1:1" ht="15.75" thickBot="1" x14ac:dyDescent="0.3">
      <c r="A2277" s="118">
        <v>5412141</v>
      </c>
    </row>
    <row r="2278" spans="1:1" ht="15.75" thickBot="1" x14ac:dyDescent="0.3">
      <c r="A2278" s="118">
        <v>5412156</v>
      </c>
    </row>
    <row r="2279" spans="1:1" ht="15.75" thickBot="1" x14ac:dyDescent="0.3">
      <c r="A2279" s="118">
        <v>5412164</v>
      </c>
    </row>
    <row r="2280" spans="1:1" ht="15.75" thickBot="1" x14ac:dyDescent="0.3">
      <c r="A2280" s="118">
        <v>5412172</v>
      </c>
    </row>
    <row r="2281" spans="1:1" ht="15.75" thickBot="1" x14ac:dyDescent="0.3">
      <c r="A2281" s="118">
        <v>5412187</v>
      </c>
    </row>
    <row r="2282" spans="1:1" ht="15.75" thickBot="1" x14ac:dyDescent="0.3">
      <c r="A2282" s="118">
        <v>5412195</v>
      </c>
    </row>
    <row r="2283" spans="1:1" ht="15.75" thickBot="1" x14ac:dyDescent="0.3">
      <c r="A2283" s="118">
        <v>5412206</v>
      </c>
    </row>
    <row r="2284" spans="1:1" ht="15.75" thickBot="1" x14ac:dyDescent="0.3">
      <c r="A2284" s="118">
        <v>5412214</v>
      </c>
    </row>
    <row r="2285" spans="1:1" ht="15.75" thickBot="1" x14ac:dyDescent="0.3">
      <c r="A2285" s="118">
        <v>5412222</v>
      </c>
    </row>
    <row r="2286" spans="1:1" ht="15.75" thickBot="1" x14ac:dyDescent="0.3">
      <c r="A2286" s="118">
        <v>5412237</v>
      </c>
    </row>
    <row r="2287" spans="1:1" ht="15.75" thickBot="1" x14ac:dyDescent="0.3">
      <c r="A2287" s="118">
        <v>5412245</v>
      </c>
    </row>
    <row r="2288" spans="1:1" ht="15.75" thickBot="1" x14ac:dyDescent="0.3">
      <c r="A2288" s="118">
        <v>5412253</v>
      </c>
    </row>
    <row r="2289" spans="1:1" ht="15.75" thickBot="1" x14ac:dyDescent="0.3">
      <c r="A2289" s="118">
        <v>5412261</v>
      </c>
    </row>
    <row r="2290" spans="1:1" ht="15.75" thickBot="1" x14ac:dyDescent="0.3">
      <c r="A2290" s="118">
        <v>5421012</v>
      </c>
    </row>
    <row r="2291" spans="1:1" ht="15.75" thickBot="1" x14ac:dyDescent="0.3">
      <c r="A2291" s="118">
        <v>5421027</v>
      </c>
    </row>
    <row r="2292" spans="1:1" ht="15.75" thickBot="1" x14ac:dyDescent="0.3">
      <c r="A2292" s="118">
        <v>5421035</v>
      </c>
    </row>
    <row r="2293" spans="1:1" ht="15.75" thickBot="1" x14ac:dyDescent="0.3">
      <c r="A2293" s="118">
        <v>5421043</v>
      </c>
    </row>
    <row r="2294" spans="1:1" ht="15.75" thickBot="1" x14ac:dyDescent="0.3">
      <c r="A2294" s="118">
        <v>5421051</v>
      </c>
    </row>
    <row r="2295" spans="1:1" ht="15.75" thickBot="1" x14ac:dyDescent="0.3">
      <c r="A2295" s="118">
        <v>5421066</v>
      </c>
    </row>
    <row r="2296" spans="1:1" ht="15.75" thickBot="1" x14ac:dyDescent="0.3">
      <c r="A2296" s="118">
        <v>5421074</v>
      </c>
    </row>
    <row r="2297" spans="1:1" ht="15.75" thickBot="1" x14ac:dyDescent="0.3">
      <c r="A2297" s="118">
        <v>5421082</v>
      </c>
    </row>
    <row r="2298" spans="1:1" ht="15.75" thickBot="1" x14ac:dyDescent="0.3">
      <c r="A2298" s="118">
        <v>5421097</v>
      </c>
    </row>
    <row r="2299" spans="1:1" ht="15.75" thickBot="1" x14ac:dyDescent="0.3">
      <c r="A2299" s="118">
        <v>5421101</v>
      </c>
    </row>
    <row r="2300" spans="1:1" ht="15.75" thickBot="1" x14ac:dyDescent="0.3">
      <c r="A2300" s="118">
        <v>5421116</v>
      </c>
    </row>
    <row r="2301" spans="1:1" ht="15.75" thickBot="1" x14ac:dyDescent="0.3">
      <c r="A2301" s="118">
        <v>5421124</v>
      </c>
    </row>
    <row r="2302" spans="1:1" ht="15.75" thickBot="1" x14ac:dyDescent="0.3">
      <c r="A2302" s="118">
        <v>5421132</v>
      </c>
    </row>
    <row r="2303" spans="1:1" ht="15.75" thickBot="1" x14ac:dyDescent="0.3">
      <c r="A2303" s="118">
        <v>5421147</v>
      </c>
    </row>
    <row r="2304" spans="1:1" ht="15.75" thickBot="1" x14ac:dyDescent="0.3">
      <c r="A2304" s="118">
        <v>5511011</v>
      </c>
    </row>
    <row r="2305" spans="1:1" ht="15.75" thickBot="1" x14ac:dyDescent="0.3">
      <c r="A2305" s="119">
        <v>5511026</v>
      </c>
    </row>
    <row r="2306" spans="1:1" ht="16.5" thickTop="1" thickBot="1" x14ac:dyDescent="0.3">
      <c r="A2306" s="118">
        <v>5511034</v>
      </c>
    </row>
    <row r="2307" spans="1:1" ht="15.75" thickBot="1" x14ac:dyDescent="0.3">
      <c r="A2307" s="118">
        <v>5511042</v>
      </c>
    </row>
    <row r="2308" spans="1:1" ht="15.75" thickBot="1" x14ac:dyDescent="0.3">
      <c r="A2308" s="118">
        <v>5511073</v>
      </c>
    </row>
    <row r="2309" spans="1:1" ht="15.75" thickBot="1" x14ac:dyDescent="0.3">
      <c r="A2309" s="118">
        <v>5511081</v>
      </c>
    </row>
    <row r="2310" spans="1:1" ht="15.75" thickBot="1" x14ac:dyDescent="0.3">
      <c r="A2310" s="118">
        <v>5511096</v>
      </c>
    </row>
    <row r="2311" spans="1:1" ht="15.75" thickBot="1" x14ac:dyDescent="0.3">
      <c r="A2311" s="118">
        <v>5511107</v>
      </c>
    </row>
    <row r="2312" spans="1:1" ht="15.75" thickBot="1" x14ac:dyDescent="0.3">
      <c r="A2312" s="118">
        <v>5511115</v>
      </c>
    </row>
    <row r="2313" spans="1:1" ht="15.75" thickBot="1" x14ac:dyDescent="0.3">
      <c r="A2313" s="118">
        <v>5511123</v>
      </c>
    </row>
    <row r="2314" spans="1:1" ht="15.75" thickBot="1" x14ac:dyDescent="0.3">
      <c r="A2314" s="118">
        <v>5512014</v>
      </c>
    </row>
    <row r="2315" spans="1:1" ht="15.75" thickBot="1" x14ac:dyDescent="0.3">
      <c r="A2315" s="118">
        <v>5512037</v>
      </c>
    </row>
    <row r="2316" spans="1:1" ht="15.75" thickBot="1" x14ac:dyDescent="0.3">
      <c r="A2316" s="118">
        <v>5512045</v>
      </c>
    </row>
    <row r="2317" spans="1:1" ht="15.75" thickBot="1" x14ac:dyDescent="0.3">
      <c r="A2317" s="118">
        <v>5512076</v>
      </c>
    </row>
    <row r="2318" spans="1:1" ht="15.75" thickBot="1" x14ac:dyDescent="0.3">
      <c r="A2318" s="118">
        <v>5512084</v>
      </c>
    </row>
    <row r="2319" spans="1:1" ht="15.75" thickBot="1" x14ac:dyDescent="0.3">
      <c r="A2319" s="118">
        <v>5512092</v>
      </c>
    </row>
    <row r="2320" spans="1:1" ht="15.75" thickBot="1" x14ac:dyDescent="0.3">
      <c r="A2320" s="118">
        <v>5512111</v>
      </c>
    </row>
    <row r="2321" spans="1:1" ht="15.75" thickBot="1" x14ac:dyDescent="0.3">
      <c r="A2321" s="118">
        <v>6111014</v>
      </c>
    </row>
    <row r="2322" spans="1:1" ht="15.75" thickBot="1" x14ac:dyDescent="0.3">
      <c r="A2322" s="118">
        <v>6111022</v>
      </c>
    </row>
    <row r="2323" spans="1:1" ht="15.75" thickBot="1" x14ac:dyDescent="0.3">
      <c r="A2323" s="118">
        <v>6111037</v>
      </c>
    </row>
    <row r="2324" spans="1:1" ht="15.75" thickBot="1" x14ac:dyDescent="0.3">
      <c r="A2324" s="118">
        <v>6111045</v>
      </c>
    </row>
    <row r="2325" spans="1:1" ht="15.75" thickBot="1" x14ac:dyDescent="0.3">
      <c r="A2325" s="118">
        <v>6111053</v>
      </c>
    </row>
    <row r="2326" spans="1:1" ht="15.75" thickBot="1" x14ac:dyDescent="0.3">
      <c r="A2326" s="118">
        <v>6111061</v>
      </c>
    </row>
    <row r="2327" spans="1:1" ht="15.75" thickBot="1" x14ac:dyDescent="0.3">
      <c r="A2327" s="119">
        <v>6111076</v>
      </c>
    </row>
    <row r="2328" spans="1:1" ht="16.5" thickTop="1" thickBot="1" x14ac:dyDescent="0.3">
      <c r="A2328" s="118">
        <v>6111084</v>
      </c>
    </row>
    <row r="2329" spans="1:1" ht="15.75" thickBot="1" x14ac:dyDescent="0.3">
      <c r="A2329" s="118">
        <v>6111092</v>
      </c>
    </row>
    <row r="2330" spans="1:1" ht="15.75" thickBot="1" x14ac:dyDescent="0.3">
      <c r="A2330" s="118">
        <v>6111103</v>
      </c>
    </row>
    <row r="2331" spans="1:1" ht="15.75" thickBot="1" x14ac:dyDescent="0.3">
      <c r="A2331" s="118">
        <v>6111111</v>
      </c>
    </row>
    <row r="2332" spans="1:1" ht="15.75" thickBot="1" x14ac:dyDescent="0.3">
      <c r="A2332" s="118">
        <v>6111126</v>
      </c>
    </row>
    <row r="2333" spans="1:1" ht="15.75" thickBot="1" x14ac:dyDescent="0.3">
      <c r="A2333" s="118">
        <v>6111134</v>
      </c>
    </row>
    <row r="2334" spans="1:1" ht="15.75" thickBot="1" x14ac:dyDescent="0.3">
      <c r="A2334" s="118">
        <v>6111142</v>
      </c>
    </row>
    <row r="2335" spans="1:1" ht="15.75" thickBot="1" x14ac:dyDescent="0.3">
      <c r="A2335" s="118">
        <v>6111157</v>
      </c>
    </row>
    <row r="2336" spans="1:1" ht="15.75" thickBot="1" x14ac:dyDescent="0.3">
      <c r="A2336" s="118">
        <v>6111165</v>
      </c>
    </row>
    <row r="2337" spans="1:1" ht="15.75" thickBot="1" x14ac:dyDescent="0.3">
      <c r="A2337" s="118">
        <v>6111173</v>
      </c>
    </row>
    <row r="2338" spans="1:1" ht="15.75" thickBot="1" x14ac:dyDescent="0.3">
      <c r="A2338" s="118">
        <v>6111181</v>
      </c>
    </row>
    <row r="2339" spans="1:1" ht="15.75" thickBot="1" x14ac:dyDescent="0.3">
      <c r="A2339" s="118">
        <v>6111196</v>
      </c>
    </row>
    <row r="2340" spans="1:1" ht="15.75" thickBot="1" x14ac:dyDescent="0.3">
      <c r="A2340" s="118">
        <v>6111207</v>
      </c>
    </row>
    <row r="2341" spans="1:1" ht="15.75" thickBot="1" x14ac:dyDescent="0.3">
      <c r="A2341" s="118">
        <v>6111215</v>
      </c>
    </row>
    <row r="2342" spans="1:1" ht="15.75" thickBot="1" x14ac:dyDescent="0.3">
      <c r="A2342" s="118">
        <v>6111223</v>
      </c>
    </row>
    <row r="2343" spans="1:1" ht="15.75" thickBot="1" x14ac:dyDescent="0.3">
      <c r="A2343" s="118">
        <v>6111231</v>
      </c>
    </row>
    <row r="2344" spans="1:1" ht="15.75" thickBot="1" x14ac:dyDescent="0.3">
      <c r="A2344" s="118">
        <v>6111246</v>
      </c>
    </row>
    <row r="2345" spans="1:1" ht="15.75" thickBot="1" x14ac:dyDescent="0.3">
      <c r="A2345" s="118">
        <v>6111254</v>
      </c>
    </row>
    <row r="2346" spans="1:1" ht="15.75" thickBot="1" x14ac:dyDescent="0.3">
      <c r="A2346" s="119">
        <v>6111262</v>
      </c>
    </row>
    <row r="2347" spans="1:1" ht="16.5" thickTop="1" thickBot="1" x14ac:dyDescent="0.3">
      <c r="A2347" s="118">
        <v>6112017</v>
      </c>
    </row>
    <row r="2348" spans="1:1" ht="15.75" thickBot="1" x14ac:dyDescent="0.3">
      <c r="A2348" s="118">
        <v>6112025</v>
      </c>
    </row>
    <row r="2349" spans="1:1" ht="15.75" thickBot="1" x14ac:dyDescent="0.3">
      <c r="A2349" s="118">
        <v>6112033</v>
      </c>
    </row>
    <row r="2350" spans="1:1" ht="15.75" thickBot="1" x14ac:dyDescent="0.3">
      <c r="A2350" s="118">
        <v>6112041</v>
      </c>
    </row>
    <row r="2351" spans="1:1" ht="15.75" thickBot="1" x14ac:dyDescent="0.3">
      <c r="A2351" s="118">
        <v>6112056</v>
      </c>
    </row>
    <row r="2352" spans="1:1" ht="15.75" thickBot="1" x14ac:dyDescent="0.3">
      <c r="A2352" s="118">
        <v>6112064</v>
      </c>
    </row>
    <row r="2353" spans="1:1" ht="15.75" thickBot="1" x14ac:dyDescent="0.3">
      <c r="A2353" s="118">
        <v>6112072</v>
      </c>
    </row>
    <row r="2354" spans="1:1" ht="15.75" thickBot="1" x14ac:dyDescent="0.3">
      <c r="A2354" s="118">
        <v>6112087</v>
      </c>
    </row>
    <row r="2355" spans="1:1" ht="15.75" thickBot="1" x14ac:dyDescent="0.3">
      <c r="A2355" s="118">
        <v>6112095</v>
      </c>
    </row>
    <row r="2356" spans="1:1" ht="15.75" thickBot="1" x14ac:dyDescent="0.3">
      <c r="A2356" s="118">
        <v>6112106</v>
      </c>
    </row>
    <row r="2357" spans="1:1" ht="15.75" thickBot="1" x14ac:dyDescent="0.3">
      <c r="A2357" s="118">
        <v>6112114</v>
      </c>
    </row>
    <row r="2358" spans="1:1" ht="15.75" thickBot="1" x14ac:dyDescent="0.3">
      <c r="A2358" s="118">
        <v>6112122</v>
      </c>
    </row>
    <row r="2359" spans="1:1" ht="15.75" thickBot="1" x14ac:dyDescent="0.3">
      <c r="A2359" s="118">
        <v>6112145</v>
      </c>
    </row>
    <row r="2360" spans="1:1" ht="15.75" thickBot="1" x14ac:dyDescent="0.3">
      <c r="A2360" s="118">
        <v>6112153</v>
      </c>
    </row>
    <row r="2361" spans="1:1" ht="15.75" thickBot="1" x14ac:dyDescent="0.3">
      <c r="A2361" s="118">
        <v>6112161</v>
      </c>
    </row>
    <row r="2362" spans="1:1" ht="15.75" thickBot="1" x14ac:dyDescent="0.3">
      <c r="A2362" s="118">
        <v>6112176</v>
      </c>
    </row>
    <row r="2363" spans="1:1" ht="15.75" thickBot="1" x14ac:dyDescent="0.3">
      <c r="A2363" s="118">
        <v>6112184</v>
      </c>
    </row>
    <row r="2364" spans="1:1" ht="15.75" thickBot="1" x14ac:dyDescent="0.3">
      <c r="A2364" s="118">
        <v>6112203</v>
      </c>
    </row>
    <row r="2365" spans="1:1" ht="15.75" thickBot="1" x14ac:dyDescent="0.3">
      <c r="A2365" s="118">
        <v>6112211</v>
      </c>
    </row>
    <row r="2366" spans="1:1" ht="15.75" thickBot="1" x14ac:dyDescent="0.3">
      <c r="A2366" s="118">
        <v>6112226</v>
      </c>
    </row>
    <row r="2367" spans="1:1" ht="15.75" thickBot="1" x14ac:dyDescent="0.3">
      <c r="A2367" s="118">
        <v>6121016</v>
      </c>
    </row>
    <row r="2368" spans="1:1" ht="15.75" thickBot="1" x14ac:dyDescent="0.3">
      <c r="A2368" s="118">
        <v>6121024</v>
      </c>
    </row>
    <row r="2369" spans="1:1" ht="15.75" thickBot="1" x14ac:dyDescent="0.3">
      <c r="A2369" s="118">
        <v>6121032</v>
      </c>
    </row>
    <row r="2370" spans="1:1" ht="15.75" thickBot="1" x14ac:dyDescent="0.3">
      <c r="A2370" s="118">
        <v>6121047</v>
      </c>
    </row>
    <row r="2371" spans="1:1" ht="15.75" thickBot="1" x14ac:dyDescent="0.3">
      <c r="A2371" s="118">
        <v>6121055</v>
      </c>
    </row>
    <row r="2372" spans="1:1" ht="15.75" thickBot="1" x14ac:dyDescent="0.3">
      <c r="A2372" s="118">
        <v>6121063</v>
      </c>
    </row>
    <row r="2373" spans="1:1" ht="15.75" thickBot="1" x14ac:dyDescent="0.3">
      <c r="A2373" s="118">
        <v>6121071</v>
      </c>
    </row>
    <row r="2374" spans="1:1" ht="15.75" thickBot="1" x14ac:dyDescent="0.3">
      <c r="A2374" s="118">
        <v>6121136</v>
      </c>
    </row>
    <row r="2375" spans="1:1" ht="15.75" thickBot="1" x14ac:dyDescent="0.3">
      <c r="A2375" s="118">
        <v>6121144</v>
      </c>
    </row>
    <row r="2376" spans="1:1" ht="15.75" thickBot="1" x14ac:dyDescent="0.3">
      <c r="A2376" s="118">
        <v>6121152</v>
      </c>
    </row>
    <row r="2377" spans="1:1" ht="15.75" thickBot="1" x14ac:dyDescent="0.3">
      <c r="A2377" s="118">
        <v>6121167</v>
      </c>
    </row>
    <row r="2378" spans="1:1" ht="15.75" thickBot="1" x14ac:dyDescent="0.3">
      <c r="A2378" s="118">
        <v>6121175</v>
      </c>
    </row>
    <row r="2379" spans="1:1" ht="15.75" thickBot="1" x14ac:dyDescent="0.3">
      <c r="A2379" s="118">
        <v>6121183</v>
      </c>
    </row>
    <row r="2380" spans="1:1" ht="15.75" thickBot="1" x14ac:dyDescent="0.3">
      <c r="A2380" s="118">
        <v>6121191</v>
      </c>
    </row>
    <row r="2381" spans="1:1" ht="15.75" thickBot="1" x14ac:dyDescent="0.3">
      <c r="A2381" s="118">
        <v>6121202</v>
      </c>
    </row>
    <row r="2382" spans="1:1" ht="15.75" thickBot="1" x14ac:dyDescent="0.3">
      <c r="A2382" s="118">
        <v>6121217</v>
      </c>
    </row>
    <row r="2383" spans="1:1" ht="15.75" thickBot="1" x14ac:dyDescent="0.3">
      <c r="A2383" s="118">
        <v>6122012</v>
      </c>
    </row>
    <row r="2384" spans="1:1" ht="15.75" thickBot="1" x14ac:dyDescent="0.3">
      <c r="A2384" s="119">
        <v>6122027</v>
      </c>
    </row>
    <row r="2385" spans="1:1" ht="16.5" thickTop="1" thickBot="1" x14ac:dyDescent="0.3">
      <c r="A2385" s="118">
        <v>6122035</v>
      </c>
    </row>
    <row r="2386" spans="1:1" ht="15.75" thickBot="1" x14ac:dyDescent="0.3">
      <c r="A2386" s="118">
        <v>6122043</v>
      </c>
    </row>
    <row r="2387" spans="1:1" ht="15.75" thickBot="1" x14ac:dyDescent="0.3">
      <c r="A2387" s="118">
        <v>6122051</v>
      </c>
    </row>
    <row r="2388" spans="1:1" ht="15.75" thickBot="1" x14ac:dyDescent="0.3">
      <c r="A2388" s="118">
        <v>6122066</v>
      </c>
    </row>
    <row r="2389" spans="1:1" ht="15.75" thickBot="1" x14ac:dyDescent="0.3">
      <c r="A2389" s="118">
        <v>6122074</v>
      </c>
    </row>
    <row r="2390" spans="1:1" ht="15.75" thickBot="1" x14ac:dyDescent="0.3">
      <c r="A2390" s="118">
        <v>6122082</v>
      </c>
    </row>
    <row r="2391" spans="1:1" ht="15.75" thickBot="1" x14ac:dyDescent="0.3">
      <c r="A2391" s="118">
        <v>6122097</v>
      </c>
    </row>
    <row r="2392" spans="1:1" ht="15.75" thickBot="1" x14ac:dyDescent="0.3">
      <c r="A2392" s="118">
        <v>6122101</v>
      </c>
    </row>
    <row r="2393" spans="1:1" ht="15.75" thickBot="1" x14ac:dyDescent="0.3">
      <c r="A2393" s="118">
        <v>6122124</v>
      </c>
    </row>
    <row r="2394" spans="1:1" ht="15.75" thickBot="1" x14ac:dyDescent="0.3">
      <c r="A2394" s="118">
        <v>6122132</v>
      </c>
    </row>
    <row r="2395" spans="1:1" ht="15.75" thickBot="1" x14ac:dyDescent="0.3">
      <c r="A2395" s="118">
        <v>6122147</v>
      </c>
    </row>
    <row r="2396" spans="1:1" ht="15.75" thickBot="1" x14ac:dyDescent="0.3">
      <c r="A2396" s="118">
        <v>6122155</v>
      </c>
    </row>
    <row r="2397" spans="1:1" ht="15.75" thickBot="1" x14ac:dyDescent="0.3">
      <c r="A2397" s="118">
        <v>6122171</v>
      </c>
    </row>
    <row r="2398" spans="1:1" ht="15.75" thickBot="1" x14ac:dyDescent="0.3">
      <c r="A2398" s="118">
        <v>6122194</v>
      </c>
    </row>
    <row r="2399" spans="1:1" ht="15.75" thickBot="1" x14ac:dyDescent="0.3">
      <c r="A2399" s="118">
        <v>6122205</v>
      </c>
    </row>
    <row r="2400" spans="1:1" ht="15.75" thickBot="1" x14ac:dyDescent="0.3">
      <c r="A2400" s="118">
        <v>6122213</v>
      </c>
    </row>
    <row r="2401" spans="1:1" ht="15.75" thickBot="1" x14ac:dyDescent="0.3">
      <c r="A2401" s="118">
        <v>6122221</v>
      </c>
    </row>
    <row r="2402" spans="1:1" ht="15.75" thickBot="1" x14ac:dyDescent="0.3">
      <c r="A2402" s="118">
        <v>6122236</v>
      </c>
    </row>
    <row r="2403" spans="1:1" ht="15.75" thickBot="1" x14ac:dyDescent="0.3">
      <c r="A2403" s="118">
        <v>6122244</v>
      </c>
    </row>
    <row r="2404" spans="1:1" ht="15.75" thickBot="1" x14ac:dyDescent="0.3">
      <c r="A2404" s="118">
        <v>6132014</v>
      </c>
    </row>
    <row r="2405" spans="1:1" ht="15.75" thickBot="1" x14ac:dyDescent="0.3">
      <c r="A2405" s="118">
        <v>6132022</v>
      </c>
    </row>
    <row r="2406" spans="1:1" ht="15.75" thickBot="1" x14ac:dyDescent="0.3">
      <c r="A2406" s="118">
        <v>6132037</v>
      </c>
    </row>
    <row r="2407" spans="1:1" ht="15.75" thickBot="1" x14ac:dyDescent="0.3">
      <c r="A2407" s="118">
        <v>6132045</v>
      </c>
    </row>
    <row r="2408" spans="1:1" ht="15.75" thickBot="1" x14ac:dyDescent="0.3">
      <c r="A2408" s="119">
        <v>6132053</v>
      </c>
    </row>
    <row r="2409" spans="1:1" ht="16.5" thickTop="1" thickBot="1" x14ac:dyDescent="0.3">
      <c r="A2409" s="118">
        <v>6132061</v>
      </c>
    </row>
    <row r="2410" spans="1:1" ht="15.75" thickBot="1" x14ac:dyDescent="0.3">
      <c r="A2410" s="118">
        <v>6132076</v>
      </c>
    </row>
    <row r="2411" spans="1:1" ht="15.75" thickBot="1" x14ac:dyDescent="0.3">
      <c r="A2411" s="118">
        <v>6132084</v>
      </c>
    </row>
    <row r="2412" spans="1:1" ht="15.75" thickBot="1" x14ac:dyDescent="0.3">
      <c r="A2412" s="118">
        <v>6132092</v>
      </c>
    </row>
    <row r="2413" spans="1:1" ht="15.75" thickBot="1" x14ac:dyDescent="0.3">
      <c r="A2413" s="118">
        <v>6132103</v>
      </c>
    </row>
    <row r="2414" spans="1:1" ht="15.75" thickBot="1" x14ac:dyDescent="0.3">
      <c r="A2414" s="118">
        <v>6211015</v>
      </c>
    </row>
    <row r="2415" spans="1:1" ht="15.75" thickBot="1" x14ac:dyDescent="0.3">
      <c r="A2415" s="118">
        <v>6211023</v>
      </c>
    </row>
    <row r="2416" spans="1:1" ht="15.75" thickBot="1" x14ac:dyDescent="0.3">
      <c r="A2416" s="118">
        <v>6211062</v>
      </c>
    </row>
    <row r="2417" spans="1:1" ht="15.75" thickBot="1" x14ac:dyDescent="0.3">
      <c r="A2417" s="118">
        <v>6211104</v>
      </c>
    </row>
    <row r="2418" spans="1:1" ht="15.75" thickBot="1" x14ac:dyDescent="0.3">
      <c r="A2418" s="118">
        <v>6211112</v>
      </c>
    </row>
    <row r="2419" spans="1:1" ht="15.75" thickBot="1" x14ac:dyDescent="0.3">
      <c r="A2419" s="118">
        <v>6211127</v>
      </c>
    </row>
    <row r="2420" spans="1:1" ht="15.75" thickBot="1" x14ac:dyDescent="0.3">
      <c r="A2420" s="118">
        <v>6211135</v>
      </c>
    </row>
    <row r="2421" spans="1:1" ht="15.75" thickBot="1" x14ac:dyDescent="0.3">
      <c r="A2421" s="118">
        <v>6211143</v>
      </c>
    </row>
    <row r="2422" spans="1:1" ht="15.75" thickBot="1" x14ac:dyDescent="0.3">
      <c r="A2422" s="119">
        <v>6211151</v>
      </c>
    </row>
    <row r="2423" spans="1:1" ht="16.5" thickTop="1" thickBot="1" x14ac:dyDescent="0.3">
      <c r="A2423" s="118">
        <v>6211166</v>
      </c>
    </row>
    <row r="2424" spans="1:1" ht="15.75" thickBot="1" x14ac:dyDescent="0.3">
      <c r="A2424" s="118">
        <v>6211174</v>
      </c>
    </row>
    <row r="2425" spans="1:1" ht="15.75" thickBot="1" x14ac:dyDescent="0.3">
      <c r="A2425" s="118">
        <v>6211182</v>
      </c>
    </row>
    <row r="2426" spans="1:1" ht="15.75" thickBot="1" x14ac:dyDescent="0.3">
      <c r="A2426" s="118">
        <v>6211197</v>
      </c>
    </row>
    <row r="2427" spans="1:1" ht="15.75" thickBot="1" x14ac:dyDescent="0.3">
      <c r="A2427" s="118">
        <v>6211201</v>
      </c>
    </row>
    <row r="2428" spans="1:1" ht="15.75" thickBot="1" x14ac:dyDescent="0.3">
      <c r="A2428" s="118">
        <v>6211216</v>
      </c>
    </row>
    <row r="2429" spans="1:1" ht="15.75" thickBot="1" x14ac:dyDescent="0.3">
      <c r="A2429" s="118">
        <v>6211224</v>
      </c>
    </row>
    <row r="2430" spans="1:1" ht="15.75" thickBot="1" x14ac:dyDescent="0.3">
      <c r="A2430" s="118">
        <v>6211232</v>
      </c>
    </row>
    <row r="2431" spans="1:1" ht="15.75" thickBot="1" x14ac:dyDescent="0.3">
      <c r="A2431" s="118">
        <v>6211247</v>
      </c>
    </row>
    <row r="2432" spans="1:1" ht="15.75" thickBot="1" x14ac:dyDescent="0.3">
      <c r="A2432" s="118">
        <v>6211255</v>
      </c>
    </row>
    <row r="2433" spans="1:1" ht="15.75" thickBot="1" x14ac:dyDescent="0.3">
      <c r="A2433" s="118">
        <v>6211263</v>
      </c>
    </row>
    <row r="2434" spans="1:1" ht="15.75" thickBot="1" x14ac:dyDescent="0.3">
      <c r="A2434" s="118">
        <v>6211271</v>
      </c>
    </row>
    <row r="2435" spans="1:1" ht="15.75" thickBot="1" x14ac:dyDescent="0.3">
      <c r="A2435" s="118">
        <v>6211286</v>
      </c>
    </row>
    <row r="2436" spans="1:1" ht="15.75" thickBot="1" x14ac:dyDescent="0.3">
      <c r="A2436" s="118">
        <v>6212011</v>
      </c>
    </row>
    <row r="2437" spans="1:1" ht="15.75" thickBot="1" x14ac:dyDescent="0.3">
      <c r="A2437" s="118">
        <v>6212026</v>
      </c>
    </row>
    <row r="2438" spans="1:1" ht="15.75" thickBot="1" x14ac:dyDescent="0.3">
      <c r="A2438" s="118">
        <v>6212034</v>
      </c>
    </row>
    <row r="2439" spans="1:1" ht="15.75" thickBot="1" x14ac:dyDescent="0.3">
      <c r="A2439" s="118">
        <v>6212042</v>
      </c>
    </row>
    <row r="2440" spans="1:1" ht="15.75" thickBot="1" x14ac:dyDescent="0.3">
      <c r="A2440" s="118">
        <v>6212057</v>
      </c>
    </row>
    <row r="2441" spans="1:1" ht="15.75" thickBot="1" x14ac:dyDescent="0.3">
      <c r="A2441" s="118">
        <v>6212065</v>
      </c>
    </row>
    <row r="2442" spans="1:1" ht="15.75" thickBot="1" x14ac:dyDescent="0.3">
      <c r="A2442" s="118">
        <v>6212073</v>
      </c>
    </row>
    <row r="2443" spans="1:1" ht="15.75" thickBot="1" x14ac:dyDescent="0.3">
      <c r="A2443" s="118">
        <v>6212081</v>
      </c>
    </row>
    <row r="2444" spans="1:1" ht="15.75" thickBot="1" x14ac:dyDescent="0.3">
      <c r="A2444" s="118">
        <v>6212096</v>
      </c>
    </row>
    <row r="2445" spans="1:1" ht="15.75" thickBot="1" x14ac:dyDescent="0.3">
      <c r="A2445" s="118">
        <v>6212107</v>
      </c>
    </row>
    <row r="2446" spans="1:1" ht="15.75" thickBot="1" x14ac:dyDescent="0.3">
      <c r="A2446" s="118">
        <v>6212115</v>
      </c>
    </row>
    <row r="2447" spans="1:1" ht="15.75" thickBot="1" x14ac:dyDescent="0.3">
      <c r="A2447" s="118">
        <v>6212123</v>
      </c>
    </row>
    <row r="2448" spans="1:1" ht="15.75" thickBot="1" x14ac:dyDescent="0.3">
      <c r="A2448" s="118">
        <v>6212131</v>
      </c>
    </row>
    <row r="2449" spans="1:1" ht="15.75" thickBot="1" x14ac:dyDescent="0.3">
      <c r="A2449" s="118">
        <v>6311016</v>
      </c>
    </row>
    <row r="2450" spans="1:1" ht="15.75" thickBot="1" x14ac:dyDescent="0.3">
      <c r="A2450" s="118">
        <v>6311024</v>
      </c>
    </row>
    <row r="2451" spans="1:1" ht="15.75" thickBot="1" x14ac:dyDescent="0.3">
      <c r="A2451" s="118">
        <v>6311032</v>
      </c>
    </row>
    <row r="2452" spans="1:1" ht="15.75" thickBot="1" x14ac:dyDescent="0.3">
      <c r="A2452" s="118">
        <v>6311047</v>
      </c>
    </row>
    <row r="2453" spans="1:1" ht="15.75" thickBot="1" x14ac:dyDescent="0.3">
      <c r="A2453" s="118">
        <v>6311055</v>
      </c>
    </row>
    <row r="2454" spans="1:1" ht="15.75" thickBot="1" x14ac:dyDescent="0.3">
      <c r="A2454" s="118">
        <v>6311063</v>
      </c>
    </row>
    <row r="2455" spans="1:1" ht="15.75" thickBot="1" x14ac:dyDescent="0.3">
      <c r="A2455" s="118">
        <v>6311071</v>
      </c>
    </row>
    <row r="2456" spans="1:1" ht="15.75" thickBot="1" x14ac:dyDescent="0.3">
      <c r="A2456" s="118">
        <v>6311086</v>
      </c>
    </row>
    <row r="2457" spans="1:1" ht="15.75" thickBot="1" x14ac:dyDescent="0.3">
      <c r="A2457" s="118">
        <v>6311094</v>
      </c>
    </row>
    <row r="2458" spans="1:1" ht="15.75" thickBot="1" x14ac:dyDescent="0.3">
      <c r="A2458" s="119">
        <v>6311113</v>
      </c>
    </row>
    <row r="2459" spans="1:1" ht="16.5" thickTop="1" thickBot="1" x14ac:dyDescent="0.3">
      <c r="A2459" s="118">
        <v>6311121</v>
      </c>
    </row>
    <row r="2460" spans="1:1" ht="15.75" thickBot="1" x14ac:dyDescent="0.3">
      <c r="A2460" s="118">
        <v>6311136</v>
      </c>
    </row>
    <row r="2461" spans="1:1" ht="15.75" thickBot="1" x14ac:dyDescent="0.3">
      <c r="A2461" s="118">
        <v>6311144</v>
      </c>
    </row>
    <row r="2462" spans="1:1" ht="15.75" thickBot="1" x14ac:dyDescent="0.3">
      <c r="A2462" s="118">
        <v>6311152</v>
      </c>
    </row>
    <row r="2463" spans="1:1" ht="15.75" thickBot="1" x14ac:dyDescent="0.3">
      <c r="A2463" s="118">
        <v>6311167</v>
      </c>
    </row>
    <row r="2464" spans="1:1" ht="15.75" thickBot="1" x14ac:dyDescent="0.3">
      <c r="A2464" s="118">
        <v>6311175</v>
      </c>
    </row>
    <row r="2465" spans="1:1" ht="15.75" thickBot="1" x14ac:dyDescent="0.3">
      <c r="A2465" s="118">
        <v>6311183</v>
      </c>
    </row>
    <row r="2466" spans="1:1" ht="15.75" thickBot="1" x14ac:dyDescent="0.3">
      <c r="A2466" s="118">
        <v>6311191</v>
      </c>
    </row>
    <row r="2467" spans="1:1" ht="15.75" thickBot="1" x14ac:dyDescent="0.3">
      <c r="A2467" s="118">
        <v>6311202</v>
      </c>
    </row>
    <row r="2468" spans="1:1" ht="15.75" thickBot="1" x14ac:dyDescent="0.3">
      <c r="A2468" s="118">
        <v>6311217</v>
      </c>
    </row>
    <row r="2469" spans="1:1" ht="15.75" thickBot="1" x14ac:dyDescent="0.3">
      <c r="A2469" s="118">
        <v>6311225</v>
      </c>
    </row>
    <row r="2470" spans="1:1" ht="15.75" thickBot="1" x14ac:dyDescent="0.3">
      <c r="A2470" s="118">
        <v>6311233</v>
      </c>
    </row>
    <row r="2471" spans="1:1" ht="15.75" thickBot="1" x14ac:dyDescent="0.3">
      <c r="A2471" s="118">
        <v>6311241</v>
      </c>
    </row>
    <row r="2472" spans="1:1" ht="15.75" thickBot="1" x14ac:dyDescent="0.3">
      <c r="A2472" s="118">
        <v>6311256</v>
      </c>
    </row>
    <row r="2473" spans="1:1" ht="15.75" thickBot="1" x14ac:dyDescent="0.3">
      <c r="A2473" s="118">
        <v>6311264</v>
      </c>
    </row>
    <row r="2474" spans="1:1" ht="15.75" thickBot="1" x14ac:dyDescent="0.3">
      <c r="A2474" s="118">
        <v>6311272</v>
      </c>
    </row>
    <row r="2475" spans="1:1" ht="15.75" thickBot="1" x14ac:dyDescent="0.3">
      <c r="A2475" s="118">
        <v>6312012</v>
      </c>
    </row>
    <row r="2476" spans="1:1" ht="15.75" thickBot="1" x14ac:dyDescent="0.3">
      <c r="A2476" s="118">
        <v>6312027</v>
      </c>
    </row>
    <row r="2477" spans="1:1" ht="15.75" thickBot="1" x14ac:dyDescent="0.3">
      <c r="A2477" s="118">
        <v>6312035</v>
      </c>
    </row>
    <row r="2478" spans="1:1" ht="15.75" thickBot="1" x14ac:dyDescent="0.3">
      <c r="A2478" s="118">
        <v>6312043</v>
      </c>
    </row>
    <row r="2479" spans="1:1" ht="15.75" thickBot="1" x14ac:dyDescent="0.3">
      <c r="A2479" s="118">
        <v>6312051</v>
      </c>
    </row>
    <row r="2480" spans="1:1" ht="15.75" thickBot="1" x14ac:dyDescent="0.3">
      <c r="A2480" s="118">
        <v>6312066</v>
      </c>
    </row>
    <row r="2481" spans="1:1" ht="15.75" thickBot="1" x14ac:dyDescent="0.3">
      <c r="A2481" s="118">
        <v>6312074</v>
      </c>
    </row>
    <row r="2482" spans="1:1" ht="15.75" thickBot="1" x14ac:dyDescent="0.3">
      <c r="A2482" s="118">
        <v>6312082</v>
      </c>
    </row>
    <row r="2483" spans="1:1" ht="15.75" thickBot="1" x14ac:dyDescent="0.3">
      <c r="A2483" s="118">
        <v>6312097</v>
      </c>
    </row>
    <row r="2484" spans="1:1" ht="15.75" thickBot="1" x14ac:dyDescent="0.3">
      <c r="A2484" s="119">
        <v>6312101</v>
      </c>
    </row>
    <row r="2485" spans="1:1" ht="16.5" thickTop="1" thickBot="1" x14ac:dyDescent="0.3">
      <c r="A2485" s="118">
        <v>6312116</v>
      </c>
    </row>
    <row r="2486" spans="1:1" ht="15.75" thickBot="1" x14ac:dyDescent="0.3">
      <c r="A2486" s="118">
        <v>6312124</v>
      </c>
    </row>
    <row r="2487" spans="1:1" ht="15.75" thickBot="1" x14ac:dyDescent="0.3">
      <c r="A2487" s="118">
        <v>6312132</v>
      </c>
    </row>
    <row r="2488" spans="1:1" ht="15.75" thickBot="1" x14ac:dyDescent="0.3">
      <c r="A2488" s="118">
        <v>6312147</v>
      </c>
    </row>
    <row r="2489" spans="1:1" ht="15.75" thickBot="1" x14ac:dyDescent="0.3">
      <c r="A2489" s="118">
        <v>6312155</v>
      </c>
    </row>
    <row r="2490" spans="1:1" ht="15.75" thickBot="1" x14ac:dyDescent="0.3">
      <c r="A2490" s="118">
        <v>6312163</v>
      </c>
    </row>
    <row r="2491" spans="1:1" ht="15.75" thickBot="1" x14ac:dyDescent="0.3">
      <c r="A2491" s="118">
        <v>6312171</v>
      </c>
    </row>
    <row r="2492" spans="1:1" ht="15.75" thickBot="1" x14ac:dyDescent="0.3">
      <c r="A2492" s="118">
        <v>6312186</v>
      </c>
    </row>
    <row r="2493" spans="1:1" ht="15.75" thickBot="1" x14ac:dyDescent="0.3">
      <c r="A2493" s="118">
        <v>6312194</v>
      </c>
    </row>
    <row r="2494" spans="1:1" ht="15.75" thickBot="1" x14ac:dyDescent="0.3">
      <c r="A2494" s="119">
        <v>6312205</v>
      </c>
    </row>
    <row r="2495" spans="1:1" ht="16.5" thickTop="1" thickBot="1" x14ac:dyDescent="0.3">
      <c r="A2495" s="118">
        <v>6312213</v>
      </c>
    </row>
    <row r="2496" spans="1:1" ht="15.75" thickBot="1" x14ac:dyDescent="0.3">
      <c r="A2496" s="118">
        <v>6321011</v>
      </c>
    </row>
    <row r="2497" spans="1:1" ht="15.75" thickBot="1" x14ac:dyDescent="0.3">
      <c r="A2497" s="118">
        <v>6321026</v>
      </c>
    </row>
    <row r="2498" spans="1:1" ht="15.75" thickBot="1" x14ac:dyDescent="0.3">
      <c r="A2498" s="118">
        <v>6321034</v>
      </c>
    </row>
    <row r="2499" spans="1:1" ht="15.75" thickBot="1" x14ac:dyDescent="0.3">
      <c r="A2499" s="118">
        <v>6321042</v>
      </c>
    </row>
    <row r="2500" spans="1:1" ht="15.75" thickBot="1" x14ac:dyDescent="0.3">
      <c r="A2500" s="118">
        <v>6321057</v>
      </c>
    </row>
    <row r="2501" spans="1:1" ht="15.75" thickBot="1" x14ac:dyDescent="0.3">
      <c r="A2501" s="119">
        <v>6321065</v>
      </c>
    </row>
    <row r="2502" spans="1:1" ht="16.5" thickTop="1" thickBot="1" x14ac:dyDescent="0.3">
      <c r="A2502" s="118">
        <v>6321073</v>
      </c>
    </row>
    <row r="2503" spans="1:1" ht="15.75" thickBot="1" x14ac:dyDescent="0.3">
      <c r="A2503" s="118">
        <v>6321081</v>
      </c>
    </row>
    <row r="2504" spans="1:1" ht="15.75" thickBot="1" x14ac:dyDescent="0.3">
      <c r="A2504" s="118">
        <v>6321096</v>
      </c>
    </row>
    <row r="2505" spans="1:1" ht="15.75" thickBot="1" x14ac:dyDescent="0.3">
      <c r="A2505" s="118">
        <v>6322014</v>
      </c>
    </row>
    <row r="2506" spans="1:1" ht="15.75" thickBot="1" x14ac:dyDescent="0.3">
      <c r="A2506" s="118">
        <v>6322022</v>
      </c>
    </row>
    <row r="2507" spans="1:1" ht="15.75" thickBot="1" x14ac:dyDescent="0.3">
      <c r="A2507" s="118">
        <v>6322037</v>
      </c>
    </row>
    <row r="2508" spans="1:1" ht="15.75" thickBot="1" x14ac:dyDescent="0.3">
      <c r="A2508" s="118">
        <v>6322045</v>
      </c>
    </row>
    <row r="2509" spans="1:1" ht="15.75" thickBot="1" x14ac:dyDescent="0.3">
      <c r="A2509" s="118">
        <v>6322053</v>
      </c>
    </row>
    <row r="2510" spans="1:1" ht="15.75" thickBot="1" x14ac:dyDescent="0.3">
      <c r="A2510" s="118">
        <v>6322061</v>
      </c>
    </row>
    <row r="2511" spans="1:1" ht="15.75" thickBot="1" x14ac:dyDescent="0.3">
      <c r="A2511" s="118">
        <v>7111014</v>
      </c>
    </row>
    <row r="2512" spans="1:1" ht="15.75" thickBot="1" x14ac:dyDescent="0.3">
      <c r="A2512" s="118">
        <v>7111022</v>
      </c>
    </row>
    <row r="2513" spans="1:1" ht="15.75" thickBot="1" x14ac:dyDescent="0.3">
      <c r="A2513" s="118">
        <v>7111037</v>
      </c>
    </row>
    <row r="2514" spans="1:1" ht="15.75" thickBot="1" x14ac:dyDescent="0.3">
      <c r="A2514" s="118">
        <v>7111045</v>
      </c>
    </row>
    <row r="2515" spans="1:1" ht="15.75" thickBot="1" x14ac:dyDescent="0.3">
      <c r="A2515" s="118">
        <v>7111053</v>
      </c>
    </row>
    <row r="2516" spans="1:1" ht="15.75" thickBot="1" x14ac:dyDescent="0.3">
      <c r="A2516" s="118">
        <v>7111061</v>
      </c>
    </row>
    <row r="2517" spans="1:1" ht="15.75" thickBot="1" x14ac:dyDescent="0.3">
      <c r="A2517" s="118">
        <v>7111076</v>
      </c>
    </row>
    <row r="2518" spans="1:1" ht="15.75" thickBot="1" x14ac:dyDescent="0.3">
      <c r="A2518" s="118">
        <v>7111084</v>
      </c>
    </row>
    <row r="2519" spans="1:1" ht="15.75" thickBot="1" x14ac:dyDescent="0.3">
      <c r="A2519" s="118">
        <v>7111092</v>
      </c>
    </row>
    <row r="2520" spans="1:1" ht="15.75" thickBot="1" x14ac:dyDescent="0.3">
      <c r="A2520" s="119">
        <v>7111103</v>
      </c>
    </row>
    <row r="2521" spans="1:1" ht="16.5" thickTop="1" thickBot="1" x14ac:dyDescent="0.3">
      <c r="A2521" s="118">
        <v>7111111</v>
      </c>
    </row>
    <row r="2522" spans="1:1" ht="15.75" thickBot="1" x14ac:dyDescent="0.3">
      <c r="A2522" s="118">
        <v>7111142</v>
      </c>
    </row>
    <row r="2523" spans="1:1" ht="15.75" thickBot="1" x14ac:dyDescent="0.3">
      <c r="A2523" s="118">
        <v>7111157</v>
      </c>
    </row>
    <row r="2524" spans="1:1" ht="15.75" thickBot="1" x14ac:dyDescent="0.3">
      <c r="A2524" s="118">
        <v>7111165</v>
      </c>
    </row>
    <row r="2525" spans="1:1" ht="15.75" thickBot="1" x14ac:dyDescent="0.3">
      <c r="A2525" s="118">
        <v>7111173</v>
      </c>
    </row>
    <row r="2526" spans="1:1" ht="15.75" thickBot="1" x14ac:dyDescent="0.3">
      <c r="A2526" s="118">
        <v>7111181</v>
      </c>
    </row>
    <row r="2527" spans="1:1" ht="15.75" thickBot="1" x14ac:dyDescent="0.3">
      <c r="A2527" s="118">
        <v>7111196</v>
      </c>
    </row>
    <row r="2528" spans="1:1" ht="15.75" thickBot="1" x14ac:dyDescent="0.3">
      <c r="A2528" s="118">
        <v>7111207</v>
      </c>
    </row>
    <row r="2529" spans="1:1" ht="15.75" thickBot="1" x14ac:dyDescent="0.3">
      <c r="A2529" s="118">
        <v>7111215</v>
      </c>
    </row>
    <row r="2530" spans="1:1" ht="15.75" thickBot="1" x14ac:dyDescent="0.3">
      <c r="A2530" s="118">
        <v>7111231</v>
      </c>
    </row>
    <row r="2531" spans="1:1" ht="15.75" thickBot="1" x14ac:dyDescent="0.3">
      <c r="A2531" s="118">
        <v>7111246</v>
      </c>
    </row>
    <row r="2532" spans="1:1" ht="15.75" thickBot="1" x14ac:dyDescent="0.3">
      <c r="A2532" s="118">
        <v>7111254</v>
      </c>
    </row>
    <row r="2533" spans="1:1" ht="15.75" thickBot="1" x14ac:dyDescent="0.3">
      <c r="A2533" s="118">
        <v>7111262</v>
      </c>
    </row>
    <row r="2534" spans="1:1" ht="15.75" thickBot="1" x14ac:dyDescent="0.3">
      <c r="A2534" s="118">
        <v>7111277</v>
      </c>
    </row>
    <row r="2535" spans="1:1" ht="15.75" thickBot="1" x14ac:dyDescent="0.3">
      <c r="A2535" s="118">
        <v>7111285</v>
      </c>
    </row>
    <row r="2536" spans="1:1" ht="15.75" thickBot="1" x14ac:dyDescent="0.3">
      <c r="A2536" s="118">
        <v>7111293</v>
      </c>
    </row>
    <row r="2537" spans="1:1" ht="15.75" thickBot="1" x14ac:dyDescent="0.3">
      <c r="A2537" s="118">
        <v>7111304</v>
      </c>
    </row>
    <row r="2538" spans="1:1" ht="15.75" thickBot="1" x14ac:dyDescent="0.3">
      <c r="A2538" s="118">
        <v>7111312</v>
      </c>
    </row>
    <row r="2539" spans="1:1" ht="15.75" thickBot="1" x14ac:dyDescent="0.3">
      <c r="A2539" s="118">
        <v>7111327</v>
      </c>
    </row>
    <row r="2540" spans="1:1" ht="15.75" thickBot="1" x14ac:dyDescent="0.3">
      <c r="A2540" s="118">
        <v>7111335</v>
      </c>
    </row>
    <row r="2541" spans="1:1" ht="15.75" thickBot="1" x14ac:dyDescent="0.3">
      <c r="A2541" s="118">
        <v>7111343</v>
      </c>
    </row>
    <row r="2542" spans="1:1" ht="15.75" thickBot="1" x14ac:dyDescent="0.3">
      <c r="A2542" s="118">
        <v>7111351</v>
      </c>
    </row>
    <row r="2543" spans="1:1" ht="15.75" thickBot="1" x14ac:dyDescent="0.3">
      <c r="A2543" s="118">
        <v>7111366</v>
      </c>
    </row>
    <row r="2544" spans="1:1" ht="15.75" thickBot="1" x14ac:dyDescent="0.3">
      <c r="A2544" s="118">
        <v>7111374</v>
      </c>
    </row>
    <row r="2545" spans="1:1" ht="15.75" thickBot="1" x14ac:dyDescent="0.3">
      <c r="A2545" s="118">
        <v>7111382</v>
      </c>
    </row>
    <row r="2546" spans="1:1" ht="15.75" thickBot="1" x14ac:dyDescent="0.3">
      <c r="A2546" s="118">
        <v>7111397</v>
      </c>
    </row>
    <row r="2547" spans="1:1" ht="15.75" thickBot="1" x14ac:dyDescent="0.3">
      <c r="A2547" s="118">
        <v>7111401</v>
      </c>
    </row>
    <row r="2548" spans="1:1" ht="15.75" thickBot="1" x14ac:dyDescent="0.3">
      <c r="A2548" s="119">
        <v>7111416</v>
      </c>
    </row>
    <row r="2549" spans="1:1" ht="16.5" thickTop="1" thickBot="1" x14ac:dyDescent="0.3">
      <c r="A2549" s="118">
        <v>7111424</v>
      </c>
    </row>
    <row r="2550" spans="1:1" ht="15.75" thickBot="1" x14ac:dyDescent="0.3">
      <c r="A2550" s="118">
        <v>7111432</v>
      </c>
    </row>
    <row r="2551" spans="1:1" ht="15.75" thickBot="1" x14ac:dyDescent="0.3">
      <c r="A2551" s="118">
        <v>7112025</v>
      </c>
    </row>
    <row r="2552" spans="1:1" ht="15.75" thickBot="1" x14ac:dyDescent="0.3">
      <c r="A2552" s="118">
        <v>7112033</v>
      </c>
    </row>
    <row r="2553" spans="1:1" ht="15.75" thickBot="1" x14ac:dyDescent="0.3">
      <c r="A2553" s="118">
        <v>7112041</v>
      </c>
    </row>
    <row r="2554" spans="1:1" ht="15.75" thickBot="1" x14ac:dyDescent="0.3">
      <c r="A2554" s="118">
        <v>7112056</v>
      </c>
    </row>
    <row r="2555" spans="1:1" ht="15.75" thickBot="1" x14ac:dyDescent="0.3">
      <c r="A2555" s="118">
        <v>7112064</v>
      </c>
    </row>
    <row r="2556" spans="1:1" ht="15.75" thickBot="1" x14ac:dyDescent="0.3">
      <c r="A2556" s="118">
        <v>7112072</v>
      </c>
    </row>
    <row r="2557" spans="1:1" ht="15.75" thickBot="1" x14ac:dyDescent="0.3">
      <c r="A2557" s="118">
        <v>7112087</v>
      </c>
    </row>
    <row r="2558" spans="1:1" ht="15.75" thickBot="1" x14ac:dyDescent="0.3">
      <c r="A2558" s="118">
        <v>7112095</v>
      </c>
    </row>
    <row r="2559" spans="1:1" ht="15.75" thickBot="1" x14ac:dyDescent="0.3">
      <c r="A2559" s="118">
        <v>7112106</v>
      </c>
    </row>
    <row r="2560" spans="1:1" ht="15.75" thickBot="1" x14ac:dyDescent="0.3">
      <c r="A2560" s="118">
        <v>7112114</v>
      </c>
    </row>
    <row r="2561" spans="1:1" ht="15.75" thickBot="1" x14ac:dyDescent="0.3">
      <c r="A2561" s="118">
        <v>7112122</v>
      </c>
    </row>
    <row r="2562" spans="1:1" ht="15.75" thickBot="1" x14ac:dyDescent="0.3">
      <c r="A2562" s="118">
        <v>7112137</v>
      </c>
    </row>
    <row r="2563" spans="1:1" ht="15.75" thickBot="1" x14ac:dyDescent="0.3">
      <c r="A2563" s="118">
        <v>7112145</v>
      </c>
    </row>
    <row r="2564" spans="1:1" ht="15.75" thickBot="1" x14ac:dyDescent="0.3">
      <c r="A2564" s="118">
        <v>7112153</v>
      </c>
    </row>
    <row r="2565" spans="1:1" ht="15.75" thickBot="1" x14ac:dyDescent="0.3">
      <c r="A2565" s="118">
        <v>7112161</v>
      </c>
    </row>
    <row r="2566" spans="1:1" ht="15.75" thickBot="1" x14ac:dyDescent="0.3">
      <c r="A2566" s="118">
        <v>7112176</v>
      </c>
    </row>
    <row r="2567" spans="1:1" ht="15.75" thickBot="1" x14ac:dyDescent="0.3">
      <c r="A2567" s="118">
        <v>7112184</v>
      </c>
    </row>
    <row r="2568" spans="1:1" ht="15.75" thickBot="1" x14ac:dyDescent="0.3">
      <c r="A2568" s="118">
        <v>7112192</v>
      </c>
    </row>
    <row r="2569" spans="1:1" ht="15.75" thickBot="1" x14ac:dyDescent="0.3">
      <c r="A2569" s="118">
        <v>7112203</v>
      </c>
    </row>
    <row r="2570" spans="1:1" ht="15.75" thickBot="1" x14ac:dyDescent="0.3">
      <c r="A2570" s="118">
        <v>7112211</v>
      </c>
    </row>
    <row r="2571" spans="1:1" ht="15.75" thickBot="1" x14ac:dyDescent="0.3">
      <c r="A2571" s="118">
        <v>7112226</v>
      </c>
    </row>
    <row r="2572" spans="1:1" ht="15.75" thickBot="1" x14ac:dyDescent="0.3">
      <c r="A2572" s="118">
        <v>7121016</v>
      </c>
    </row>
    <row r="2573" spans="1:1" ht="15.75" thickBot="1" x14ac:dyDescent="0.3">
      <c r="A2573" s="118">
        <v>7121024</v>
      </c>
    </row>
    <row r="2574" spans="1:1" ht="15.75" thickBot="1" x14ac:dyDescent="0.3">
      <c r="A2574" s="118">
        <v>7121032</v>
      </c>
    </row>
    <row r="2575" spans="1:1" ht="15.75" thickBot="1" x14ac:dyDescent="0.3">
      <c r="A2575" s="118">
        <v>7121047</v>
      </c>
    </row>
    <row r="2576" spans="1:1" ht="15.75" thickBot="1" x14ac:dyDescent="0.3">
      <c r="A2576" s="118">
        <v>7121055</v>
      </c>
    </row>
    <row r="2577" spans="1:1" ht="15.75" thickBot="1" x14ac:dyDescent="0.3">
      <c r="A2577" s="118">
        <v>7121063</v>
      </c>
    </row>
    <row r="2578" spans="1:1" ht="15.75" thickBot="1" x14ac:dyDescent="0.3">
      <c r="A2578" s="118">
        <v>7121071</v>
      </c>
    </row>
    <row r="2579" spans="1:1" ht="15.75" thickBot="1" x14ac:dyDescent="0.3">
      <c r="A2579" s="118">
        <v>7121086</v>
      </c>
    </row>
    <row r="2580" spans="1:1" ht="15.75" thickBot="1" x14ac:dyDescent="0.3">
      <c r="A2580" s="119">
        <v>7121094</v>
      </c>
    </row>
    <row r="2581" spans="1:1" ht="16.5" thickTop="1" thickBot="1" x14ac:dyDescent="0.3">
      <c r="A2581" s="118">
        <v>7121105</v>
      </c>
    </row>
    <row r="2582" spans="1:1" ht="15.75" thickBot="1" x14ac:dyDescent="0.3">
      <c r="A2582" s="118">
        <v>7121113</v>
      </c>
    </row>
    <row r="2583" spans="1:1" ht="15.75" thickBot="1" x14ac:dyDescent="0.3">
      <c r="A2583" s="118">
        <v>7121121</v>
      </c>
    </row>
    <row r="2584" spans="1:1" ht="15.75" thickBot="1" x14ac:dyDescent="0.3">
      <c r="A2584" s="118">
        <v>7121136</v>
      </c>
    </row>
    <row r="2585" spans="1:1" ht="15.75" thickBot="1" x14ac:dyDescent="0.3">
      <c r="A2585" s="118">
        <v>7121144</v>
      </c>
    </row>
    <row r="2586" spans="1:1" ht="15.75" thickBot="1" x14ac:dyDescent="0.3">
      <c r="A2586" s="118">
        <v>7121152</v>
      </c>
    </row>
    <row r="2587" spans="1:1" ht="15.75" thickBot="1" x14ac:dyDescent="0.3">
      <c r="A2587" s="118">
        <v>7121167</v>
      </c>
    </row>
    <row r="2588" spans="1:1" ht="15.75" thickBot="1" x14ac:dyDescent="0.3">
      <c r="A2588" s="118">
        <v>7121175</v>
      </c>
    </row>
    <row r="2589" spans="1:1" ht="15.75" thickBot="1" x14ac:dyDescent="0.3">
      <c r="A2589" s="118">
        <v>7121183</v>
      </c>
    </row>
    <row r="2590" spans="1:1" ht="15.75" thickBot="1" x14ac:dyDescent="0.3">
      <c r="A2590" s="118">
        <v>7121191</v>
      </c>
    </row>
    <row r="2591" spans="1:1" ht="15.75" thickBot="1" x14ac:dyDescent="0.3">
      <c r="A2591" s="118">
        <v>7121202</v>
      </c>
    </row>
    <row r="2592" spans="1:1" ht="15.75" thickBot="1" x14ac:dyDescent="0.3">
      <c r="A2592" s="118">
        <v>7121217</v>
      </c>
    </row>
    <row r="2593" spans="1:1" ht="15.75" thickBot="1" x14ac:dyDescent="0.3">
      <c r="A2593" s="118">
        <v>7121225</v>
      </c>
    </row>
    <row r="2594" spans="1:1" ht="15.75" thickBot="1" x14ac:dyDescent="0.3">
      <c r="A2594" s="118">
        <v>7121241</v>
      </c>
    </row>
    <row r="2595" spans="1:1" ht="15.75" thickBot="1" x14ac:dyDescent="0.3">
      <c r="A2595" s="118">
        <v>7121256</v>
      </c>
    </row>
    <row r="2596" spans="1:1" ht="15.75" thickBot="1" x14ac:dyDescent="0.3">
      <c r="A2596" s="119">
        <v>7121264</v>
      </c>
    </row>
    <row r="2597" spans="1:1" ht="16.5" thickTop="1" thickBot="1" x14ac:dyDescent="0.3">
      <c r="A2597" s="118">
        <v>7121272</v>
      </c>
    </row>
    <row r="2598" spans="1:1" ht="15.75" thickBot="1" x14ac:dyDescent="0.3">
      <c r="A2598" s="118">
        <v>7121287</v>
      </c>
    </row>
    <row r="2599" spans="1:1" ht="15.75" thickBot="1" x14ac:dyDescent="0.3">
      <c r="A2599" s="118">
        <v>7122012</v>
      </c>
    </row>
    <row r="2600" spans="1:1" ht="15.75" thickBot="1" x14ac:dyDescent="0.3">
      <c r="A2600" s="118">
        <v>7122027</v>
      </c>
    </row>
    <row r="2601" spans="1:1" ht="15.75" thickBot="1" x14ac:dyDescent="0.3">
      <c r="A2601" s="118">
        <v>7122035</v>
      </c>
    </row>
    <row r="2602" spans="1:1" ht="15.75" thickBot="1" x14ac:dyDescent="0.3">
      <c r="A2602" s="118">
        <v>7122043</v>
      </c>
    </row>
    <row r="2603" spans="1:1" ht="15.75" thickBot="1" x14ac:dyDescent="0.3">
      <c r="A2603" s="118">
        <v>7122051</v>
      </c>
    </row>
    <row r="2604" spans="1:1" ht="15.75" thickBot="1" x14ac:dyDescent="0.3">
      <c r="A2604" s="118">
        <v>7122066</v>
      </c>
    </row>
    <row r="2605" spans="1:1" ht="15.75" thickBot="1" x14ac:dyDescent="0.3">
      <c r="A2605" s="118">
        <v>7122074</v>
      </c>
    </row>
    <row r="2606" spans="1:1" ht="15.75" thickBot="1" x14ac:dyDescent="0.3">
      <c r="A2606" s="118">
        <v>7122082</v>
      </c>
    </row>
    <row r="2607" spans="1:1" ht="15.75" thickBot="1" x14ac:dyDescent="0.3">
      <c r="A2607" s="118">
        <v>7122097</v>
      </c>
    </row>
    <row r="2608" spans="1:1" ht="15.75" thickBot="1" x14ac:dyDescent="0.3">
      <c r="A2608" s="118">
        <v>7122101</v>
      </c>
    </row>
    <row r="2609" spans="1:1" ht="15.75" thickBot="1" x14ac:dyDescent="0.3">
      <c r="A2609" s="118">
        <v>7122116</v>
      </c>
    </row>
    <row r="2610" spans="1:1" ht="15.75" thickBot="1" x14ac:dyDescent="0.3">
      <c r="A2610" s="118">
        <v>7122124</v>
      </c>
    </row>
    <row r="2611" spans="1:1" ht="15.75" thickBot="1" x14ac:dyDescent="0.3">
      <c r="A2611" s="118">
        <v>7122132</v>
      </c>
    </row>
    <row r="2612" spans="1:1" ht="15.75" thickBot="1" x14ac:dyDescent="0.3">
      <c r="A2612" s="118">
        <v>7122147</v>
      </c>
    </row>
    <row r="2613" spans="1:1" ht="15.75" thickBot="1" x14ac:dyDescent="0.3">
      <c r="A2613" s="118">
        <v>7122171</v>
      </c>
    </row>
    <row r="2614" spans="1:1" ht="15.75" thickBot="1" x14ac:dyDescent="0.3">
      <c r="A2614" s="118">
        <v>7122186</v>
      </c>
    </row>
    <row r="2615" spans="1:1" ht="15.75" thickBot="1" x14ac:dyDescent="0.3">
      <c r="A2615" s="118">
        <v>7122213</v>
      </c>
    </row>
    <row r="2616" spans="1:1" ht="15.75" thickBot="1" x14ac:dyDescent="0.3">
      <c r="A2616" s="118">
        <v>7122221</v>
      </c>
    </row>
    <row r="2617" spans="1:1" ht="15.75" thickBot="1" x14ac:dyDescent="0.3">
      <c r="A2617" s="118">
        <v>7122236</v>
      </c>
    </row>
    <row r="2618" spans="1:1" ht="15.75" thickBot="1" x14ac:dyDescent="0.3">
      <c r="A2618" s="118">
        <v>7122244</v>
      </c>
    </row>
    <row r="2619" spans="1:1" ht="15.75" thickBot="1" x14ac:dyDescent="0.3">
      <c r="A2619" s="118">
        <v>7122252</v>
      </c>
    </row>
    <row r="2620" spans="1:1" ht="15.75" thickBot="1" x14ac:dyDescent="0.3">
      <c r="A2620" s="118">
        <v>7122267</v>
      </c>
    </row>
    <row r="2621" spans="1:1" ht="15.75" thickBot="1" x14ac:dyDescent="0.3">
      <c r="A2621" s="118">
        <v>7122275</v>
      </c>
    </row>
    <row r="2622" spans="1:1" ht="15.75" thickBot="1" x14ac:dyDescent="0.3">
      <c r="A2622" s="118">
        <v>7122283</v>
      </c>
    </row>
    <row r="2623" spans="1:1" ht="15.75" thickBot="1" x14ac:dyDescent="0.3">
      <c r="A2623" s="118">
        <v>7122291</v>
      </c>
    </row>
    <row r="2624" spans="1:1" ht="15.75" thickBot="1" x14ac:dyDescent="0.3">
      <c r="A2624" s="118">
        <v>7122302</v>
      </c>
    </row>
    <row r="2625" spans="1:1" ht="15.75" thickBot="1" x14ac:dyDescent="0.3">
      <c r="A2625" s="118">
        <v>7122317</v>
      </c>
    </row>
    <row r="2626" spans="1:1" ht="15.75" thickBot="1" x14ac:dyDescent="0.3">
      <c r="A2626" s="119">
        <v>7122333</v>
      </c>
    </row>
    <row r="2627" spans="1:1" ht="16.5" thickTop="1" thickBot="1" x14ac:dyDescent="0.3">
      <c r="A2627" s="118">
        <v>7122341</v>
      </c>
    </row>
    <row r="2628" spans="1:1" ht="15.75" thickBot="1" x14ac:dyDescent="0.3">
      <c r="A2628" s="118">
        <v>7122356</v>
      </c>
    </row>
    <row r="2629" spans="1:1" ht="15.75" thickBot="1" x14ac:dyDescent="0.3">
      <c r="A2629" s="118">
        <v>7122364</v>
      </c>
    </row>
    <row r="2630" spans="1:1" ht="15.75" thickBot="1" x14ac:dyDescent="0.3">
      <c r="A2630" s="118">
        <v>7122372</v>
      </c>
    </row>
    <row r="2631" spans="1:1" ht="15.75" thickBot="1" x14ac:dyDescent="0.3">
      <c r="A2631" s="118">
        <v>7122387</v>
      </c>
    </row>
    <row r="2632" spans="1:1" ht="15.75" thickBot="1" x14ac:dyDescent="0.3">
      <c r="A2632" s="118">
        <v>7122395</v>
      </c>
    </row>
    <row r="2633" spans="1:1" ht="15.75" thickBot="1" x14ac:dyDescent="0.3">
      <c r="A2633" s="118">
        <v>7122406</v>
      </c>
    </row>
    <row r="2634" spans="1:1" ht="15.75" thickBot="1" x14ac:dyDescent="0.3">
      <c r="A2634" s="118">
        <v>7122422</v>
      </c>
    </row>
    <row r="2635" spans="1:1" ht="15.75" thickBot="1" x14ac:dyDescent="0.3">
      <c r="A2635" s="118">
        <v>7122437</v>
      </c>
    </row>
    <row r="2636" spans="1:1" ht="15.75" thickBot="1" x14ac:dyDescent="0.3">
      <c r="A2636" s="118">
        <v>7122445</v>
      </c>
    </row>
    <row r="2637" spans="1:1" ht="15.75" thickBot="1" x14ac:dyDescent="0.3">
      <c r="A2637" s="118">
        <v>7122453</v>
      </c>
    </row>
    <row r="2638" spans="1:1" ht="15.75" thickBot="1" x14ac:dyDescent="0.3">
      <c r="A2638" s="118">
        <v>7122461</v>
      </c>
    </row>
    <row r="2639" spans="1:1" ht="15.75" thickBot="1" x14ac:dyDescent="0.3">
      <c r="A2639" s="118">
        <v>7122476</v>
      </c>
    </row>
    <row r="2640" spans="1:1" ht="15.75" thickBot="1" x14ac:dyDescent="0.3">
      <c r="A2640" s="118">
        <v>7131011</v>
      </c>
    </row>
    <row r="2641" spans="1:1" ht="15.75" thickBot="1" x14ac:dyDescent="0.3">
      <c r="A2641" s="118">
        <v>7131034</v>
      </c>
    </row>
    <row r="2642" spans="1:1" ht="15.75" thickBot="1" x14ac:dyDescent="0.3">
      <c r="A2642" s="118">
        <v>7131065</v>
      </c>
    </row>
    <row r="2643" spans="1:1" ht="15.75" thickBot="1" x14ac:dyDescent="0.3">
      <c r="A2643" s="118">
        <v>7131073</v>
      </c>
    </row>
    <row r="2644" spans="1:1" ht="15.75" thickBot="1" x14ac:dyDescent="0.3">
      <c r="A2644" s="118">
        <v>7131081</v>
      </c>
    </row>
    <row r="2645" spans="1:1" ht="15.75" thickBot="1" x14ac:dyDescent="0.3">
      <c r="A2645" s="118">
        <v>7131154</v>
      </c>
    </row>
    <row r="2646" spans="1:1" ht="15.75" thickBot="1" x14ac:dyDescent="0.3">
      <c r="A2646" s="119">
        <v>7131162</v>
      </c>
    </row>
    <row r="2647" spans="1:1" ht="16.5" thickTop="1" thickBot="1" x14ac:dyDescent="0.3">
      <c r="A2647" s="118">
        <v>7132014</v>
      </c>
    </row>
    <row r="2648" spans="1:1" ht="15.75" thickBot="1" x14ac:dyDescent="0.3">
      <c r="A2648" s="118">
        <v>7132022</v>
      </c>
    </row>
    <row r="2649" spans="1:1" ht="15.75" thickBot="1" x14ac:dyDescent="0.3">
      <c r="A2649" s="118">
        <v>7132037</v>
      </c>
    </row>
    <row r="2650" spans="1:1" ht="15.75" thickBot="1" x14ac:dyDescent="0.3">
      <c r="A2650" s="118">
        <v>7132084</v>
      </c>
    </row>
    <row r="2651" spans="1:1" ht="15.75" thickBot="1" x14ac:dyDescent="0.3">
      <c r="A2651" s="118">
        <v>7132092</v>
      </c>
    </row>
    <row r="2652" spans="1:1" ht="15.75" thickBot="1" x14ac:dyDescent="0.3">
      <c r="A2652" s="118">
        <v>7132196</v>
      </c>
    </row>
    <row r="2653" spans="1:1" ht="15.75" thickBot="1" x14ac:dyDescent="0.3">
      <c r="A2653" s="118">
        <v>7132285</v>
      </c>
    </row>
    <row r="2654" spans="1:1" ht="15.75" thickBot="1" x14ac:dyDescent="0.3">
      <c r="A2654" s="118">
        <v>7132424</v>
      </c>
    </row>
    <row r="2655" spans="1:1" ht="15.75" thickBot="1" x14ac:dyDescent="0.3">
      <c r="A2655" s="118">
        <v>7132432</v>
      </c>
    </row>
    <row r="2656" spans="1:1" ht="15.75" thickBot="1" x14ac:dyDescent="0.3">
      <c r="A2656" s="121">
        <v>7211015</v>
      </c>
    </row>
    <row r="2657" spans="1:1" ht="15.75" thickBot="1" x14ac:dyDescent="0.3">
      <c r="A2657" s="121">
        <v>7211023</v>
      </c>
    </row>
    <row r="2658" spans="1:1" ht="15.75" thickBot="1" x14ac:dyDescent="0.3">
      <c r="A2658" s="121">
        <v>7211031</v>
      </c>
    </row>
    <row r="2659" spans="1:1" ht="15.75" thickBot="1" x14ac:dyDescent="0.3">
      <c r="A2659" s="121">
        <v>7211046</v>
      </c>
    </row>
    <row r="2660" spans="1:1" ht="15.75" thickBot="1" x14ac:dyDescent="0.3">
      <c r="A2660" s="121">
        <v>7211054</v>
      </c>
    </row>
    <row r="2661" spans="1:1" ht="15.75" thickBot="1" x14ac:dyDescent="0.3">
      <c r="A2661" s="121">
        <v>7211062</v>
      </c>
    </row>
    <row r="2662" spans="1:1" ht="15.75" thickBot="1" x14ac:dyDescent="0.3">
      <c r="A2662" s="121">
        <v>7211077</v>
      </c>
    </row>
    <row r="2663" spans="1:1" ht="15.75" thickBot="1" x14ac:dyDescent="0.3">
      <c r="A2663" s="121">
        <v>7211085</v>
      </c>
    </row>
    <row r="2664" spans="1:1" ht="15.75" thickBot="1" x14ac:dyDescent="0.3">
      <c r="A2664" s="121">
        <v>7211093</v>
      </c>
    </row>
    <row r="2665" spans="1:1" ht="15.75" thickBot="1" x14ac:dyDescent="0.3">
      <c r="A2665" s="121">
        <v>7211104</v>
      </c>
    </row>
    <row r="2666" spans="1:1" ht="15.75" thickBot="1" x14ac:dyDescent="0.3">
      <c r="A2666" s="121">
        <v>7211112</v>
      </c>
    </row>
    <row r="2667" spans="1:1" ht="15.75" thickBot="1" x14ac:dyDescent="0.3">
      <c r="A2667" s="121">
        <v>7211127</v>
      </c>
    </row>
    <row r="2668" spans="1:1" ht="15.75" thickBot="1" x14ac:dyDescent="0.3">
      <c r="A2668" s="121">
        <v>7211135</v>
      </c>
    </row>
    <row r="2669" spans="1:1" ht="15.75" thickBot="1" x14ac:dyDescent="0.3">
      <c r="A2669" s="121">
        <v>7211143</v>
      </c>
    </row>
    <row r="2670" spans="1:1" ht="15.75" thickBot="1" x14ac:dyDescent="0.3">
      <c r="A2670" s="121">
        <v>7211151</v>
      </c>
    </row>
    <row r="2671" spans="1:1" ht="15.75" thickBot="1" x14ac:dyDescent="0.3">
      <c r="A2671" s="121">
        <v>7211166</v>
      </c>
    </row>
    <row r="2672" spans="1:1" ht="15.75" thickBot="1" x14ac:dyDescent="0.3">
      <c r="A2672" s="121">
        <v>7211174</v>
      </c>
    </row>
    <row r="2673" spans="1:1" ht="15.75" thickBot="1" x14ac:dyDescent="0.3">
      <c r="A2673" s="121">
        <v>7211182</v>
      </c>
    </row>
    <row r="2674" spans="1:1" ht="15.75" thickBot="1" x14ac:dyDescent="0.3">
      <c r="A2674" s="121">
        <v>7211197</v>
      </c>
    </row>
    <row r="2675" spans="1:1" ht="15.75" thickBot="1" x14ac:dyDescent="0.3">
      <c r="A2675" s="121">
        <v>7211201</v>
      </c>
    </row>
    <row r="2676" spans="1:1" ht="15.75" thickBot="1" x14ac:dyDescent="0.3">
      <c r="A2676" s="121">
        <v>7211216</v>
      </c>
    </row>
    <row r="2677" spans="1:1" ht="15.75" thickBot="1" x14ac:dyDescent="0.3">
      <c r="A2677" s="121">
        <v>7211224</v>
      </c>
    </row>
    <row r="2678" spans="1:1" ht="15.75" thickBot="1" x14ac:dyDescent="0.3">
      <c r="A2678" s="121">
        <v>7211232</v>
      </c>
    </row>
    <row r="2679" spans="1:1" ht="15.75" thickBot="1" x14ac:dyDescent="0.3">
      <c r="A2679" s="121">
        <v>7211247</v>
      </c>
    </row>
    <row r="2680" spans="1:1" ht="15.75" thickBot="1" x14ac:dyDescent="0.3">
      <c r="A2680" s="121">
        <v>7211255</v>
      </c>
    </row>
    <row r="2681" spans="1:1" ht="15.75" thickBot="1" x14ac:dyDescent="0.3">
      <c r="A2681" s="121">
        <v>7211263</v>
      </c>
    </row>
    <row r="2682" spans="1:1" ht="15.75" thickBot="1" x14ac:dyDescent="0.3">
      <c r="A2682" s="121">
        <v>7211271</v>
      </c>
    </row>
    <row r="2683" spans="1:1" ht="15.75" thickBot="1" x14ac:dyDescent="0.3">
      <c r="A2683" s="121">
        <v>7211286</v>
      </c>
    </row>
    <row r="2684" spans="1:1" ht="15.75" thickBot="1" x14ac:dyDescent="0.3">
      <c r="A2684" s="121">
        <v>7211294</v>
      </c>
    </row>
    <row r="2685" spans="1:1" ht="15.75" thickBot="1" x14ac:dyDescent="0.3">
      <c r="A2685" s="121">
        <v>7211305</v>
      </c>
    </row>
    <row r="2686" spans="1:1" ht="15.75" thickBot="1" x14ac:dyDescent="0.3">
      <c r="A2686" s="122">
        <v>7211313</v>
      </c>
    </row>
    <row r="2687" spans="1:1" ht="16.5" thickTop="1" thickBot="1" x14ac:dyDescent="0.3">
      <c r="A2687" s="121">
        <v>7211321</v>
      </c>
    </row>
    <row r="2688" spans="1:1" ht="15.75" thickBot="1" x14ac:dyDescent="0.3">
      <c r="A2688" s="118">
        <v>7212011</v>
      </c>
    </row>
    <row r="2689" spans="1:1" ht="15.75" thickBot="1" x14ac:dyDescent="0.3">
      <c r="A2689" s="118">
        <v>7212026</v>
      </c>
    </row>
    <row r="2690" spans="1:1" ht="15.75" thickBot="1" x14ac:dyDescent="0.3">
      <c r="A2690" s="118">
        <v>7212034</v>
      </c>
    </row>
    <row r="2691" spans="1:1" ht="15.75" thickBot="1" x14ac:dyDescent="0.3">
      <c r="A2691" s="118">
        <v>7212042</v>
      </c>
    </row>
    <row r="2692" spans="1:1" ht="15.75" thickBot="1" x14ac:dyDescent="0.3">
      <c r="A2692" s="118">
        <v>7212057</v>
      </c>
    </row>
    <row r="2693" spans="1:1" ht="15.75" thickBot="1" x14ac:dyDescent="0.3">
      <c r="A2693" s="118">
        <v>7212065</v>
      </c>
    </row>
    <row r="2694" spans="1:1" ht="15.75" thickBot="1" x14ac:dyDescent="0.3">
      <c r="A2694" s="118">
        <v>7212073</v>
      </c>
    </row>
    <row r="2695" spans="1:1" ht="15.75" thickBot="1" x14ac:dyDescent="0.3">
      <c r="A2695" s="118">
        <v>7212081</v>
      </c>
    </row>
    <row r="2696" spans="1:1" ht="15.75" thickBot="1" x14ac:dyDescent="0.3">
      <c r="A2696" s="118">
        <v>7212096</v>
      </c>
    </row>
    <row r="2697" spans="1:1" ht="15.75" thickBot="1" x14ac:dyDescent="0.3">
      <c r="A2697" s="118">
        <v>7212107</v>
      </c>
    </row>
    <row r="2698" spans="1:1" ht="15.75" thickBot="1" x14ac:dyDescent="0.3">
      <c r="A2698" s="118">
        <v>7212115</v>
      </c>
    </row>
    <row r="2699" spans="1:1" ht="15.75" thickBot="1" x14ac:dyDescent="0.3">
      <c r="A2699" s="118">
        <v>7212123</v>
      </c>
    </row>
    <row r="2700" spans="1:1" ht="15.75" thickBot="1" x14ac:dyDescent="0.3">
      <c r="A2700" s="118">
        <v>7212131</v>
      </c>
    </row>
    <row r="2701" spans="1:1" ht="15.75" thickBot="1" x14ac:dyDescent="0.3">
      <c r="A2701" s="118">
        <v>7212146</v>
      </c>
    </row>
    <row r="2702" spans="1:1" ht="15.75" thickBot="1" x14ac:dyDescent="0.3">
      <c r="A2702" s="118">
        <v>7212154</v>
      </c>
    </row>
    <row r="2703" spans="1:1" ht="15.75" thickBot="1" x14ac:dyDescent="0.3">
      <c r="A2703" s="118">
        <v>7212162</v>
      </c>
    </row>
    <row r="2704" spans="1:1" ht="15.75" thickBot="1" x14ac:dyDescent="0.3">
      <c r="A2704" s="118">
        <v>7221017</v>
      </c>
    </row>
    <row r="2705" spans="1:1" ht="15.75" thickBot="1" x14ac:dyDescent="0.3">
      <c r="A2705" s="118">
        <v>7221025</v>
      </c>
    </row>
    <row r="2706" spans="1:1" ht="15.75" thickBot="1" x14ac:dyDescent="0.3">
      <c r="A2706" s="118">
        <v>7221033</v>
      </c>
    </row>
    <row r="2707" spans="1:1" ht="15.75" thickBot="1" x14ac:dyDescent="0.3">
      <c r="A2707" s="119">
        <v>7221041</v>
      </c>
    </row>
    <row r="2708" spans="1:1" ht="16.5" thickTop="1" thickBot="1" x14ac:dyDescent="0.3">
      <c r="A2708" s="118">
        <v>7221056</v>
      </c>
    </row>
    <row r="2709" spans="1:1" ht="15.75" thickBot="1" x14ac:dyDescent="0.3">
      <c r="A2709" s="118">
        <v>7221064</v>
      </c>
    </row>
    <row r="2710" spans="1:1" ht="15.75" thickBot="1" x14ac:dyDescent="0.3">
      <c r="A2710" s="118">
        <v>7221072</v>
      </c>
    </row>
    <row r="2711" spans="1:1" ht="15.75" thickBot="1" x14ac:dyDescent="0.3">
      <c r="A2711" s="118">
        <v>7221087</v>
      </c>
    </row>
    <row r="2712" spans="1:1" ht="15.75" thickBot="1" x14ac:dyDescent="0.3">
      <c r="A2712" s="118">
        <v>7221095</v>
      </c>
    </row>
    <row r="2713" spans="1:1" ht="15.75" thickBot="1" x14ac:dyDescent="0.3">
      <c r="A2713" s="118">
        <v>7221106</v>
      </c>
    </row>
    <row r="2714" spans="1:1" ht="15.75" thickBot="1" x14ac:dyDescent="0.3">
      <c r="A2714" s="119">
        <v>7221114</v>
      </c>
    </row>
    <row r="2715" spans="1:1" ht="16.5" thickTop="1" thickBot="1" x14ac:dyDescent="0.3">
      <c r="A2715" s="118">
        <v>7221122</v>
      </c>
    </row>
    <row r="2716" spans="1:1" ht="15.75" thickBot="1" x14ac:dyDescent="0.3">
      <c r="A2716" s="118">
        <v>7221137</v>
      </c>
    </row>
    <row r="2717" spans="1:1" ht="15.75" thickBot="1" x14ac:dyDescent="0.3">
      <c r="A2717" s="118">
        <v>7221176</v>
      </c>
    </row>
    <row r="2718" spans="1:1" ht="15.75" thickBot="1" x14ac:dyDescent="0.3">
      <c r="A2718" s="118">
        <v>7221346</v>
      </c>
    </row>
    <row r="2719" spans="1:1" ht="15.75" thickBot="1" x14ac:dyDescent="0.3">
      <c r="A2719" s="118">
        <v>7221354</v>
      </c>
    </row>
    <row r="2720" spans="1:1" ht="15.75" thickBot="1" x14ac:dyDescent="0.3">
      <c r="A2720" s="118">
        <v>7221362</v>
      </c>
    </row>
    <row r="2721" spans="1:1" ht="15.75" thickBot="1" x14ac:dyDescent="0.3">
      <c r="A2721" s="118">
        <v>7221377</v>
      </c>
    </row>
    <row r="2722" spans="1:1" ht="15.75" thickBot="1" x14ac:dyDescent="0.3">
      <c r="A2722" s="118">
        <v>7221385</v>
      </c>
    </row>
    <row r="2723" spans="1:1" ht="15.75" thickBot="1" x14ac:dyDescent="0.3">
      <c r="A2723" s="119">
        <v>7222013</v>
      </c>
    </row>
    <row r="2724" spans="1:1" ht="16.5" thickTop="1" thickBot="1" x14ac:dyDescent="0.3">
      <c r="A2724" s="118">
        <v>7222021</v>
      </c>
    </row>
    <row r="2725" spans="1:1" ht="15.75" thickBot="1" x14ac:dyDescent="0.3">
      <c r="A2725" s="118">
        <v>7222044</v>
      </c>
    </row>
    <row r="2726" spans="1:1" ht="15.75" thickBot="1" x14ac:dyDescent="0.3">
      <c r="A2726" s="118">
        <v>7222052</v>
      </c>
    </row>
    <row r="2727" spans="1:1" ht="15.75" thickBot="1" x14ac:dyDescent="0.3">
      <c r="A2727" s="118">
        <v>7222067</v>
      </c>
    </row>
    <row r="2728" spans="1:1" ht="15.75" thickBot="1" x14ac:dyDescent="0.3">
      <c r="A2728" s="118">
        <v>7222075</v>
      </c>
    </row>
    <row r="2729" spans="1:1" ht="15.75" thickBot="1" x14ac:dyDescent="0.3">
      <c r="A2729" s="118">
        <v>7222083</v>
      </c>
    </row>
    <row r="2730" spans="1:1" ht="15.75" thickBot="1" x14ac:dyDescent="0.3">
      <c r="A2730" s="118">
        <v>7222091</v>
      </c>
    </row>
    <row r="2731" spans="1:1" ht="15.75" thickBot="1" x14ac:dyDescent="0.3">
      <c r="A2731" s="118">
        <v>7222102</v>
      </c>
    </row>
    <row r="2732" spans="1:1" ht="15.75" thickBot="1" x14ac:dyDescent="0.3">
      <c r="A2732" s="118">
        <v>7222117</v>
      </c>
    </row>
    <row r="2733" spans="1:1" ht="15.75" thickBot="1" x14ac:dyDescent="0.3">
      <c r="A2733" s="118">
        <v>7222125</v>
      </c>
    </row>
    <row r="2734" spans="1:1" ht="15.75" thickBot="1" x14ac:dyDescent="0.3">
      <c r="A2734" s="118">
        <v>7222133</v>
      </c>
    </row>
    <row r="2735" spans="1:1" ht="15.75" thickBot="1" x14ac:dyDescent="0.3">
      <c r="A2735" s="118">
        <v>7222141</v>
      </c>
    </row>
    <row r="2736" spans="1:1" ht="15.75" thickBot="1" x14ac:dyDescent="0.3">
      <c r="A2736" s="118">
        <v>7222156</v>
      </c>
    </row>
    <row r="2737" spans="1:1" ht="15.75" thickBot="1" x14ac:dyDescent="0.3">
      <c r="A2737" s="118">
        <v>7222164</v>
      </c>
    </row>
    <row r="2738" spans="1:1" ht="15.75" thickBot="1" x14ac:dyDescent="0.3">
      <c r="A2738" s="118">
        <v>7222172</v>
      </c>
    </row>
    <row r="2739" spans="1:1" ht="15.75" thickBot="1" x14ac:dyDescent="0.3">
      <c r="A2739" s="118">
        <v>7222187</v>
      </c>
    </row>
    <row r="2740" spans="1:1" ht="15.75" thickBot="1" x14ac:dyDescent="0.3">
      <c r="A2740" s="118">
        <v>7222195</v>
      </c>
    </row>
    <row r="2741" spans="1:1" ht="15.75" thickBot="1" x14ac:dyDescent="0.3">
      <c r="A2741" s="118">
        <v>7222206</v>
      </c>
    </row>
    <row r="2742" spans="1:1" ht="15.75" thickBot="1" x14ac:dyDescent="0.3">
      <c r="A2742" s="118">
        <v>7222214</v>
      </c>
    </row>
    <row r="2743" spans="1:1" ht="15.75" thickBot="1" x14ac:dyDescent="0.3">
      <c r="A2743" s="118">
        <v>7222222</v>
      </c>
    </row>
    <row r="2744" spans="1:1" ht="15.75" thickBot="1" x14ac:dyDescent="0.3">
      <c r="A2744" s="118">
        <v>7222237</v>
      </c>
    </row>
    <row r="2745" spans="1:1" ht="15.75" thickBot="1" x14ac:dyDescent="0.3">
      <c r="A2745" s="118">
        <v>7222253</v>
      </c>
    </row>
    <row r="2746" spans="1:1" ht="15.75" thickBot="1" x14ac:dyDescent="0.3">
      <c r="A2746" s="118">
        <v>7222261</v>
      </c>
    </row>
    <row r="2747" spans="1:1" ht="15.75" thickBot="1" x14ac:dyDescent="0.3">
      <c r="A2747" s="118">
        <v>7222276</v>
      </c>
    </row>
    <row r="2748" spans="1:1" ht="15.75" thickBot="1" x14ac:dyDescent="0.3">
      <c r="A2748" s="118">
        <v>7222284</v>
      </c>
    </row>
    <row r="2749" spans="1:1" ht="15.75" thickBot="1" x14ac:dyDescent="0.3">
      <c r="A2749" s="118">
        <v>7222303</v>
      </c>
    </row>
    <row r="2750" spans="1:1" ht="15.75" thickBot="1" x14ac:dyDescent="0.3">
      <c r="A2750" s="119">
        <v>7222311</v>
      </c>
    </row>
    <row r="2751" spans="1:1" ht="16.5" thickTop="1" thickBot="1" x14ac:dyDescent="0.3">
      <c r="A2751" s="118">
        <v>7311016</v>
      </c>
    </row>
    <row r="2752" spans="1:1" ht="15.75" thickBot="1" x14ac:dyDescent="0.3">
      <c r="A2752" s="118">
        <v>7311024</v>
      </c>
    </row>
    <row r="2753" spans="1:1" ht="15.75" thickBot="1" x14ac:dyDescent="0.3">
      <c r="A2753" s="118">
        <v>7311032</v>
      </c>
    </row>
    <row r="2754" spans="1:1" ht="15.75" thickBot="1" x14ac:dyDescent="0.3">
      <c r="A2754" s="118">
        <v>7311047</v>
      </c>
    </row>
    <row r="2755" spans="1:1" ht="15.75" thickBot="1" x14ac:dyDescent="0.3">
      <c r="A2755" s="118">
        <v>7311055</v>
      </c>
    </row>
    <row r="2756" spans="1:1" ht="15.75" thickBot="1" x14ac:dyDescent="0.3">
      <c r="A2756" s="118">
        <v>7311063</v>
      </c>
    </row>
    <row r="2757" spans="1:1" ht="15.75" thickBot="1" x14ac:dyDescent="0.3">
      <c r="A2757" s="118">
        <v>7311071</v>
      </c>
    </row>
    <row r="2758" spans="1:1" ht="15.75" thickBot="1" x14ac:dyDescent="0.3">
      <c r="A2758" s="118">
        <v>7311086</v>
      </c>
    </row>
    <row r="2759" spans="1:1" ht="15.75" thickBot="1" x14ac:dyDescent="0.3">
      <c r="A2759" s="118">
        <v>7311105</v>
      </c>
    </row>
    <row r="2760" spans="1:1" ht="15.75" thickBot="1" x14ac:dyDescent="0.3">
      <c r="A2760" s="118">
        <v>7311113</v>
      </c>
    </row>
    <row r="2761" spans="1:1" ht="15.75" thickBot="1" x14ac:dyDescent="0.3">
      <c r="A2761" s="118">
        <v>7311121</v>
      </c>
    </row>
    <row r="2762" spans="1:1" ht="15.75" thickBot="1" x14ac:dyDescent="0.3">
      <c r="A2762" s="118">
        <v>7311136</v>
      </c>
    </row>
    <row r="2763" spans="1:1" ht="15.75" thickBot="1" x14ac:dyDescent="0.3">
      <c r="A2763" s="118">
        <v>7311144</v>
      </c>
    </row>
    <row r="2764" spans="1:1" ht="15.75" thickBot="1" x14ac:dyDescent="0.3">
      <c r="A2764" s="118">
        <v>7311152</v>
      </c>
    </row>
    <row r="2765" spans="1:1" ht="15.75" thickBot="1" x14ac:dyDescent="0.3">
      <c r="A2765" s="118">
        <v>7311167</v>
      </c>
    </row>
    <row r="2766" spans="1:1" ht="15.75" thickBot="1" x14ac:dyDescent="0.3">
      <c r="A2766" s="118">
        <v>7311175</v>
      </c>
    </row>
    <row r="2767" spans="1:1" ht="15.75" thickBot="1" x14ac:dyDescent="0.3">
      <c r="A2767" s="118">
        <v>7311183</v>
      </c>
    </row>
    <row r="2768" spans="1:1" ht="15.75" thickBot="1" x14ac:dyDescent="0.3">
      <c r="A2768" s="118">
        <v>7311191</v>
      </c>
    </row>
    <row r="2769" spans="1:1" ht="15.75" thickBot="1" x14ac:dyDescent="0.3">
      <c r="A2769" s="118">
        <v>7311202</v>
      </c>
    </row>
    <row r="2770" spans="1:1" ht="15.75" thickBot="1" x14ac:dyDescent="0.3">
      <c r="A2770" s="118">
        <v>7311217</v>
      </c>
    </row>
    <row r="2771" spans="1:1" ht="15.75" thickBot="1" x14ac:dyDescent="0.3">
      <c r="A2771" s="118">
        <v>7311225</v>
      </c>
    </row>
    <row r="2772" spans="1:1" ht="15.75" thickBot="1" x14ac:dyDescent="0.3">
      <c r="A2772" s="118">
        <v>7311233</v>
      </c>
    </row>
    <row r="2773" spans="1:1" ht="15.75" thickBot="1" x14ac:dyDescent="0.3">
      <c r="A2773" s="118">
        <v>7311241</v>
      </c>
    </row>
    <row r="2774" spans="1:1" ht="15.75" thickBot="1" x14ac:dyDescent="0.3">
      <c r="A2774" s="118">
        <v>7311256</v>
      </c>
    </row>
    <row r="2775" spans="1:1" ht="15.75" thickBot="1" x14ac:dyDescent="0.3">
      <c r="A2775" s="118">
        <v>7311264</v>
      </c>
    </row>
    <row r="2776" spans="1:1" ht="15.75" thickBot="1" x14ac:dyDescent="0.3">
      <c r="A2776" s="118">
        <v>7311272</v>
      </c>
    </row>
    <row r="2777" spans="1:1" ht="15.75" thickBot="1" x14ac:dyDescent="0.3">
      <c r="A2777" s="118">
        <v>7311287</v>
      </c>
    </row>
    <row r="2778" spans="1:1" ht="15.75" thickBot="1" x14ac:dyDescent="0.3">
      <c r="A2778" s="118">
        <v>7311295</v>
      </c>
    </row>
    <row r="2779" spans="1:1" ht="15.75" thickBot="1" x14ac:dyDescent="0.3">
      <c r="A2779" s="118">
        <v>7311306</v>
      </c>
    </row>
    <row r="2780" spans="1:1" ht="15.75" thickBot="1" x14ac:dyDescent="0.3">
      <c r="A2780" s="118">
        <v>7311314</v>
      </c>
    </row>
    <row r="2781" spans="1:1" ht="15.75" thickBot="1" x14ac:dyDescent="0.3">
      <c r="A2781" s="118">
        <v>7312012</v>
      </c>
    </row>
    <row r="2782" spans="1:1" ht="15.75" thickBot="1" x14ac:dyDescent="0.3">
      <c r="A2782" s="118">
        <v>7312027</v>
      </c>
    </row>
    <row r="2783" spans="1:1" ht="15.75" thickBot="1" x14ac:dyDescent="0.3">
      <c r="A2783" s="118">
        <v>7312035</v>
      </c>
    </row>
    <row r="2784" spans="1:1" ht="15.75" thickBot="1" x14ac:dyDescent="0.3">
      <c r="A2784" s="118">
        <v>7312043</v>
      </c>
    </row>
    <row r="2785" spans="1:1" ht="15.75" thickBot="1" x14ac:dyDescent="0.3">
      <c r="A2785" s="118">
        <v>7312051</v>
      </c>
    </row>
    <row r="2786" spans="1:1" ht="15.75" thickBot="1" x14ac:dyDescent="0.3">
      <c r="A2786" s="118">
        <v>7312066</v>
      </c>
    </row>
    <row r="2787" spans="1:1" ht="15.75" thickBot="1" x14ac:dyDescent="0.3">
      <c r="A2787" s="118">
        <v>7312074</v>
      </c>
    </row>
    <row r="2788" spans="1:1" ht="15.75" thickBot="1" x14ac:dyDescent="0.3">
      <c r="A2788" s="118">
        <v>7312082</v>
      </c>
    </row>
    <row r="2789" spans="1:1" ht="15.75" thickBot="1" x14ac:dyDescent="0.3">
      <c r="A2789" s="118">
        <v>7312097</v>
      </c>
    </row>
    <row r="2790" spans="1:1" ht="15.75" thickBot="1" x14ac:dyDescent="0.3">
      <c r="A2790" s="118">
        <v>7312101</v>
      </c>
    </row>
    <row r="2791" spans="1:1" ht="15.75" thickBot="1" x14ac:dyDescent="0.3">
      <c r="A2791" s="119">
        <v>7312116</v>
      </c>
    </row>
    <row r="2792" spans="1:1" ht="16.5" thickTop="1" thickBot="1" x14ac:dyDescent="0.3">
      <c r="A2792" s="118">
        <v>7312124</v>
      </c>
    </row>
    <row r="2793" spans="1:1" ht="15.75" thickBot="1" x14ac:dyDescent="0.3">
      <c r="A2793" s="118">
        <v>7312132</v>
      </c>
    </row>
    <row r="2794" spans="1:1" ht="15.75" thickBot="1" x14ac:dyDescent="0.3">
      <c r="A2794" s="118">
        <v>7312147</v>
      </c>
    </row>
    <row r="2795" spans="1:1" ht="15.75" thickBot="1" x14ac:dyDescent="0.3">
      <c r="A2795" s="118">
        <v>7312155</v>
      </c>
    </row>
    <row r="2796" spans="1:1" ht="15.75" thickBot="1" x14ac:dyDescent="0.3">
      <c r="A2796" s="118">
        <v>7312163</v>
      </c>
    </row>
    <row r="2797" spans="1:1" ht="15.75" thickBot="1" x14ac:dyDescent="0.3">
      <c r="A2797" s="118">
        <v>7312171</v>
      </c>
    </row>
    <row r="2798" spans="1:1" ht="15.75" thickBot="1" x14ac:dyDescent="0.3">
      <c r="A2798" s="118">
        <v>7312186</v>
      </c>
    </row>
    <row r="2799" spans="1:1" ht="15.75" thickBot="1" x14ac:dyDescent="0.3">
      <c r="A2799" s="118">
        <v>7312194</v>
      </c>
    </row>
    <row r="2800" spans="1:1" ht="15.75" thickBot="1" x14ac:dyDescent="0.3">
      <c r="A2800" s="118">
        <v>7312205</v>
      </c>
    </row>
    <row r="2801" spans="1:1" ht="15.75" thickBot="1" x14ac:dyDescent="0.3">
      <c r="A2801" s="118">
        <v>7411017</v>
      </c>
    </row>
    <row r="2802" spans="1:1" ht="15.75" thickBot="1" x14ac:dyDescent="0.3">
      <c r="A2802" s="118">
        <v>7411025</v>
      </c>
    </row>
    <row r="2803" spans="1:1" ht="15.75" thickBot="1" x14ac:dyDescent="0.3">
      <c r="A2803" s="118">
        <v>7411033</v>
      </c>
    </row>
    <row r="2804" spans="1:1" ht="15.75" thickBot="1" x14ac:dyDescent="0.3">
      <c r="A2804" s="118">
        <v>7411041</v>
      </c>
    </row>
    <row r="2805" spans="1:1" ht="15.75" thickBot="1" x14ac:dyDescent="0.3">
      <c r="A2805" s="118">
        <v>7411056</v>
      </c>
    </row>
    <row r="2806" spans="1:1" ht="15.75" thickBot="1" x14ac:dyDescent="0.3">
      <c r="A2806" s="118">
        <v>7411064</v>
      </c>
    </row>
    <row r="2807" spans="1:1" ht="15.75" thickBot="1" x14ac:dyDescent="0.3">
      <c r="A2807" s="118">
        <v>7411072</v>
      </c>
    </row>
    <row r="2808" spans="1:1" ht="15.75" thickBot="1" x14ac:dyDescent="0.3">
      <c r="A2808" s="118">
        <v>7411087</v>
      </c>
    </row>
    <row r="2809" spans="1:1" ht="15.75" thickBot="1" x14ac:dyDescent="0.3">
      <c r="A2809" s="118">
        <v>7411095</v>
      </c>
    </row>
    <row r="2810" spans="1:1" ht="15.75" thickBot="1" x14ac:dyDescent="0.3">
      <c r="A2810" s="118">
        <v>7411106</v>
      </c>
    </row>
    <row r="2811" spans="1:1" ht="15.75" thickBot="1" x14ac:dyDescent="0.3">
      <c r="A2811" s="118">
        <v>7411114</v>
      </c>
    </row>
    <row r="2812" spans="1:1" ht="15.75" thickBot="1" x14ac:dyDescent="0.3">
      <c r="A2812" s="118">
        <v>7411122</v>
      </c>
    </row>
    <row r="2813" spans="1:1" ht="15.75" thickBot="1" x14ac:dyDescent="0.3">
      <c r="A2813" s="118">
        <v>7412013</v>
      </c>
    </row>
    <row r="2814" spans="1:1" ht="15.75" thickBot="1" x14ac:dyDescent="0.3">
      <c r="A2814" s="118">
        <v>7412021</v>
      </c>
    </row>
    <row r="2815" spans="1:1" ht="15.75" thickBot="1" x14ac:dyDescent="0.3">
      <c r="A2815" s="118">
        <v>7412036</v>
      </c>
    </row>
    <row r="2816" spans="1:1" ht="15.75" thickBot="1" x14ac:dyDescent="0.3">
      <c r="A2816" s="118">
        <v>7412044</v>
      </c>
    </row>
    <row r="2817" spans="1:1" ht="15.75" thickBot="1" x14ac:dyDescent="0.3">
      <c r="A2817" s="118">
        <v>7412052</v>
      </c>
    </row>
    <row r="2818" spans="1:1" ht="15.75" thickBot="1" x14ac:dyDescent="0.3">
      <c r="A2818" s="118">
        <v>7412067</v>
      </c>
    </row>
    <row r="2819" spans="1:1" ht="15.75" thickBot="1" x14ac:dyDescent="0.3">
      <c r="A2819" s="118">
        <v>7511011</v>
      </c>
    </row>
    <row r="2820" spans="1:1" ht="15.75" thickBot="1" x14ac:dyDescent="0.3">
      <c r="A2820" s="118">
        <v>7511026</v>
      </c>
    </row>
    <row r="2821" spans="1:1" ht="15.75" thickBot="1" x14ac:dyDescent="0.3">
      <c r="A2821" s="118">
        <v>7511034</v>
      </c>
    </row>
    <row r="2822" spans="1:1" ht="15.75" thickBot="1" x14ac:dyDescent="0.3">
      <c r="A2822" s="118">
        <v>7511057</v>
      </c>
    </row>
    <row r="2823" spans="1:1" ht="15.75" thickBot="1" x14ac:dyDescent="0.3">
      <c r="A2823" s="118">
        <v>7511065</v>
      </c>
    </row>
    <row r="2824" spans="1:1" ht="15.75" thickBot="1" x14ac:dyDescent="0.3">
      <c r="A2824" s="118">
        <v>7511073</v>
      </c>
    </row>
    <row r="2825" spans="1:1" ht="15.75" thickBot="1" x14ac:dyDescent="0.3">
      <c r="A2825" s="118">
        <v>7511081</v>
      </c>
    </row>
    <row r="2826" spans="1:1" ht="15.75" thickBot="1" x14ac:dyDescent="0.3">
      <c r="A2826" s="118">
        <v>7511096</v>
      </c>
    </row>
    <row r="2827" spans="1:1" ht="15.75" thickBot="1" x14ac:dyDescent="0.3">
      <c r="A2827" s="118">
        <v>7511107</v>
      </c>
    </row>
    <row r="2828" spans="1:1" ht="15.75" thickBot="1" x14ac:dyDescent="0.3">
      <c r="A2828" s="118">
        <v>7511115</v>
      </c>
    </row>
    <row r="2829" spans="1:1" ht="15.75" thickBot="1" x14ac:dyDescent="0.3">
      <c r="A2829" s="118">
        <v>7511123</v>
      </c>
    </row>
    <row r="2830" spans="1:1" ht="15.75" thickBot="1" x14ac:dyDescent="0.3">
      <c r="A2830" s="118">
        <v>7511131</v>
      </c>
    </row>
    <row r="2831" spans="1:1" ht="15.75" thickBot="1" x14ac:dyDescent="0.3">
      <c r="A2831" s="118">
        <v>7511146</v>
      </c>
    </row>
    <row r="2832" spans="1:1" ht="15.75" thickBot="1" x14ac:dyDescent="0.3">
      <c r="A2832" s="118">
        <v>7511154</v>
      </c>
    </row>
    <row r="2833" spans="1:1" ht="15.75" thickBot="1" x14ac:dyDescent="0.3">
      <c r="A2833" s="119">
        <v>7511162</v>
      </c>
    </row>
    <row r="2834" spans="1:1" ht="16.5" thickTop="1" thickBot="1" x14ac:dyDescent="0.3">
      <c r="A2834" s="118">
        <v>7511177</v>
      </c>
    </row>
    <row r="2835" spans="1:1" ht="15.75" thickBot="1" x14ac:dyDescent="0.3">
      <c r="A2835" s="118">
        <v>7511185</v>
      </c>
    </row>
    <row r="2836" spans="1:1" ht="15.75" thickBot="1" x14ac:dyDescent="0.3">
      <c r="A2836" s="118">
        <v>7511193</v>
      </c>
    </row>
    <row r="2837" spans="1:1" ht="15.75" thickBot="1" x14ac:dyDescent="0.3">
      <c r="A2837" s="118">
        <v>7511204</v>
      </c>
    </row>
    <row r="2838" spans="1:1" ht="15.75" thickBot="1" x14ac:dyDescent="0.3">
      <c r="A2838" s="118">
        <v>7511212</v>
      </c>
    </row>
    <row r="2839" spans="1:1" ht="15.75" thickBot="1" x14ac:dyDescent="0.3">
      <c r="A2839" s="118">
        <v>7511227</v>
      </c>
    </row>
    <row r="2840" spans="1:1" ht="15.75" thickBot="1" x14ac:dyDescent="0.3">
      <c r="A2840" s="118">
        <v>7511235</v>
      </c>
    </row>
    <row r="2841" spans="1:1" ht="15.75" thickBot="1" x14ac:dyDescent="0.3">
      <c r="A2841" s="118">
        <v>7511243</v>
      </c>
    </row>
    <row r="2842" spans="1:1" ht="15.75" thickBot="1" x14ac:dyDescent="0.3">
      <c r="A2842" s="118">
        <v>7511251</v>
      </c>
    </row>
    <row r="2843" spans="1:1" ht="15.75" thickBot="1" x14ac:dyDescent="0.3">
      <c r="A2843" s="118">
        <v>7511266</v>
      </c>
    </row>
    <row r="2844" spans="1:1" ht="15.75" thickBot="1" x14ac:dyDescent="0.3">
      <c r="A2844" s="118">
        <v>7511282</v>
      </c>
    </row>
    <row r="2845" spans="1:1" ht="15.75" thickBot="1" x14ac:dyDescent="0.3">
      <c r="A2845" s="118">
        <v>7511297</v>
      </c>
    </row>
    <row r="2846" spans="1:1" ht="15.75" thickBot="1" x14ac:dyDescent="0.3">
      <c r="A2846" s="118">
        <v>7511301</v>
      </c>
    </row>
    <row r="2847" spans="1:1" ht="15.75" thickBot="1" x14ac:dyDescent="0.3">
      <c r="A2847" s="118">
        <v>7511316</v>
      </c>
    </row>
    <row r="2848" spans="1:1" ht="15.75" thickBot="1" x14ac:dyDescent="0.3">
      <c r="A2848" s="118">
        <v>7511324</v>
      </c>
    </row>
    <row r="2849" spans="1:1" ht="15.75" thickBot="1" x14ac:dyDescent="0.3">
      <c r="A2849" s="118">
        <v>7511332</v>
      </c>
    </row>
    <row r="2850" spans="1:1" ht="15.75" thickBot="1" x14ac:dyDescent="0.3">
      <c r="A2850" s="118">
        <v>7511347</v>
      </c>
    </row>
    <row r="2851" spans="1:1" ht="15.75" thickBot="1" x14ac:dyDescent="0.3">
      <c r="A2851" s="118">
        <v>7511355</v>
      </c>
    </row>
    <row r="2852" spans="1:1" ht="15.75" thickBot="1" x14ac:dyDescent="0.3">
      <c r="A2852" s="118">
        <v>7511363</v>
      </c>
    </row>
    <row r="2853" spans="1:1" ht="15.75" thickBot="1" x14ac:dyDescent="0.3">
      <c r="A2853" s="118">
        <v>7511371</v>
      </c>
    </row>
    <row r="2854" spans="1:1" ht="15.75" thickBot="1" x14ac:dyDescent="0.3">
      <c r="A2854" s="118">
        <v>7511386</v>
      </c>
    </row>
    <row r="2855" spans="1:1" ht="15.75" thickBot="1" x14ac:dyDescent="0.3">
      <c r="A2855" s="118">
        <v>7511394</v>
      </c>
    </row>
    <row r="2856" spans="1:1" ht="15.75" thickBot="1" x14ac:dyDescent="0.3">
      <c r="A2856" s="118">
        <v>7511405</v>
      </c>
    </row>
    <row r="2857" spans="1:1" ht="15.75" thickBot="1" x14ac:dyDescent="0.3">
      <c r="A2857" s="118">
        <v>7511413</v>
      </c>
    </row>
    <row r="2858" spans="1:1" ht="15.75" thickBot="1" x14ac:dyDescent="0.3">
      <c r="A2858" s="118">
        <v>7511421</v>
      </c>
    </row>
    <row r="2859" spans="1:1" ht="15.75" thickBot="1" x14ac:dyDescent="0.3">
      <c r="A2859" s="118">
        <v>7511436</v>
      </c>
    </row>
    <row r="2860" spans="1:1" ht="15.75" thickBot="1" x14ac:dyDescent="0.3">
      <c r="A2860" s="118">
        <v>7511444</v>
      </c>
    </row>
    <row r="2861" spans="1:1" ht="15.75" thickBot="1" x14ac:dyDescent="0.3">
      <c r="A2861" s="118">
        <v>7512014</v>
      </c>
    </row>
    <row r="2862" spans="1:1" ht="15.75" thickBot="1" x14ac:dyDescent="0.3">
      <c r="A2862" s="118">
        <v>7512022</v>
      </c>
    </row>
    <row r="2863" spans="1:1" ht="15.75" thickBot="1" x14ac:dyDescent="0.3">
      <c r="A2863" s="118">
        <v>7512037</v>
      </c>
    </row>
    <row r="2864" spans="1:1" ht="15.75" thickBot="1" x14ac:dyDescent="0.3">
      <c r="A2864" s="118">
        <v>7512045</v>
      </c>
    </row>
    <row r="2865" spans="1:1" ht="15.75" thickBot="1" x14ac:dyDescent="0.3">
      <c r="A2865" s="119">
        <v>7512053</v>
      </c>
    </row>
    <row r="2866" spans="1:1" ht="16.5" thickTop="1" thickBot="1" x14ac:dyDescent="0.3">
      <c r="A2866" s="118">
        <v>7512061</v>
      </c>
    </row>
    <row r="2867" spans="1:1" ht="15.75" thickBot="1" x14ac:dyDescent="0.3">
      <c r="A2867" s="118">
        <v>7512076</v>
      </c>
    </row>
    <row r="2868" spans="1:1" ht="15.75" thickBot="1" x14ac:dyDescent="0.3">
      <c r="A2868" s="118">
        <v>7512084</v>
      </c>
    </row>
    <row r="2869" spans="1:1" ht="15.75" thickBot="1" x14ac:dyDescent="0.3">
      <c r="A2869" s="118">
        <v>7512092</v>
      </c>
    </row>
    <row r="2870" spans="1:1" ht="15.75" thickBot="1" x14ac:dyDescent="0.3">
      <c r="A2870" s="118">
        <v>7512103</v>
      </c>
    </row>
    <row r="2871" spans="1:1" ht="15.75" thickBot="1" x14ac:dyDescent="0.3">
      <c r="A2871" s="118">
        <v>7512111</v>
      </c>
    </row>
    <row r="2872" spans="1:1" ht="15.75" thickBot="1" x14ac:dyDescent="0.3">
      <c r="A2872" s="118">
        <v>7512126</v>
      </c>
    </row>
    <row r="2873" spans="1:1" ht="15.75" thickBot="1" x14ac:dyDescent="0.3">
      <c r="A2873" s="118">
        <v>7512134</v>
      </c>
    </row>
    <row r="2874" spans="1:1" ht="15.75" thickBot="1" x14ac:dyDescent="0.3">
      <c r="A2874" s="118">
        <v>7512142</v>
      </c>
    </row>
    <row r="2875" spans="1:1" ht="15.75" thickBot="1" x14ac:dyDescent="0.3">
      <c r="A2875" s="118">
        <v>7512157</v>
      </c>
    </row>
    <row r="2876" spans="1:1" ht="15.75" thickBot="1" x14ac:dyDescent="0.3">
      <c r="A2876" s="118">
        <v>7512165</v>
      </c>
    </row>
    <row r="2877" spans="1:1" ht="15.75" thickBot="1" x14ac:dyDescent="0.3">
      <c r="A2877" s="118">
        <v>7512173</v>
      </c>
    </row>
    <row r="2878" spans="1:1" ht="15.75" thickBot="1" x14ac:dyDescent="0.3">
      <c r="A2878" s="118">
        <v>7512181</v>
      </c>
    </row>
    <row r="2879" spans="1:1" ht="15.75" thickBot="1" x14ac:dyDescent="0.3">
      <c r="A2879" s="119">
        <v>7512196</v>
      </c>
    </row>
    <row r="2880" spans="1:1" ht="16.5" thickTop="1" thickBot="1" x14ac:dyDescent="0.3">
      <c r="A2880" s="118">
        <v>7512215</v>
      </c>
    </row>
    <row r="2881" spans="1:1" ht="15.75" thickBot="1" x14ac:dyDescent="0.3">
      <c r="A2881" s="118">
        <v>7512223</v>
      </c>
    </row>
    <row r="2882" spans="1:1" ht="15.75" thickBot="1" x14ac:dyDescent="0.3">
      <c r="A2882" s="118">
        <v>7512231</v>
      </c>
    </row>
    <row r="2883" spans="1:1" ht="15.75" thickBot="1" x14ac:dyDescent="0.3">
      <c r="A2883" s="118">
        <v>7512246</v>
      </c>
    </row>
    <row r="2884" spans="1:1" ht="15.75" thickBot="1" x14ac:dyDescent="0.3">
      <c r="A2884" s="118">
        <v>7512254</v>
      </c>
    </row>
    <row r="2885" spans="1:1" ht="15.75" thickBot="1" x14ac:dyDescent="0.3">
      <c r="A2885" s="118">
        <v>7512262</v>
      </c>
    </row>
    <row r="2886" spans="1:1" ht="15.75" thickBot="1" x14ac:dyDescent="0.3">
      <c r="A2886" s="118">
        <v>7512277</v>
      </c>
    </row>
    <row r="2887" spans="1:1" ht="15.75" thickBot="1" x14ac:dyDescent="0.3">
      <c r="A2887" s="118">
        <v>7512285</v>
      </c>
    </row>
    <row r="2888" spans="1:1" ht="15.75" thickBot="1" x14ac:dyDescent="0.3">
      <c r="A2888" s="118">
        <v>7512293</v>
      </c>
    </row>
    <row r="2889" spans="1:1" ht="15.75" thickBot="1" x14ac:dyDescent="0.3">
      <c r="A2889" s="119">
        <v>7512304</v>
      </c>
    </row>
    <row r="2890" spans="1:1" ht="16.5" thickTop="1" thickBot="1" x14ac:dyDescent="0.3">
      <c r="A2890" s="118">
        <v>7512312</v>
      </c>
    </row>
    <row r="2891" spans="1:1" ht="15.75" thickBot="1" x14ac:dyDescent="0.3">
      <c r="A2891" s="118">
        <v>7512327</v>
      </c>
    </row>
    <row r="2892" spans="1:1" ht="15.75" thickBot="1" x14ac:dyDescent="0.3">
      <c r="A2892" s="118">
        <v>7512335</v>
      </c>
    </row>
    <row r="2893" spans="1:1" ht="15.75" thickBot="1" x14ac:dyDescent="0.3">
      <c r="A2893" s="118">
        <v>7521013</v>
      </c>
    </row>
    <row r="2894" spans="1:1" ht="15.75" thickBot="1" x14ac:dyDescent="0.3">
      <c r="A2894" s="118">
        <v>7521021</v>
      </c>
    </row>
    <row r="2895" spans="1:1" ht="15.75" thickBot="1" x14ac:dyDescent="0.3">
      <c r="A2895" s="118">
        <v>7521036</v>
      </c>
    </row>
    <row r="2896" spans="1:1" ht="15.75" thickBot="1" x14ac:dyDescent="0.3">
      <c r="A2896" s="118">
        <v>7521044</v>
      </c>
    </row>
    <row r="2897" spans="1:1" ht="15.75" thickBot="1" x14ac:dyDescent="0.3">
      <c r="A2897" s="118">
        <v>7521052</v>
      </c>
    </row>
    <row r="2898" spans="1:1" ht="15.75" thickBot="1" x14ac:dyDescent="0.3">
      <c r="A2898" s="118">
        <v>7521067</v>
      </c>
    </row>
    <row r="2899" spans="1:1" ht="15.75" thickBot="1" x14ac:dyDescent="0.3">
      <c r="A2899" s="118">
        <v>7521075</v>
      </c>
    </row>
    <row r="2900" spans="1:1" ht="15.75" thickBot="1" x14ac:dyDescent="0.3">
      <c r="A2900" s="118">
        <v>7521083</v>
      </c>
    </row>
    <row r="2901" spans="1:1" ht="15.75" thickBot="1" x14ac:dyDescent="0.3">
      <c r="A2901" s="118">
        <v>7521091</v>
      </c>
    </row>
    <row r="2902" spans="1:1" ht="15.75" thickBot="1" x14ac:dyDescent="0.3">
      <c r="A2902" s="118">
        <v>7521102</v>
      </c>
    </row>
    <row r="2903" spans="1:1" ht="15.75" thickBot="1" x14ac:dyDescent="0.3">
      <c r="A2903" s="118">
        <v>7521117</v>
      </c>
    </row>
    <row r="2904" spans="1:1" ht="15.75" thickBot="1" x14ac:dyDescent="0.3">
      <c r="A2904" s="118">
        <v>7521125</v>
      </c>
    </row>
    <row r="2905" spans="1:1" ht="15.75" thickBot="1" x14ac:dyDescent="0.3">
      <c r="A2905" s="118">
        <v>7521133</v>
      </c>
    </row>
    <row r="2906" spans="1:1" ht="15.75" thickBot="1" x14ac:dyDescent="0.3">
      <c r="A2906" s="118">
        <v>7521141</v>
      </c>
    </row>
    <row r="2907" spans="1:1" ht="15.75" thickBot="1" x14ac:dyDescent="0.3">
      <c r="A2907" s="118">
        <v>7521164</v>
      </c>
    </row>
    <row r="2908" spans="1:1" ht="15.75" thickBot="1" x14ac:dyDescent="0.3">
      <c r="A2908" s="118">
        <v>7521172</v>
      </c>
    </row>
    <row r="2909" spans="1:1" ht="15.75" thickBot="1" x14ac:dyDescent="0.3">
      <c r="A2909" s="118">
        <v>7521187</v>
      </c>
    </row>
    <row r="2910" spans="1:1" ht="15.75" thickBot="1" x14ac:dyDescent="0.3">
      <c r="A2910" s="118">
        <v>7521195</v>
      </c>
    </row>
    <row r="2911" spans="1:1" ht="15.75" thickBot="1" x14ac:dyDescent="0.3">
      <c r="A2911" s="118">
        <v>7521206</v>
      </c>
    </row>
    <row r="2912" spans="1:1" ht="15.75" thickBot="1" x14ac:dyDescent="0.3">
      <c r="A2912" s="118">
        <v>7521214</v>
      </c>
    </row>
    <row r="2913" spans="1:1" ht="15.75" thickBot="1" x14ac:dyDescent="0.3">
      <c r="A2913" s="118">
        <v>7521222</v>
      </c>
    </row>
    <row r="2914" spans="1:1" ht="15.75" thickBot="1" x14ac:dyDescent="0.3">
      <c r="A2914" s="118">
        <v>7521237</v>
      </c>
    </row>
    <row r="2915" spans="1:1" ht="15.75" thickBot="1" x14ac:dyDescent="0.3">
      <c r="A2915" s="118">
        <v>7521245</v>
      </c>
    </row>
    <row r="2916" spans="1:1" ht="15.75" thickBot="1" x14ac:dyDescent="0.3">
      <c r="A2916" s="118">
        <v>7521253</v>
      </c>
    </row>
    <row r="2917" spans="1:1" ht="15.75" thickBot="1" x14ac:dyDescent="0.3">
      <c r="A2917" s="118">
        <v>7521276</v>
      </c>
    </row>
    <row r="2918" spans="1:1" ht="15.75" thickBot="1" x14ac:dyDescent="0.3">
      <c r="A2918" s="118">
        <v>7521284</v>
      </c>
    </row>
    <row r="2919" spans="1:1" ht="15.75" thickBot="1" x14ac:dyDescent="0.3">
      <c r="A2919" s="118">
        <v>7521292</v>
      </c>
    </row>
    <row r="2920" spans="1:1" ht="15.75" thickBot="1" x14ac:dyDescent="0.3">
      <c r="A2920" s="119">
        <v>7521303</v>
      </c>
    </row>
    <row r="2921" spans="1:1" ht="16.5" thickTop="1" thickBot="1" x14ac:dyDescent="0.3">
      <c r="A2921" s="118">
        <v>7521311</v>
      </c>
    </row>
    <row r="2922" spans="1:1" ht="15.75" thickBot="1" x14ac:dyDescent="0.3">
      <c r="A2922" s="118">
        <v>7521326</v>
      </c>
    </row>
    <row r="2923" spans="1:1" ht="15.75" thickBot="1" x14ac:dyDescent="0.3">
      <c r="A2923" s="118">
        <v>7521334</v>
      </c>
    </row>
    <row r="2924" spans="1:1" ht="15.75" thickBot="1" x14ac:dyDescent="0.3">
      <c r="A2924" s="118">
        <v>7522016</v>
      </c>
    </row>
    <row r="2925" spans="1:1" ht="15.75" thickBot="1" x14ac:dyDescent="0.3">
      <c r="A2925" s="118">
        <v>7522024</v>
      </c>
    </row>
    <row r="2926" spans="1:1" ht="15.75" thickBot="1" x14ac:dyDescent="0.3">
      <c r="A2926" s="118">
        <v>7522032</v>
      </c>
    </row>
    <row r="2927" spans="1:1" ht="15.75" thickBot="1" x14ac:dyDescent="0.3">
      <c r="A2927" s="118">
        <v>7522047</v>
      </c>
    </row>
    <row r="2928" spans="1:1" ht="15.75" thickBot="1" x14ac:dyDescent="0.3">
      <c r="A2928" s="118">
        <v>7522055</v>
      </c>
    </row>
    <row r="2929" spans="1:1" ht="15.75" thickBot="1" x14ac:dyDescent="0.3">
      <c r="A2929" s="118">
        <v>7522063</v>
      </c>
    </row>
    <row r="2930" spans="1:1" ht="15.75" thickBot="1" x14ac:dyDescent="0.3">
      <c r="A2930" s="118">
        <v>7522071</v>
      </c>
    </row>
    <row r="2931" spans="1:1" ht="15.75" thickBot="1" x14ac:dyDescent="0.3">
      <c r="A2931" s="118">
        <v>7522086</v>
      </c>
    </row>
    <row r="2932" spans="1:1" ht="15.75" thickBot="1" x14ac:dyDescent="0.3">
      <c r="A2932" s="118">
        <v>7522094</v>
      </c>
    </row>
    <row r="2933" spans="1:1" ht="15.75" thickBot="1" x14ac:dyDescent="0.3">
      <c r="A2933" s="118">
        <v>7522105</v>
      </c>
    </row>
    <row r="2934" spans="1:1" ht="15.75" thickBot="1" x14ac:dyDescent="0.3">
      <c r="A2934" s="118">
        <v>7522113</v>
      </c>
    </row>
    <row r="2935" spans="1:1" ht="15.75" thickBot="1" x14ac:dyDescent="0.3">
      <c r="A2935" s="118">
        <v>7522121</v>
      </c>
    </row>
    <row r="2936" spans="1:1" ht="15.75" thickBot="1" x14ac:dyDescent="0.3">
      <c r="A2936" s="118">
        <v>7522136</v>
      </c>
    </row>
    <row r="2937" spans="1:1" ht="15.75" thickBot="1" x14ac:dyDescent="0.3">
      <c r="A2937" s="118">
        <v>7522144</v>
      </c>
    </row>
    <row r="2938" spans="1:1" ht="15.75" thickBot="1" x14ac:dyDescent="0.3">
      <c r="A2938" s="118">
        <v>7522152</v>
      </c>
    </row>
    <row r="2939" spans="1:1" ht="15.75" thickBot="1" x14ac:dyDescent="0.3">
      <c r="A2939" s="118">
        <v>7522167</v>
      </c>
    </row>
    <row r="2940" spans="1:1" ht="15.75" thickBot="1" x14ac:dyDescent="0.3">
      <c r="A2940" s="119">
        <v>7522175</v>
      </c>
    </row>
    <row r="2941" spans="1:1" ht="16.5" thickTop="1" thickBot="1" x14ac:dyDescent="0.3">
      <c r="A2941" s="118">
        <v>7522183</v>
      </c>
    </row>
    <row r="2942" spans="1:1" ht="15.75" thickBot="1" x14ac:dyDescent="0.3">
      <c r="A2942" s="118">
        <v>7522191</v>
      </c>
    </row>
    <row r="2943" spans="1:1" ht="15.75" thickBot="1" x14ac:dyDescent="0.3">
      <c r="A2943" s="118">
        <v>7522202</v>
      </c>
    </row>
    <row r="2944" spans="1:1" ht="15.75" thickBot="1" x14ac:dyDescent="0.3">
      <c r="A2944" s="118">
        <v>7531015</v>
      </c>
    </row>
    <row r="2945" spans="1:1" ht="15.75" thickBot="1" x14ac:dyDescent="0.3">
      <c r="A2945" s="118">
        <v>7531023</v>
      </c>
    </row>
    <row r="2946" spans="1:1" ht="15.75" thickBot="1" x14ac:dyDescent="0.3">
      <c r="A2946" s="118">
        <v>7531031</v>
      </c>
    </row>
    <row r="2947" spans="1:1" ht="15.75" thickBot="1" x14ac:dyDescent="0.3">
      <c r="A2947" s="118">
        <v>7531046</v>
      </c>
    </row>
    <row r="2948" spans="1:1" ht="15.75" thickBot="1" x14ac:dyDescent="0.3">
      <c r="A2948" s="118">
        <v>7531054</v>
      </c>
    </row>
    <row r="2949" spans="1:1" ht="15.75" thickBot="1" x14ac:dyDescent="0.3">
      <c r="A2949" s="118">
        <v>7531062</v>
      </c>
    </row>
    <row r="2950" spans="1:1" ht="15.75" thickBot="1" x14ac:dyDescent="0.3">
      <c r="A2950" s="118">
        <v>7531077</v>
      </c>
    </row>
    <row r="2951" spans="1:1" ht="15.75" thickBot="1" x14ac:dyDescent="0.3">
      <c r="A2951" s="118">
        <v>7531085</v>
      </c>
    </row>
    <row r="2952" spans="1:1" ht="15.75" thickBot="1" x14ac:dyDescent="0.3">
      <c r="A2952" s="119">
        <v>7531093</v>
      </c>
    </row>
    <row r="2953" spans="1:1" ht="16.5" thickTop="1" thickBot="1" x14ac:dyDescent="0.3">
      <c r="A2953" s="118">
        <v>7531104</v>
      </c>
    </row>
    <row r="2954" spans="1:1" ht="15.75" thickBot="1" x14ac:dyDescent="0.3">
      <c r="A2954" s="118">
        <v>7531112</v>
      </c>
    </row>
    <row r="2955" spans="1:1" ht="15.75" thickBot="1" x14ac:dyDescent="0.3">
      <c r="A2955" s="118">
        <v>7531127</v>
      </c>
    </row>
    <row r="2956" spans="1:1" ht="15.75" thickBot="1" x14ac:dyDescent="0.3">
      <c r="A2956" s="118">
        <v>7531135</v>
      </c>
    </row>
    <row r="2957" spans="1:1" ht="15.75" thickBot="1" x14ac:dyDescent="0.3">
      <c r="A2957" s="118">
        <v>7531143</v>
      </c>
    </row>
    <row r="2958" spans="1:1" ht="15.75" thickBot="1" x14ac:dyDescent="0.3">
      <c r="A2958" s="119">
        <v>7532011</v>
      </c>
    </row>
    <row r="2959" spans="1:1" ht="16.5" thickTop="1" thickBot="1" x14ac:dyDescent="0.3">
      <c r="A2959" s="118">
        <v>7532026</v>
      </c>
    </row>
    <row r="2960" spans="1:1" ht="15.75" thickBot="1" x14ac:dyDescent="0.3">
      <c r="A2960" s="118">
        <v>7532034</v>
      </c>
    </row>
    <row r="2961" spans="1:1" ht="15.75" thickBot="1" x14ac:dyDescent="0.3">
      <c r="A2961" s="118">
        <v>7532042</v>
      </c>
    </row>
    <row r="2962" spans="1:1" ht="15.75" thickBot="1" x14ac:dyDescent="0.3">
      <c r="A2962" s="118">
        <v>7532057</v>
      </c>
    </row>
    <row r="2963" spans="1:1" ht="15.75" thickBot="1" x14ac:dyDescent="0.3">
      <c r="A2963" s="118">
        <v>7532065</v>
      </c>
    </row>
    <row r="2964" spans="1:1" ht="15.75" thickBot="1" x14ac:dyDescent="0.3">
      <c r="A2964" s="118">
        <v>7532073</v>
      </c>
    </row>
    <row r="2965" spans="1:1" ht="15.75" thickBot="1" x14ac:dyDescent="0.3">
      <c r="A2965" s="118">
        <v>7532081</v>
      </c>
    </row>
    <row r="2966" spans="1:1" ht="15.75" thickBot="1" x14ac:dyDescent="0.3">
      <c r="A2966" s="118">
        <v>7532096</v>
      </c>
    </row>
    <row r="2967" spans="1:1" ht="15.75" thickBot="1" x14ac:dyDescent="0.3">
      <c r="A2967" s="118">
        <v>7532107</v>
      </c>
    </row>
    <row r="2968" spans="1:1" ht="15.75" thickBot="1" x14ac:dyDescent="0.3">
      <c r="A2968" s="118">
        <v>8111014</v>
      </c>
    </row>
    <row r="2969" spans="1:1" ht="15.75" thickBot="1" x14ac:dyDescent="0.3">
      <c r="A2969" s="118">
        <v>8111022</v>
      </c>
    </row>
    <row r="2970" spans="1:1" ht="15.75" thickBot="1" x14ac:dyDescent="0.3">
      <c r="A2970" s="118">
        <v>8111037</v>
      </c>
    </row>
    <row r="2971" spans="1:1" ht="15.75" thickBot="1" x14ac:dyDescent="0.3">
      <c r="A2971" s="118">
        <v>8111045</v>
      </c>
    </row>
    <row r="2972" spans="1:1" ht="15.75" thickBot="1" x14ac:dyDescent="0.3">
      <c r="A2972" s="118">
        <v>8111053</v>
      </c>
    </row>
    <row r="2973" spans="1:1" ht="15.75" thickBot="1" x14ac:dyDescent="0.3">
      <c r="A2973" s="118">
        <v>8111061</v>
      </c>
    </row>
    <row r="2974" spans="1:1" ht="15.75" thickBot="1" x14ac:dyDescent="0.3">
      <c r="A2974" s="118">
        <v>8111076</v>
      </c>
    </row>
    <row r="2975" spans="1:1" ht="15.75" thickBot="1" x14ac:dyDescent="0.3">
      <c r="A2975" s="118">
        <v>8111084</v>
      </c>
    </row>
    <row r="2976" spans="1:1" ht="15.75" thickBot="1" x14ac:dyDescent="0.3">
      <c r="A2976" s="118">
        <v>8111092</v>
      </c>
    </row>
    <row r="2977" spans="1:1" ht="15.75" thickBot="1" x14ac:dyDescent="0.3">
      <c r="A2977" s="118">
        <v>8111103</v>
      </c>
    </row>
    <row r="2978" spans="1:1" ht="15.75" thickBot="1" x14ac:dyDescent="0.3">
      <c r="A2978" s="118">
        <v>8111111</v>
      </c>
    </row>
    <row r="2979" spans="1:1" ht="15.75" thickBot="1" x14ac:dyDescent="0.3">
      <c r="A2979" s="118">
        <v>8111126</v>
      </c>
    </row>
    <row r="2980" spans="1:1" ht="15.75" thickBot="1" x14ac:dyDescent="0.3">
      <c r="A2980" s="118">
        <v>8111134</v>
      </c>
    </row>
    <row r="2981" spans="1:1" ht="15.75" thickBot="1" x14ac:dyDescent="0.3">
      <c r="A2981" s="118">
        <v>8111142</v>
      </c>
    </row>
    <row r="2982" spans="1:1" ht="15.75" thickBot="1" x14ac:dyDescent="0.3">
      <c r="A2982" s="118">
        <v>8111157</v>
      </c>
    </row>
    <row r="2983" spans="1:1" ht="15.75" thickBot="1" x14ac:dyDescent="0.3">
      <c r="A2983" s="118">
        <v>8111165</v>
      </c>
    </row>
    <row r="2984" spans="1:1" ht="15.75" thickBot="1" x14ac:dyDescent="0.3">
      <c r="A2984" s="118">
        <v>8111173</v>
      </c>
    </row>
    <row r="2985" spans="1:1" ht="15.75" thickBot="1" x14ac:dyDescent="0.3">
      <c r="A2985" s="118">
        <v>8111181</v>
      </c>
    </row>
    <row r="2986" spans="1:1" ht="15.75" thickBot="1" x14ac:dyDescent="0.3">
      <c r="A2986" s="118">
        <v>8111196</v>
      </c>
    </row>
    <row r="2987" spans="1:1" ht="15.75" thickBot="1" x14ac:dyDescent="0.3">
      <c r="A2987" s="118">
        <v>8111207</v>
      </c>
    </row>
    <row r="2988" spans="1:1" ht="15.75" thickBot="1" x14ac:dyDescent="0.3">
      <c r="A2988" s="118">
        <v>8111215</v>
      </c>
    </row>
    <row r="2989" spans="1:1" ht="15.75" thickBot="1" x14ac:dyDescent="0.3">
      <c r="A2989" s="118">
        <v>8111223</v>
      </c>
    </row>
    <row r="2990" spans="1:1" ht="15.75" thickBot="1" x14ac:dyDescent="0.3">
      <c r="A2990" s="118">
        <v>8111231</v>
      </c>
    </row>
    <row r="2991" spans="1:1" ht="15.75" thickBot="1" x14ac:dyDescent="0.3">
      <c r="A2991" s="118">
        <v>8111246</v>
      </c>
    </row>
    <row r="2992" spans="1:1" ht="15.75" thickBot="1" x14ac:dyDescent="0.3">
      <c r="A2992" s="118">
        <v>8111254</v>
      </c>
    </row>
    <row r="2993" spans="1:1" ht="15.75" thickBot="1" x14ac:dyDescent="0.3">
      <c r="A2993" s="119">
        <v>8111262</v>
      </c>
    </row>
    <row r="2994" spans="1:1" ht="16.5" thickTop="1" thickBot="1" x14ac:dyDescent="0.3">
      <c r="A2994" s="118">
        <v>8111277</v>
      </c>
    </row>
    <row r="2995" spans="1:1" ht="15.75" thickBot="1" x14ac:dyDescent="0.3">
      <c r="A2995" s="118">
        <v>8111285</v>
      </c>
    </row>
    <row r="2996" spans="1:1" ht="15.75" thickBot="1" x14ac:dyDescent="0.3">
      <c r="A2996" s="118">
        <v>8111293</v>
      </c>
    </row>
    <row r="2997" spans="1:1" ht="15.75" thickBot="1" x14ac:dyDescent="0.3">
      <c r="A2997" s="118">
        <v>8111304</v>
      </c>
    </row>
    <row r="2998" spans="1:1" ht="15.75" thickBot="1" x14ac:dyDescent="0.3">
      <c r="A2998" s="118">
        <v>8111312</v>
      </c>
    </row>
    <row r="2999" spans="1:1" ht="15.75" thickBot="1" x14ac:dyDescent="0.3">
      <c r="A2999" s="118">
        <v>8111327</v>
      </c>
    </row>
    <row r="3000" spans="1:1" ht="15.75" thickBot="1" x14ac:dyDescent="0.3">
      <c r="A3000" s="118">
        <v>8111335</v>
      </c>
    </row>
    <row r="3001" spans="1:1" ht="15.75" thickBot="1" x14ac:dyDescent="0.3">
      <c r="A3001" s="118">
        <v>8111343</v>
      </c>
    </row>
    <row r="3002" spans="1:1" ht="15.75" thickBot="1" x14ac:dyDescent="0.3">
      <c r="A3002" s="118">
        <v>8111351</v>
      </c>
    </row>
    <row r="3003" spans="1:1" ht="15.75" thickBot="1" x14ac:dyDescent="0.3">
      <c r="A3003" s="118">
        <v>8112017</v>
      </c>
    </row>
    <row r="3004" spans="1:1" ht="15.75" thickBot="1" x14ac:dyDescent="0.3">
      <c r="A3004" s="118">
        <v>8112025</v>
      </c>
    </row>
    <row r="3005" spans="1:1" ht="15.75" thickBot="1" x14ac:dyDescent="0.3">
      <c r="A3005" s="118">
        <v>8112033</v>
      </c>
    </row>
    <row r="3006" spans="1:1" ht="15.75" thickBot="1" x14ac:dyDescent="0.3">
      <c r="A3006" s="118">
        <v>8112041</v>
      </c>
    </row>
    <row r="3007" spans="1:1" ht="15.75" thickBot="1" x14ac:dyDescent="0.3">
      <c r="A3007" s="118">
        <v>8112056</v>
      </c>
    </row>
    <row r="3008" spans="1:1" ht="15.75" thickBot="1" x14ac:dyDescent="0.3">
      <c r="A3008" s="118">
        <v>8112064</v>
      </c>
    </row>
    <row r="3009" spans="1:1" ht="15.75" thickBot="1" x14ac:dyDescent="0.3">
      <c r="A3009" s="118">
        <v>8112072</v>
      </c>
    </row>
    <row r="3010" spans="1:1" ht="15.75" thickBot="1" x14ac:dyDescent="0.3">
      <c r="A3010" s="118">
        <v>8112087</v>
      </c>
    </row>
    <row r="3011" spans="1:1" ht="15.75" thickBot="1" x14ac:dyDescent="0.3">
      <c r="A3011" s="118">
        <v>8112095</v>
      </c>
    </row>
    <row r="3012" spans="1:1" ht="15.75" thickBot="1" x14ac:dyDescent="0.3">
      <c r="A3012" s="118">
        <v>8112106</v>
      </c>
    </row>
    <row r="3013" spans="1:1" ht="15.75" thickBot="1" x14ac:dyDescent="0.3">
      <c r="A3013" s="118">
        <v>8112114</v>
      </c>
    </row>
    <row r="3014" spans="1:1" ht="15.75" thickBot="1" x14ac:dyDescent="0.3">
      <c r="A3014" s="118">
        <v>8112122</v>
      </c>
    </row>
    <row r="3015" spans="1:1" ht="15.75" thickBot="1" x14ac:dyDescent="0.3">
      <c r="A3015" s="118">
        <v>8112137</v>
      </c>
    </row>
    <row r="3016" spans="1:1" ht="15.75" thickBot="1" x14ac:dyDescent="0.3">
      <c r="A3016" s="118">
        <v>8112145</v>
      </c>
    </row>
    <row r="3017" spans="1:1" ht="15.75" thickBot="1" x14ac:dyDescent="0.3">
      <c r="A3017" s="118">
        <v>8112153</v>
      </c>
    </row>
    <row r="3018" spans="1:1" ht="15.75" thickBot="1" x14ac:dyDescent="0.3">
      <c r="A3018" s="118">
        <v>8112161</v>
      </c>
    </row>
    <row r="3019" spans="1:1" ht="15.75" thickBot="1" x14ac:dyDescent="0.3">
      <c r="A3019" s="118">
        <v>8112176</v>
      </c>
    </row>
    <row r="3020" spans="1:1" ht="15.75" thickBot="1" x14ac:dyDescent="0.3">
      <c r="A3020" s="118">
        <v>8112184</v>
      </c>
    </row>
    <row r="3021" spans="1:1" ht="15.75" thickBot="1" x14ac:dyDescent="0.3">
      <c r="A3021" s="118">
        <v>8112192</v>
      </c>
    </row>
    <row r="3022" spans="1:1" ht="15.75" thickBot="1" x14ac:dyDescent="0.3">
      <c r="A3022" s="119">
        <v>8112203</v>
      </c>
    </row>
    <row r="3023" spans="1:1" ht="16.5" thickTop="1" thickBot="1" x14ac:dyDescent="0.3">
      <c r="A3023" s="118">
        <v>8112211</v>
      </c>
    </row>
    <row r="3024" spans="1:1" ht="15.75" thickBot="1" x14ac:dyDescent="0.3">
      <c r="A3024" s="118">
        <v>8112226</v>
      </c>
    </row>
    <row r="3025" spans="1:1" ht="15.75" thickBot="1" x14ac:dyDescent="0.3">
      <c r="A3025" s="118">
        <v>8112234</v>
      </c>
    </row>
    <row r="3026" spans="1:1" ht="15.75" thickBot="1" x14ac:dyDescent="0.3">
      <c r="A3026" s="118">
        <v>8112242</v>
      </c>
    </row>
    <row r="3027" spans="1:1" ht="15.75" thickBot="1" x14ac:dyDescent="0.3">
      <c r="A3027" s="118">
        <v>8112257</v>
      </c>
    </row>
    <row r="3028" spans="1:1" ht="15.75" thickBot="1" x14ac:dyDescent="0.3">
      <c r="A3028" s="118">
        <v>8112265</v>
      </c>
    </row>
    <row r="3029" spans="1:1" ht="15.75" thickBot="1" x14ac:dyDescent="0.3">
      <c r="A3029" s="118">
        <v>8112273</v>
      </c>
    </row>
    <row r="3030" spans="1:1" ht="15.75" thickBot="1" x14ac:dyDescent="0.3">
      <c r="A3030" s="118">
        <v>8112281</v>
      </c>
    </row>
    <row r="3031" spans="1:1" ht="15.75" thickBot="1" x14ac:dyDescent="0.3">
      <c r="A3031" s="118">
        <v>8112296</v>
      </c>
    </row>
    <row r="3032" spans="1:1" ht="15.75" thickBot="1" x14ac:dyDescent="0.3">
      <c r="A3032" s="118">
        <v>8211015</v>
      </c>
    </row>
    <row r="3033" spans="1:1" ht="15.75" thickBot="1" x14ac:dyDescent="0.3">
      <c r="A3033" s="118">
        <v>8211023</v>
      </c>
    </row>
    <row r="3034" spans="1:1" ht="15.75" thickBot="1" x14ac:dyDescent="0.3">
      <c r="A3034" s="118">
        <v>8211031</v>
      </c>
    </row>
    <row r="3035" spans="1:1" ht="15.75" thickBot="1" x14ac:dyDescent="0.3">
      <c r="A3035" s="118">
        <v>8211046</v>
      </c>
    </row>
    <row r="3036" spans="1:1" ht="15.75" thickBot="1" x14ac:dyDescent="0.3">
      <c r="A3036" s="118">
        <v>8211062</v>
      </c>
    </row>
    <row r="3037" spans="1:1" ht="15.75" thickBot="1" x14ac:dyDescent="0.3">
      <c r="A3037" s="118">
        <v>8211085</v>
      </c>
    </row>
    <row r="3038" spans="1:1" ht="15.75" thickBot="1" x14ac:dyDescent="0.3">
      <c r="A3038" s="118">
        <v>8211093</v>
      </c>
    </row>
    <row r="3039" spans="1:1" ht="15.75" thickBot="1" x14ac:dyDescent="0.3">
      <c r="A3039" s="118">
        <v>8211104</v>
      </c>
    </row>
    <row r="3040" spans="1:1" ht="15.75" thickBot="1" x14ac:dyDescent="0.3">
      <c r="A3040" s="118">
        <v>8211112</v>
      </c>
    </row>
    <row r="3041" spans="1:1" ht="15.75" thickBot="1" x14ac:dyDescent="0.3">
      <c r="A3041" s="118">
        <v>8211127</v>
      </c>
    </row>
    <row r="3042" spans="1:1" ht="15.75" thickBot="1" x14ac:dyDescent="0.3">
      <c r="A3042" s="118">
        <v>8211135</v>
      </c>
    </row>
    <row r="3043" spans="1:1" ht="15.75" thickBot="1" x14ac:dyDescent="0.3">
      <c r="A3043" s="119">
        <v>8211143</v>
      </c>
    </row>
    <row r="3044" spans="1:1" ht="16.5" thickTop="1" thickBot="1" x14ac:dyDescent="0.3">
      <c r="A3044" s="118">
        <v>8211151</v>
      </c>
    </row>
    <row r="3045" spans="1:1" ht="15.75" thickBot="1" x14ac:dyDescent="0.3">
      <c r="A3045" s="118">
        <v>8211166</v>
      </c>
    </row>
    <row r="3046" spans="1:1" ht="15.75" thickBot="1" x14ac:dyDescent="0.3">
      <c r="A3046" s="118">
        <v>8211174</v>
      </c>
    </row>
    <row r="3047" spans="1:1" ht="15.75" thickBot="1" x14ac:dyDescent="0.3">
      <c r="A3047" s="118">
        <v>8211182</v>
      </c>
    </row>
    <row r="3048" spans="1:1" ht="15.75" thickBot="1" x14ac:dyDescent="0.3">
      <c r="A3048" s="118">
        <v>8211197</v>
      </c>
    </row>
    <row r="3049" spans="1:1" ht="15.75" thickBot="1" x14ac:dyDescent="0.3">
      <c r="A3049" s="118">
        <v>8211201</v>
      </c>
    </row>
    <row r="3050" spans="1:1" ht="15.75" thickBot="1" x14ac:dyDescent="0.3">
      <c r="A3050" s="118">
        <v>8211216</v>
      </c>
    </row>
    <row r="3051" spans="1:1" ht="15.75" thickBot="1" x14ac:dyDescent="0.3">
      <c r="A3051" s="118">
        <v>8211224</v>
      </c>
    </row>
    <row r="3052" spans="1:1" ht="15.75" thickBot="1" x14ac:dyDescent="0.3">
      <c r="A3052" s="118">
        <v>8211232</v>
      </c>
    </row>
    <row r="3053" spans="1:1" ht="15.75" thickBot="1" x14ac:dyDescent="0.3">
      <c r="A3053" s="118">
        <v>8212011</v>
      </c>
    </row>
    <row r="3054" spans="1:1" ht="15.75" thickBot="1" x14ac:dyDescent="0.3">
      <c r="A3054" s="118">
        <v>8212026</v>
      </c>
    </row>
    <row r="3055" spans="1:1" ht="15.75" thickBot="1" x14ac:dyDescent="0.3">
      <c r="A3055" s="118">
        <v>8212034</v>
      </c>
    </row>
    <row r="3056" spans="1:1" ht="15.75" thickBot="1" x14ac:dyDescent="0.3">
      <c r="A3056" s="118">
        <v>8212042</v>
      </c>
    </row>
    <row r="3057" spans="1:1" ht="15.75" thickBot="1" x14ac:dyDescent="0.3">
      <c r="A3057" s="119">
        <v>8212057</v>
      </c>
    </row>
    <row r="3058" spans="1:1" ht="16.5" thickTop="1" thickBot="1" x14ac:dyDescent="0.3">
      <c r="A3058" s="118">
        <v>8212065</v>
      </c>
    </row>
    <row r="3059" spans="1:1" ht="15.75" thickBot="1" x14ac:dyDescent="0.3">
      <c r="A3059" s="118">
        <v>8212073</v>
      </c>
    </row>
    <row r="3060" spans="1:1" ht="15.75" thickBot="1" x14ac:dyDescent="0.3">
      <c r="A3060" s="118">
        <v>8212081</v>
      </c>
    </row>
    <row r="3061" spans="1:1" ht="15.75" thickBot="1" x14ac:dyDescent="0.3">
      <c r="A3061" s="118">
        <v>8212096</v>
      </c>
    </row>
    <row r="3062" spans="1:1" ht="15.75" thickBot="1" x14ac:dyDescent="0.3">
      <c r="A3062" s="119">
        <v>8212107</v>
      </c>
    </row>
    <row r="3063" spans="1:1" ht="16.5" thickTop="1" thickBot="1" x14ac:dyDescent="0.3">
      <c r="A3063" s="118">
        <v>8212115</v>
      </c>
    </row>
    <row r="3064" spans="1:1" ht="15.75" thickBot="1" x14ac:dyDescent="0.3">
      <c r="A3064" s="118">
        <v>8212123</v>
      </c>
    </row>
    <row r="3065" spans="1:1" ht="15.75" thickBot="1" x14ac:dyDescent="0.3">
      <c r="A3065" s="118">
        <v>8212131</v>
      </c>
    </row>
    <row r="3066" spans="1:1" ht="15.75" thickBot="1" x14ac:dyDescent="0.3">
      <c r="A3066" s="118">
        <v>8212146</v>
      </c>
    </row>
    <row r="3067" spans="1:1" ht="15.75" thickBot="1" x14ac:dyDescent="0.3">
      <c r="A3067" s="118">
        <v>9111014</v>
      </c>
    </row>
    <row r="3068" spans="1:1" ht="15.75" thickBot="1" x14ac:dyDescent="0.3">
      <c r="A3068" s="118">
        <v>9111022</v>
      </c>
    </row>
    <row r="3069" spans="1:1" ht="15.75" thickBot="1" x14ac:dyDescent="0.3">
      <c r="A3069" s="118">
        <v>9111037</v>
      </c>
    </row>
    <row r="3070" spans="1:1" ht="15.75" thickBot="1" x14ac:dyDescent="0.3">
      <c r="A3070" s="118">
        <v>9111045</v>
      </c>
    </row>
    <row r="3071" spans="1:1" ht="15.75" thickBot="1" x14ac:dyDescent="0.3">
      <c r="A3071" s="118">
        <v>9111053</v>
      </c>
    </row>
    <row r="3072" spans="1:1" ht="15.75" thickBot="1" x14ac:dyDescent="0.3">
      <c r="A3072" s="118">
        <v>9111061</v>
      </c>
    </row>
    <row r="3073" spans="1:1" ht="15.75" thickBot="1" x14ac:dyDescent="0.3">
      <c r="A3073" s="118">
        <v>9111076</v>
      </c>
    </row>
    <row r="3074" spans="1:1" ht="15.75" thickBot="1" x14ac:dyDescent="0.3">
      <c r="A3074" s="118">
        <v>9111084</v>
      </c>
    </row>
    <row r="3075" spans="1:1" ht="15.75" thickBot="1" x14ac:dyDescent="0.3">
      <c r="A3075" s="118">
        <v>9111092</v>
      </c>
    </row>
    <row r="3076" spans="1:1" ht="15.75" thickBot="1" x14ac:dyDescent="0.3">
      <c r="A3076" s="118">
        <v>9111103</v>
      </c>
    </row>
    <row r="3077" spans="1:1" ht="15.75" thickBot="1" x14ac:dyDescent="0.3">
      <c r="A3077" s="118">
        <v>9111111</v>
      </c>
    </row>
    <row r="3078" spans="1:1" ht="15.75" thickBot="1" x14ac:dyDescent="0.3">
      <c r="A3078" s="118">
        <v>9111126</v>
      </c>
    </row>
    <row r="3079" spans="1:1" ht="15.75" thickBot="1" x14ac:dyDescent="0.3">
      <c r="A3079" s="118">
        <v>9111134</v>
      </c>
    </row>
    <row r="3080" spans="1:1" ht="15.75" thickBot="1" x14ac:dyDescent="0.3">
      <c r="A3080" s="118">
        <v>9111142</v>
      </c>
    </row>
    <row r="3081" spans="1:1" ht="15.75" thickBot="1" x14ac:dyDescent="0.3">
      <c r="A3081" s="118">
        <v>9111157</v>
      </c>
    </row>
    <row r="3082" spans="1:1" ht="15.75" thickBot="1" x14ac:dyDescent="0.3">
      <c r="A3082" s="118">
        <v>9111165</v>
      </c>
    </row>
    <row r="3083" spans="1:1" ht="15.75" thickBot="1" x14ac:dyDescent="0.3">
      <c r="A3083" s="118">
        <v>9111173</v>
      </c>
    </row>
    <row r="3084" spans="1:1" ht="15.75" thickBot="1" x14ac:dyDescent="0.3">
      <c r="A3084" s="118">
        <v>9111181</v>
      </c>
    </row>
    <row r="3085" spans="1:1" ht="15.75" thickBot="1" x14ac:dyDescent="0.3">
      <c r="A3085" s="119">
        <v>9111196</v>
      </c>
    </row>
    <row r="3086" spans="1:1" ht="16.5" thickTop="1" thickBot="1" x14ac:dyDescent="0.3">
      <c r="A3086" s="118">
        <v>9111207</v>
      </c>
    </row>
    <row r="3087" spans="1:1" ht="15.75" thickBot="1" x14ac:dyDescent="0.3">
      <c r="A3087" s="118">
        <v>9111215</v>
      </c>
    </row>
    <row r="3088" spans="1:1" ht="15.75" thickBot="1" x14ac:dyDescent="0.3">
      <c r="A3088" s="118">
        <v>9111223</v>
      </c>
    </row>
    <row r="3089" spans="1:1" ht="15.75" thickBot="1" x14ac:dyDescent="0.3">
      <c r="A3089" s="118">
        <v>9111231</v>
      </c>
    </row>
    <row r="3090" spans="1:1" ht="15.75" thickBot="1" x14ac:dyDescent="0.3">
      <c r="A3090" s="118">
        <v>9112017</v>
      </c>
    </row>
    <row r="3091" spans="1:1" ht="15.75" thickBot="1" x14ac:dyDescent="0.3">
      <c r="A3091" s="118">
        <v>9112025</v>
      </c>
    </row>
    <row r="3092" spans="1:1" ht="15.75" thickBot="1" x14ac:dyDescent="0.3">
      <c r="A3092" s="118">
        <v>9112033</v>
      </c>
    </row>
    <row r="3093" spans="1:1" ht="15.75" thickBot="1" x14ac:dyDescent="0.3">
      <c r="A3093" s="118">
        <v>9112041</v>
      </c>
    </row>
    <row r="3094" spans="1:1" ht="15.75" thickBot="1" x14ac:dyDescent="0.3">
      <c r="A3094" s="118">
        <v>9112056</v>
      </c>
    </row>
    <row r="3095" spans="1:1" ht="15.75" thickBot="1" x14ac:dyDescent="0.3">
      <c r="A3095" s="118">
        <v>9112064</v>
      </c>
    </row>
    <row r="3096" spans="1:1" ht="15.75" thickBot="1" x14ac:dyDescent="0.3">
      <c r="A3096" s="118">
        <v>9112072</v>
      </c>
    </row>
    <row r="3097" spans="1:1" ht="15.75" thickBot="1" x14ac:dyDescent="0.3">
      <c r="A3097" s="118">
        <v>9112087</v>
      </c>
    </row>
    <row r="3098" spans="1:1" ht="15.75" thickBot="1" x14ac:dyDescent="0.3">
      <c r="A3098" s="118">
        <v>9112095</v>
      </c>
    </row>
    <row r="3099" spans="1:1" ht="15.75" thickBot="1" x14ac:dyDescent="0.3">
      <c r="A3099" s="118">
        <v>9112106</v>
      </c>
    </row>
    <row r="3100" spans="1:1" ht="15.75" thickBot="1" x14ac:dyDescent="0.3">
      <c r="A3100" s="118">
        <v>9112122</v>
      </c>
    </row>
    <row r="3101" spans="1:1" ht="15.75" thickBot="1" x14ac:dyDescent="0.3">
      <c r="A3101" s="118">
        <v>9112137</v>
      </c>
    </row>
    <row r="3102" spans="1:1" ht="15.75" thickBot="1" x14ac:dyDescent="0.3">
      <c r="A3102" s="118">
        <v>9112145</v>
      </c>
    </row>
    <row r="3103" spans="1:1" ht="15.75" thickBot="1" x14ac:dyDescent="0.3">
      <c r="A3103" s="118">
        <v>9112153</v>
      </c>
    </row>
    <row r="3104" spans="1:1" ht="15.75" thickBot="1" x14ac:dyDescent="0.3">
      <c r="A3104" s="118">
        <v>9112161</v>
      </c>
    </row>
    <row r="3105" spans="1:1" ht="15.75" thickBot="1" x14ac:dyDescent="0.3">
      <c r="A3105" s="118">
        <v>9112176</v>
      </c>
    </row>
    <row r="3106" spans="1:1" ht="15.75" thickBot="1" x14ac:dyDescent="0.3">
      <c r="A3106" s="119">
        <v>9112184</v>
      </c>
    </row>
    <row r="3107" spans="1:1" ht="16.5" thickTop="1" thickBot="1" x14ac:dyDescent="0.3">
      <c r="A3107" s="118">
        <v>9112192</v>
      </c>
    </row>
    <row r="3108" spans="1:1" ht="15.75" thickBot="1" x14ac:dyDescent="0.3">
      <c r="A3108" s="118">
        <v>9112203</v>
      </c>
    </row>
    <row r="3109" spans="1:1" ht="15.75" thickBot="1" x14ac:dyDescent="0.3">
      <c r="A3109" s="118">
        <v>9112211</v>
      </c>
    </row>
    <row r="3110" spans="1:1" ht="15.75" thickBot="1" x14ac:dyDescent="0.3">
      <c r="A3110" s="118">
        <v>9112226</v>
      </c>
    </row>
    <row r="3111" spans="1:1" ht="15.75" thickBot="1" x14ac:dyDescent="0.3">
      <c r="A3111" s="118">
        <v>9121016</v>
      </c>
    </row>
    <row r="3112" spans="1:1" ht="15.75" thickBot="1" x14ac:dyDescent="0.3">
      <c r="A3112" s="118">
        <v>9121024</v>
      </c>
    </row>
    <row r="3113" spans="1:1" ht="15.75" thickBot="1" x14ac:dyDescent="0.3">
      <c r="A3113" s="118">
        <v>9121032</v>
      </c>
    </row>
    <row r="3114" spans="1:1" ht="15.75" thickBot="1" x14ac:dyDescent="0.3">
      <c r="A3114" s="118">
        <v>9121047</v>
      </c>
    </row>
    <row r="3115" spans="1:1" ht="15.75" thickBot="1" x14ac:dyDescent="0.3">
      <c r="A3115" s="118">
        <v>9121055</v>
      </c>
    </row>
    <row r="3116" spans="1:1" ht="15.75" thickBot="1" x14ac:dyDescent="0.3">
      <c r="A3116" s="118">
        <v>9121063</v>
      </c>
    </row>
    <row r="3117" spans="1:1" ht="15.75" thickBot="1" x14ac:dyDescent="0.3">
      <c r="A3117" s="118">
        <v>9121071</v>
      </c>
    </row>
    <row r="3118" spans="1:1" ht="15.75" thickBot="1" x14ac:dyDescent="0.3">
      <c r="A3118" s="118">
        <v>9121086</v>
      </c>
    </row>
    <row r="3119" spans="1:1" ht="15.75" thickBot="1" x14ac:dyDescent="0.3">
      <c r="A3119" s="118">
        <v>9121094</v>
      </c>
    </row>
    <row r="3120" spans="1:1" ht="15.75" thickBot="1" x14ac:dyDescent="0.3">
      <c r="A3120" s="119">
        <v>9121105</v>
      </c>
    </row>
    <row r="3121" spans="1:1" ht="16.5" thickTop="1" thickBot="1" x14ac:dyDescent="0.3">
      <c r="A3121" s="118">
        <v>9121113</v>
      </c>
    </row>
    <row r="3122" spans="1:1" ht="15.75" thickBot="1" x14ac:dyDescent="0.3">
      <c r="A3122" s="118">
        <v>9121121</v>
      </c>
    </row>
    <row r="3123" spans="1:1" ht="15.75" thickBot="1" x14ac:dyDescent="0.3">
      <c r="A3123" s="118">
        <v>9121136</v>
      </c>
    </row>
    <row r="3124" spans="1:1" ht="15.75" thickBot="1" x14ac:dyDescent="0.3">
      <c r="A3124" s="118">
        <v>9121144</v>
      </c>
    </row>
    <row r="3125" spans="1:1" ht="15.75" thickBot="1" x14ac:dyDescent="0.3">
      <c r="A3125" s="118">
        <v>9122012</v>
      </c>
    </row>
    <row r="3126" spans="1:1" ht="15.75" thickBot="1" x14ac:dyDescent="0.3">
      <c r="A3126" s="118">
        <v>9122027</v>
      </c>
    </row>
    <row r="3127" spans="1:1" ht="15.75" thickBot="1" x14ac:dyDescent="0.3">
      <c r="A3127" s="118">
        <v>9122035</v>
      </c>
    </row>
    <row r="3128" spans="1:1" ht="15.75" thickBot="1" x14ac:dyDescent="0.3">
      <c r="A3128" s="118">
        <v>9122043</v>
      </c>
    </row>
    <row r="3129" spans="1:1" ht="15.75" thickBot="1" x14ac:dyDescent="0.3">
      <c r="A3129" s="118">
        <v>9122066</v>
      </c>
    </row>
    <row r="3130" spans="1:1" ht="15.75" thickBot="1" x14ac:dyDescent="0.3">
      <c r="A3130" s="118">
        <v>9122074</v>
      </c>
    </row>
    <row r="3131" spans="1:1" ht="15.75" thickBot="1" x14ac:dyDescent="0.3">
      <c r="A3131" s="119">
        <v>9122082</v>
      </c>
    </row>
    <row r="3132" spans="1:1" ht="16.5" thickTop="1" thickBot="1" x14ac:dyDescent="0.3">
      <c r="A3132" s="118">
        <v>9122097</v>
      </c>
    </row>
    <row r="3133" spans="1:1" ht="15.75" thickBot="1" x14ac:dyDescent="0.3">
      <c r="A3133" s="118">
        <v>9122101</v>
      </c>
    </row>
    <row r="3134" spans="1:1" ht="15.75" thickBot="1" x14ac:dyDescent="0.3">
      <c r="A3134" s="118">
        <v>9122116</v>
      </c>
    </row>
    <row r="3135" spans="1:1" ht="15.75" thickBot="1" x14ac:dyDescent="0.3">
      <c r="A3135" s="118">
        <v>9122124</v>
      </c>
    </row>
    <row r="3136" spans="1:1" ht="15.75" thickBot="1" x14ac:dyDescent="0.3">
      <c r="A3136" s="118">
        <v>9132014</v>
      </c>
    </row>
    <row r="3137" spans="1:1" ht="15.75" thickBot="1" x14ac:dyDescent="0.3">
      <c r="A3137" s="118">
        <v>9132022</v>
      </c>
    </row>
    <row r="3138" spans="1:1" ht="15.75" thickBot="1" x14ac:dyDescent="0.3">
      <c r="A3138" s="118">
        <v>9132037</v>
      </c>
    </row>
    <row r="3139" spans="1:1" ht="15.75" thickBot="1" x14ac:dyDescent="0.3">
      <c r="A3139" s="118">
        <v>9132045</v>
      </c>
    </row>
    <row r="3140" spans="1:1" ht="15.75" thickBot="1" x14ac:dyDescent="0.3">
      <c r="A3140" s="118">
        <v>9132053</v>
      </c>
    </row>
    <row r="3141" spans="1:1" ht="15.75" thickBot="1" x14ac:dyDescent="0.3">
      <c r="A3141" s="118">
        <v>9211104</v>
      </c>
    </row>
    <row r="3142" spans="1:1" ht="15.75" thickBot="1" x14ac:dyDescent="0.3">
      <c r="A3142" s="118">
        <v>9211127</v>
      </c>
    </row>
    <row r="3143" spans="1:1" ht="15.75" thickBot="1" x14ac:dyDescent="0.3">
      <c r="A3143" s="118">
        <v>9211135</v>
      </c>
    </row>
    <row r="3144" spans="1:1" ht="15.75" thickBot="1" x14ac:dyDescent="0.3">
      <c r="A3144" s="118">
        <v>9211166</v>
      </c>
    </row>
    <row r="3145" spans="1:1" ht="15.75" thickBot="1" x14ac:dyDescent="0.3">
      <c r="A3145" s="118">
        <v>9211174</v>
      </c>
    </row>
    <row r="3146" spans="1:1" ht="15.75" thickBot="1" x14ac:dyDescent="0.3">
      <c r="A3146" s="118">
        <v>9211182</v>
      </c>
    </row>
    <row r="3147" spans="1:1" ht="15.75" thickBot="1" x14ac:dyDescent="0.3">
      <c r="A3147" s="118">
        <v>9211197</v>
      </c>
    </row>
    <row r="3148" spans="1:1" ht="15.75" thickBot="1" x14ac:dyDescent="0.3">
      <c r="A3148" s="118">
        <v>9211201</v>
      </c>
    </row>
    <row r="3149" spans="1:1" ht="15.75" thickBot="1" x14ac:dyDescent="0.3">
      <c r="A3149" s="118">
        <v>9211216</v>
      </c>
    </row>
    <row r="3150" spans="1:1" ht="15.75" thickBot="1" x14ac:dyDescent="0.3">
      <c r="A3150" s="118">
        <v>9211224</v>
      </c>
    </row>
    <row r="3151" spans="1:1" ht="15.75" thickBot="1" x14ac:dyDescent="0.3">
      <c r="A3151" s="118">
        <v>9211232</v>
      </c>
    </row>
    <row r="3152" spans="1:1" ht="15.75" thickBot="1" x14ac:dyDescent="0.3">
      <c r="A3152" s="118">
        <v>9211247</v>
      </c>
    </row>
    <row r="3153" spans="1:1" ht="15.75" thickBot="1" x14ac:dyDescent="0.3">
      <c r="A3153" s="118">
        <v>9211255</v>
      </c>
    </row>
    <row r="3154" spans="1:1" ht="15.75" thickBot="1" x14ac:dyDescent="0.3">
      <c r="A3154" s="119">
        <v>9211263</v>
      </c>
    </row>
    <row r="3155" spans="1:1" ht="16.5" thickTop="1" thickBot="1" x14ac:dyDescent="0.3">
      <c r="A3155" s="118">
        <v>9211271</v>
      </c>
    </row>
    <row r="3156" spans="1:1" ht="15.75" thickBot="1" x14ac:dyDescent="0.3">
      <c r="A3156" s="118">
        <v>9211286</v>
      </c>
    </row>
    <row r="3157" spans="1:1" ht="15.75" thickBot="1" x14ac:dyDescent="0.3">
      <c r="A3157" s="118">
        <v>9211294</v>
      </c>
    </row>
    <row r="3158" spans="1:1" ht="15.75" thickBot="1" x14ac:dyDescent="0.3">
      <c r="A3158" s="118">
        <v>9211305</v>
      </c>
    </row>
    <row r="3159" spans="1:1" ht="15.75" thickBot="1" x14ac:dyDescent="0.3">
      <c r="A3159" s="119">
        <v>9211313</v>
      </c>
    </row>
    <row r="3160" spans="1:1" ht="15.75" thickTop="1" x14ac:dyDescent="0.25">
      <c r="A3160" s="126">
        <v>9211321</v>
      </c>
    </row>
    <row r="3161" spans="1:1" x14ac:dyDescent="0.25">
      <c r="A3161" s="126">
        <v>9211336</v>
      </c>
    </row>
    <row r="3162" spans="1:1" x14ac:dyDescent="0.25">
      <c r="A3162" s="126">
        <v>9211344</v>
      </c>
    </row>
    <row r="3163" spans="1:1" x14ac:dyDescent="0.25">
      <c r="A3163" s="126">
        <v>9211352</v>
      </c>
    </row>
    <row r="3164" spans="1:1" x14ac:dyDescent="0.25">
      <c r="A3164" s="126">
        <v>9212011</v>
      </c>
    </row>
    <row r="3165" spans="1:1" x14ac:dyDescent="0.25">
      <c r="A3165" s="126">
        <v>9212042</v>
      </c>
    </row>
    <row r="3166" spans="1:1" x14ac:dyDescent="0.25">
      <c r="A3166" s="126">
        <v>9212057</v>
      </c>
    </row>
    <row r="3167" spans="1:1" x14ac:dyDescent="0.25">
      <c r="A3167" s="126">
        <v>9212065</v>
      </c>
    </row>
    <row r="3168" spans="1:1" x14ac:dyDescent="0.25">
      <c r="A3168" s="126">
        <v>9212073</v>
      </c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</sheetData>
  <autoFilter ref="A1:A3168">
    <sortState ref="A2:A3168">
      <sortCondition sortBy="cellColor" ref="A1:A3168" dxfId="0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MAIN_PROGRAM</vt:lpstr>
      <vt:lpstr>BAMAN</vt:lpstr>
      <vt:lpstr>PTN</vt:lpstr>
      <vt:lpstr>PRODI_LTMPT19</vt:lpstr>
      <vt:lpstr>sain+baman+</vt:lpstr>
      <vt:lpstr>sos+baman+</vt:lpstr>
      <vt:lpstr>++bamangab</vt:lpstr>
      <vt:lpstr>supporting data</vt:lpstr>
      <vt:lpstr>kode</vt:lpstr>
      <vt:lpstr>BAMAN!_115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aty</dc:creator>
  <cp:lastModifiedBy>aty</cp:lastModifiedBy>
  <cp:lastPrinted>2020-06-04T08:16:29Z</cp:lastPrinted>
  <dcterms:created xsi:type="dcterms:W3CDTF">2020-02-14T04:36:53Z</dcterms:created>
  <dcterms:modified xsi:type="dcterms:W3CDTF">2021-06-15T04:24:19Z</dcterms:modified>
</cp:coreProperties>
</file>